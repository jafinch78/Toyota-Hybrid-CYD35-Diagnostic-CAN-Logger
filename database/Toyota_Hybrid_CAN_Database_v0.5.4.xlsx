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tables/table29.xml" ContentType="application/vnd.openxmlformats-officedocument.spreadsheetml.table+xml"/>
  <Override PartName="/xl/worksheets/sheet35.xml" ContentType="application/vnd.openxmlformats-officedocument.spreadsheetml.worksheet+xml"/>
  <Override PartName="/xl/tables/table30.xml" ContentType="application/vnd.openxmlformats-officedocument.spreadsheetml.table+xml"/>
  <Override PartName="/xl/worksheets/sheet36.xml" ContentType="application/vnd.openxmlformats-officedocument.spreadsheetml.worksheet+xml"/>
  <Override PartName="/xl/tables/table31.xml" ContentType="application/vnd.openxmlformats-officedocument.spreadsheetml.table+xml"/>
  <Override PartName="/xl/worksheets/sheet37.xml" ContentType="application/vnd.openxmlformats-officedocument.spreadsheetml.worksheet+xml"/>
  <Override PartName="/xl/tables/table32.xml" ContentType="application/vnd.openxmlformats-officedocument.spreadsheetml.table+xml"/>
  <Override PartName="/xl/worksheets/sheet38.xml" ContentType="application/vnd.openxmlformats-officedocument.spreadsheetml.worksheet+xml"/>
  <Override PartName="/xl/tables/table33.xml" ContentType="application/vnd.openxmlformats-officedocument.spreadsheetml.table+xml"/>
  <Override PartName="/xl/worksheets/sheet39.xml" ContentType="application/vnd.openxmlformats-officedocument.spreadsheetml.worksheet+xml"/>
  <Override PartName="/xl/tables/table34.xml" ContentType="application/vnd.openxmlformats-officedocument.spreadsheetml.table+xml"/>
  <Override PartName="/xl/worksheets/sheet40.xml" ContentType="application/vnd.openxmlformats-officedocument.spreadsheetml.worksheet+xml"/>
  <Override PartName="/xl/tables/table35.xml" ContentType="application/vnd.openxmlformats-officedocument.spreadsheetml.table+xml"/>
  <Override PartName="/xl/worksheets/sheet41.xml" ContentType="application/vnd.openxmlformats-officedocument.spreadsheetml.worksheet+xml"/>
  <Override PartName="/xl/tables/table36.xml" ContentType="application/vnd.openxmlformats-officedocument.spreadsheetml.table+xml"/>
  <Override PartName="/xl/worksheets/sheet42.xml" ContentType="application/vnd.openxmlformats-officedocument.spreadsheetml.worksheet+xml"/>
  <Override PartName="/xl/tables/table37.xml" ContentType="application/vnd.openxmlformats-officedocument.spreadsheetml.table+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5fbdce1b864d75" /></Relationships>
</file>

<file path=xl/workbook.xml><?xml version="1.0" encoding="utf-8"?>
<x:workbook xmlns:x="http://schemas.openxmlformats.org/spreadsheetml/2006/main">
  <x:sheets>
    <x:sheet xmlns:r="http://schemas.openxmlformats.org/officeDocument/2006/relationships" name="README" sheetId="1" r:id="Rb1031f2777444f0f"/>
    <x:sheet xmlns:r="http://schemas.openxmlformats.org/officeDocument/2006/relationships" name="Vehicle Profiles" sheetId="2" r:id="Rc1a1da969b93427d"/>
    <x:sheet xmlns:r="http://schemas.openxmlformats.org/officeDocument/2006/relationships" name="CAN Messages" sheetId="3" r:id="Rb35cb073c5e44079"/>
    <x:sheet xmlns:r="http://schemas.openxmlformats.org/officeDocument/2006/relationships" name="Signals" sheetId="4" r:id="R1437907a171645c7"/>
    <x:sheet xmlns:r="http://schemas.openxmlformats.org/officeDocument/2006/relationships" name="Capture Summary" sheetId="5" r:id="R2a63ffdd5d894b24"/>
    <x:sheet xmlns:r="http://schemas.openxmlformats.org/officeDocument/2006/relationships" name="Research Backlog" sheetId="6" r:id="R832e31e1a9d948ea"/>
    <x:sheet xmlns:r="http://schemas.openxmlformats.org/officeDocument/2006/relationships" name="Sources" sheetId="7" r:id="R7b48303aefe64c79"/>
    <x:sheet xmlns:r="http://schemas.openxmlformats.org/officeDocument/2006/relationships" name="Vass Extract" sheetId="8" r:id="Raaf5342695744889"/>
    <x:sheet xmlns:r="http://schemas.openxmlformats.org/officeDocument/2006/relationships" name="Capture Inventory v0.3" sheetId="9" r:id="R2cdea4e9bb9b4f25"/>
    <x:sheet xmlns:r="http://schemas.openxmlformats.org/officeDocument/2006/relationships" name="CAN Messages v0.2" sheetId="10" r:id="R9516dd3516e14f40"/>
    <x:sheet xmlns:r="http://schemas.openxmlformats.org/officeDocument/2006/relationships" name="Prius-Camry ID Compare" sheetId="11" r:id="R0e93e263d44541cd"/>
    <x:sheet xmlns:r="http://schemas.openxmlformats.org/officeDocument/2006/relationships" name="Events - Camry 2007" sheetId="12" r:id="R39ad0841ff5c47d2"/>
    <x:sheet xmlns:r="http://schemas.openxmlformats.org/officeDocument/2006/relationships" name="Events - Prius 2004" sheetId="13" r:id="Rb93c7409993842ab"/>
    <x:sheet xmlns:r="http://schemas.openxmlformats.org/officeDocument/2006/relationships" name="Gen2 INF Subcodes" sheetId="14" r:id="R9094721801fc42d0"/>
    <x:sheet xmlns:r="http://schemas.openxmlformats.org/officeDocument/2006/relationships" name="v0.3 Dashboard" sheetId="15" r:id="Rc3cf1387338b4d6d"/>
    <x:sheet xmlns:r="http://schemas.openxmlformats.org/officeDocument/2006/relationships" name="Camry02 Sync Timeline" sheetId="16" r:id="R2e9e3facda3e4723"/>
    <x:sheet xmlns:r="http://schemas.openxmlformats.org/officeDocument/2006/relationships" name="Camry02 FPS Profile" sheetId="17" r:id="R3f108b7cea5744de"/>
    <x:sheet xmlns:r="http://schemas.openxmlformats.org/officeDocument/2006/relationships" name="AHV40 Signals v0.3" sheetId="18" r:id="Rd86dd3825c654f73"/>
    <x:sheet xmlns:r="http://schemas.openxmlformats.org/officeDocument/2006/relationships" name="AHV40 Event Evidence" sheetId="19" r:id="Rf444e995e74849e4"/>
    <x:sheet xmlns:r="http://schemas.openxmlformats.org/officeDocument/2006/relationships" name="AHV40 DLC Physical" sheetId="20" r:id="R6d86f11ed2da44d6"/>
    <x:sheet xmlns:r="http://schemas.openxmlformats.org/officeDocument/2006/relationships" name="ZVW30 Apr12 PIDs" sheetId="21" r:id="Rd1b58928fda241a8"/>
    <x:sheet xmlns:r="http://schemas.openxmlformats.org/officeDocument/2006/relationships" name="ZVW30 Nov12 PIDs" sheetId="22" r:id="R0110c46d8a7c421f"/>
    <x:sheet xmlns:r="http://schemas.openxmlformats.org/officeDocument/2006/relationships" name="ZVW35 PHV PIDs" sheetId="23" r:id="R8d401b37da514483"/>
    <x:sheet xmlns:r="http://schemas.openxmlformats.org/officeDocument/2006/relationships" name="Unsafe Commands" sheetId="24" r:id="R87c4253ec7af403c"/>
    <x:sheet xmlns:r="http://schemas.openxmlformats.org/officeDocument/2006/relationships" name="PID Source Audit" sheetId="25" r:id="Rca21b4a04d994039"/>
    <x:sheet xmlns:r="http://schemas.openxmlformats.org/officeDocument/2006/relationships" name="v0.5 Changes Sources" sheetId="26" r:id="R93d4ab4512354ef4"/>
    <x:sheet xmlns:r="http://schemas.openxmlformats.org/officeDocument/2006/relationships" name="Assorted PID Raw" sheetId="27" r:id="Radc07c63ad7b4146"/>
    <x:sheet xmlns:r="http://schemas.openxmlformats.org/officeDocument/2006/relationships" name="Assorted PID Audit" sheetId="28" r:id="R36710f35e3824154"/>
    <x:sheet xmlns:r="http://schemas.openxmlformats.org/officeDocument/2006/relationships" name="AHV40 Signals v0.5" sheetId="29" r:id="R42f4cb8d49434225"/>
    <x:sheet xmlns:r="http://schemas.openxmlformats.org/officeDocument/2006/relationships" name="NHW20 Signals v0.5" sheetId="30" r:id="R76e05b338d094e8b"/>
    <x:sheet xmlns:r="http://schemas.openxmlformats.org/officeDocument/2006/relationships" name="CANLOG(2) S0034 Quality" sheetId="31" r:id="R38e89b07ebb04934"/>
    <x:sheet xmlns:r="http://schemas.openxmlformats.org/officeDocument/2006/relationships" name="S0034 HA Alignment" sheetId="32" r:id="R483d55e589a04bbd"/>
    <x:sheet xmlns:r="http://schemas.openxmlformats.org/officeDocument/2006/relationships" name="S0034 Validation" sheetId="33" r:id="R4ba5b034c36b4762"/>
    <x:sheet xmlns:r="http://schemas.openxmlformats.org/officeDocument/2006/relationships" name="CANLOG(1) Evidence" sheetId="34" r:id="R01e22b18602c450c"/>
    <x:sheet xmlns:r="http://schemas.openxmlformats.org/officeDocument/2006/relationships" name="v0.5 Research Backlog" sheetId="35" r:id="R456125e0c3f84a1d"/>
    <x:sheet xmlns:r="http://schemas.openxmlformats.org/officeDocument/2006/relationships" name="AHV40 Diagnostic Candidates" sheetId="36" r:id="R044f82c78a324586"/>
    <x:sheet xmlns:r="http://schemas.openxmlformats.org/officeDocument/2006/relationships" name="AHV40 PID Source Audit" sheetId="37" r:id="R7ff2cc5329e440bd"/>
    <x:sheet xmlns:r="http://schemas.openxmlformats.org/officeDocument/2006/relationships" name="v0.5.2 Changes" sheetId="38" r:id="Rdfabbfec42834a61"/>
    <x:sheet xmlns:r="http://schemas.openxmlformats.org/officeDocument/2006/relationships" name="S0010 External Diagnostics" sheetId="39" r:id="Rcf018901c8e84408"/>
    <x:sheet xmlns:r="http://schemas.openxmlformats.org/officeDocument/2006/relationships" name="S0010 21CE Evidence" sheetId="40" r:id="Rd0b23107f52f4f43"/>
    <x:sheet xmlns:r="http://schemas.openxmlformats.org/officeDocument/2006/relationships" name="S0010 Graph Correlation" sheetId="41" r:id="R62c7d1ff77004190"/>
    <x:sheet xmlns:r="http://schemas.openxmlformats.org/officeDocument/2006/relationships" name="Decoder Export v0.5.2" sheetId="42" r:id="Radd029eb3a744f9b"/>
    <x:sheet xmlns:r="http://schemas.openxmlformats.org/officeDocument/2006/relationships" name="v0.5.3 Changes" sheetId="43" r:id="R3e658ef645ed4444"/>
    <x:sheet xmlns:r="http://schemas.openxmlformats.org/officeDocument/2006/relationships" name="S0012 Diagnostic Actions" sheetId="44" r:id="R9121cac8eb6f40d4"/>
    <x:sheet xmlns:r="http://schemas.openxmlformats.org/officeDocument/2006/relationships" name="S0012 Dr Prius Evidence" sheetId="45" r:id="R5b2604a66ecd4421"/>
    <x:sheet xmlns:r="http://schemas.openxmlformats.org/officeDocument/2006/relationships" name="Decoder Export v0.5.3" sheetId="46" r:id="R683837bebeca4875"/>
    <x:sheet xmlns:r="http://schemas.openxmlformats.org/officeDocument/2006/relationships" name="v0.5.4 Changes" sheetId="47" r:id="R0bf667b05a404fa0"/>
    <x:sheet xmlns:r="http://schemas.openxmlformats.org/officeDocument/2006/relationships" name="v0.5.4 Profiles" sheetId="48" r:id="R6b45304f0b8d4bae"/>
    <x:sheet xmlns:r="http://schemas.openxmlformats.org/officeDocument/2006/relationships" name="v0.5.4 Evidence" sheetId="49" r:id="R876ce15a077d42db"/>
    <x:sheet xmlns:r="http://schemas.openxmlformats.org/officeDocument/2006/relationships" name="Decoder Export v0.5.4" sheetId="50" r:id="R16bec0b966f54b27"/>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
    <x:numFmt numFmtId="202" formatCode="0.0"/>
    <x:numFmt numFmtId="203" formatCode="0"/>
    <x:numFmt numFmtId="204" formatCode="#,##0"/>
    <x:numFmt numFmtId="205" formatCode="@"/>
    <x:numFmt numFmtId="206" formatCode="0.000000"/>
  </x:numFmts>
  <x:fonts count="19">
    <x:font>
      <x:sz val="11"/>
      <x:color theme="1"/>
      <x:name val="Calibri"/>
    </x:font>
    <x:font>
      <x:b/>
      <x:color rgb="FFFFFFFF"/>
    </x:font>
    <x:font>
      <x:b/>
    </x:font>
    <x:font>
      <x:b/>
      <x:sz val="11"/>
      <x:color rgb="FFFFFFFF"/>
      <x:name val="Calibri"/>
    </x:font>
    <x:font>
      <x:b/>
      <x:sz val="14"/>
      <x:color rgb="FFFFFFFF"/>
      <x:name val="Calibri"/>
    </x:font>
    <x:font>
      <x:b/>
      <x:sz val="16"/>
      <x:color rgb="FFFFFFFF"/>
      <x:name val="Calibri"/>
    </x:font>
    <x:font>
      <x:b/>
      <x:sz val="11"/>
      <x:color theme="1"/>
      <x:name val="Calibri"/>
    </x:font>
    <x:font>
      <x:sz val="10"/>
      <x:color rgb="FF1F2937"/>
      <x:name val="Aptos"/>
    </x:font>
    <x:font>
      <x:b/>
      <x:sz val="10"/>
      <x:color rgb="FFFFFFFF"/>
      <x:name val="Aptos"/>
    </x:font>
    <x:font>
      <x:b/>
      <x:sz val="11"/>
      <x:color rgb="FF1F2937"/>
      <x:name val="Calibri"/>
    </x:font>
    <x:font>
      <x:b/>
      <x:sz val="10"/>
      <x:color rgb="FF1F2937"/>
      <x:name val="Aptos"/>
    </x:font>
    <x:font>
      <x:b/>
      <x:sz val="10"/>
      <x:color rgb="FF9C0006"/>
      <x:name val="Aptos"/>
    </x:font>
    <x:font>
      <x:sz val="10"/>
      <x:color rgb="FF9C0006"/>
      <x:name val="Aptos"/>
    </x:font>
    <x:font>
      <x:sz val="9"/>
      <x:color rgb="FF1F2937"/>
      <x:name val="Aptos"/>
    </x:font>
    <x:font>
      <x:b/>
      <x:sz val="10"/>
      <x:color rgb="FF7F6000"/>
      <x:name val="Aptos"/>
    </x:font>
    <x:font>
      <x:sz val="11"/>
      <x:color rgb="FF1F2937"/>
      <x:name val="Calibri"/>
    </x:font>
    <x:font>
      <x:i/>
      <x:sz val="11"/>
      <x:color theme="1"/>
      <x:name val="Calibri"/>
    </x:font>
    <x:font>
      <x:b/>
      <x:sz val="11"/>
      <x:color rgb="FF17365D"/>
      <x:name val="Calibri"/>
    </x:font>
    <x:font>
      <x:sz val="11"/>
      <x:color rgb="FF1F1F1F"/>
      <x:name val="Calibri"/>
    </x:font>
  </x:fonts>
  <x:fills count="3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7F6000"/>
      </x:patternFill>
    </x:fill>
    <x:fill>
      <x:patternFill patternType="solid">
        <x:fgColor rgb="FF0F4C5C"/>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9C0006"/>
      </x:patternFill>
    </x:fill>
    <x:fill>
      <x:patternFill patternType="solid">
        <x:fgColor rgb="FFDDEB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AF2F8"/>
      </x:patternFill>
    </x:fill>
    <x:fill>
      <x:patternFill patternType="solid">
        <x:fgColor rgb="FFDDEBF7"/>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0F6B6D"/>
      </x:patternFill>
    </x:fill>
    <x:fill>
      <x:patternFill patternType="solid">
        <x:fgColor rgb="FFFFF2CC"/>
      </x:patternFill>
    </x:fill>
    <x:fill>
      <x:patternFill patternType="solid">
        <x:fgColor rgb="FF1F4E78"/>
      </x:patternFill>
    </x:fill>
    <x:fill>
      <x:patternFill patternType="solid">
        <x:fgColor rgb="FF1F4E78"/>
      </x:patternFill>
    </x:fill>
  </x:fills>
  <x:borders count="16">
    <x:border/>
    <x:border>
      <x:bottom style="thin">
        <x:color rgb="FFD9E1F2"/>
      </x:bottom>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top style="thin">
        <x:color rgb="FFD9E2F3"/>
      </x:top>
      <x:bottom style="thin">
        <x:color rgb="FFD9E1F2"/>
      </x:bottom>
    </x:border>
    <x:border>
      <x:left style="thin">
        <x:color rgb="FFD9E2F3"/>
      </x:left>
      <x:top style="thin">
        <x:color rgb="FFD9E2F3"/>
      </x:top>
      <x:bottom style="thin">
        <x:color rgb="FFD9E1F2"/>
      </x:bottom>
    </x:border>
    <x:border>
      <x:left style="thin">
        <x:color rgb="FFB8C7D9"/>
      </x:left>
      <x:right style="thin">
        <x:color rgb="FFB8C7D9"/>
      </x:right>
      <x:top style="thin">
        <x:color rgb="FFB8C7D9"/>
      </x:top>
      <x:bottom style="thin">
        <x:color rgb="FFB8C7D9"/>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355">
    <x:xf numFmtId="0" fontId="0" fillId="0" borderId="0" xfId="0"/>
    <x:xf numFmtId="0" fontId="0" fillId="0" borderId="1" xfId="0" applyAlignment="1">
      <x:alignment vertical="top" wrapText="1"/>
    </x:xf>
    <x:xf numFmtId="0" fontId="1" fillId="2" borderId="1" xfId="0" applyAlignment="1">
      <x:alignment vertical="top" wrapText="1"/>
    </x:xf>
    <x:xf numFmtId="0" fontId="2" fillId="3" borderId="0" xfId="0"/>
    <x:xf numFmtId="0" fontId="0" fillId="3" borderId="0" xfId="0"/>
    <x:xf numFmtId="0" fontId="0" fillId="0" borderId="2" xfId="0" applyNumberFormat="1" applyFont="1" applyFill="1" applyBorder="1"/>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3" borderId="2" xfId="0" applyNumberFormat="1" applyFont="1" applyFill="1" applyBorder="1"/>
    <x:xf numFmtId="0" fontId="0" fillId="3" borderId="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2"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2"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horizontal="center"/>
    </x:xf>
    <x:xf numFmtId="0" fontId="4" fillId="5" borderId="0"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2"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horizontal="center"/>
    </x:xf>
    <x:xf numFmtId="0" fontId="3" fillId="5" borderId="0" xfId="0" applyNumberFormat="1" applyFont="1" applyFill="1" applyBorder="1"/>
    <x:xf numFmtId="0" fontId="3" fillId="5" borderId="2" xfId="0" applyNumberFormat="1" applyFont="1" applyFill="1" applyBorder="1"/>
    <x:xf numFmtId="0" fontId="5" fillId="6" borderId="0" xfId="0" applyNumberFormat="1" applyFont="1" applyFill="1" applyBorder="1" applyAlignment="1">
      <x:alignment horizontal="center" wrapText="1"/>
    </x:xf>
    <x:xf numFmtId="0" fontId="3" fillId="5" borderId="0"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x:xf numFmtId="0" fontId="0" fillId="3"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0" fillId="8" borderId="0" xfId="0" applyNumberFormat="1" applyFont="1" applyFill="1" applyBorder="1" applyAlignment="1">
      <x:alignment wrapText="1"/>
    </x:xf>
    <x:xf numFmtId="0" fontId="7" fillId="0" borderId="0" xfId="0" applyNumberFormat="1" applyFont="1" applyFill="1" applyBorder="1"/>
    <x:xf numFmtId="0" fontId="7"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0" fontId="8" fillId="10" borderId="3" xfId="0" applyNumberFormat="1" applyFont="1" applyFill="1" applyBorder="1" applyAlignment="1">
      <x:alignment vertical="center" wrapText="1"/>
    </x:xf>
    <x:xf numFmtId="0" fontId="8" fillId="10" borderId="4" xfId="0" applyNumberFormat="1" applyFont="1" applyFill="1" applyBorder="1" applyAlignment="1">
      <x:alignment vertical="center" wrapText="1"/>
    </x:xf>
    <x:xf numFmtId="0" fontId="8" fillId="10" borderId="5" xfId="0" applyNumberFormat="1" applyFont="1" applyFill="1" applyBorder="1" applyAlignment="1">
      <x:alignment vertical="center" wrapText="1"/>
    </x:xf>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8" fillId="10" borderId="3" xfId="0" applyNumberFormat="1" applyFont="1" applyFill="1" applyBorder="1" applyAlignment="1">
      <x:alignment vertical="center" wrapText="0"/>
    </x:xf>
    <x:xf numFmtId="0" fontId="8" fillId="10" borderId="4" xfId="0" applyNumberFormat="1" applyFont="1" applyFill="1" applyBorder="1" applyAlignment="1">
      <x:alignment vertical="center" wrapText="0"/>
    </x:xf>
    <x:xf numFmtId="0" fontId="8" fillId="10" borderId="5" xfId="0" applyNumberFormat="1" applyFont="1" applyFill="1" applyBorder="1" applyAlignment="1">
      <x:alignment vertical="center" wrapText="0"/>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8" fillId="11" borderId="3" xfId="0" applyNumberFormat="1" applyFont="1" applyFill="1" applyBorder="1" applyAlignment="1">
      <x:alignment vertical="center" wrapText="1"/>
    </x:xf>
    <x:xf numFmtId="0" fontId="8" fillId="11" borderId="4" xfId="0" applyNumberFormat="1" applyFont="1" applyFill="1" applyBorder="1" applyAlignment="1">
      <x:alignment vertical="center" wrapText="1"/>
    </x:xf>
    <x:xf numFmtId="0" fontId="8" fillId="11" borderId="5"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0" fillId="0" borderId="3"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2" fillId="3" borderId="6" xfId="0" applyNumberFormat="1" applyFont="1" applyFill="1" applyBorder="1"/>
    <x:xf numFmtId="0" fontId="0" fillId="3" borderId="8" xfId="0" applyNumberFormat="1" applyFont="1" applyFill="1" applyBorder="1"/>
    <x:xf numFmtId="0" fontId="0" fillId="0" borderId="6" xfId="0" applyNumberFormat="1" applyFont="1" applyFill="1" applyBorder="1"/>
    <x:xf numFmtId="0" fontId="0" fillId="0" borderId="8" xfId="0" applyNumberFormat="1" applyFont="1" applyFill="1" applyBorder="1"/>
    <x:xf numFmtId="0" fontId="9" fillId="12" borderId="6" xfId="0" applyNumberFormat="1" applyFont="1" applyFill="1" applyBorder="1"/>
    <x:xf numFmtId="0" fontId="0" fillId="0" borderId="8" xfId="0" applyNumberFormat="1" applyFont="1" applyFill="1" applyBorder="1" applyAlignment="1">
      <x:alignment wrapText="1"/>
    </x:xf>
    <x:xf numFmtId="0" fontId="9" fillId="12" borderId="12" xfId="0" applyNumberFormat="1" applyFont="1" applyFill="1" applyBorder="1"/>
    <x:xf numFmtId="0" fontId="0" fillId="0" borderId="13" xfId="0" applyNumberFormat="1" applyFont="1" applyFill="1" applyBorder="1" applyAlignment="1">
      <x:alignment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13" borderId="3" xfId="0" applyNumberFormat="1" applyFont="1" applyFill="1" applyBorder="1" applyAlignment="1">
      <x:alignment vertical="top" wrapText="1"/>
    </x:xf>
    <x:xf numFmtId="0" fontId="7" fillId="13" borderId="4" xfId="0" applyNumberFormat="1" applyFont="1" applyFill="1" applyBorder="1" applyAlignment="1">
      <x:alignment vertical="top" wrapText="1"/>
    </x:xf>
    <x:xf numFmtId="0" fontId="7" fillId="13" borderId="5" xfId="0" applyNumberFormat="1" applyFont="1" applyFill="1" applyBorder="1" applyAlignment="1">
      <x:alignment vertical="top" wrapText="1"/>
    </x:xf>
    <x:xf numFmtId="0" fontId="8" fillId="13" borderId="3" xfId="0" applyNumberFormat="1" applyFont="1" applyFill="1" applyBorder="1" applyAlignment="1">
      <x:alignment vertical="top" wrapText="1"/>
    </x:xf>
    <x:xf numFmtId="0" fontId="8" fillId="13" borderId="4" xfId="0" applyNumberFormat="1" applyFont="1" applyFill="1" applyBorder="1" applyAlignment="1">
      <x:alignment vertical="top" wrapText="1"/>
    </x:xf>
    <x:xf numFmtId="0" fontId="8" fillId="13" borderId="5" xfId="0" applyNumberFormat="1" applyFont="1" applyFill="1" applyBorder="1" applyAlignment="1">
      <x:alignment vertical="top" wrapText="1"/>
    </x:xf>
    <x:xf numFmtId="0" fontId="8" fillId="13" borderId="3" xfId="0" applyNumberFormat="1" applyFont="1" applyFill="1" applyBorder="1" applyAlignment="1">
      <x:alignment vertical="center" wrapText="1"/>
    </x:xf>
    <x:xf numFmtId="0" fontId="8" fillId="13" borderId="4" xfId="0" applyNumberFormat="1" applyFont="1" applyFill="1" applyBorder="1" applyAlignment="1">
      <x:alignment vertical="center" wrapText="1"/>
    </x:xf>
    <x:xf numFmtId="0" fontId="8" fillId="13" borderId="5" xfId="0" applyNumberFormat="1" applyFont="1" applyFill="1" applyBorder="1" applyAlignment="1">
      <x:alignment vertical="center" wrapText="1"/>
    </x:xf>
    <x:xf numFmtId="0" fontId="10" fillId="0" borderId="6"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14" borderId="6" xfId="0" applyNumberFormat="1" applyFont="1" applyFill="1" applyBorder="1" applyAlignment="1">
      <x:alignment vertical="top" wrapText="1"/>
    </x:xf>
    <x:xf numFmtId="0" fontId="7" fillId="14" borderId="7"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10" fillId="15" borderId="6" xfId="0" applyNumberFormat="1" applyFont="1" applyFill="1" applyBorder="1" applyAlignment="1">
      <x:alignment vertical="top" wrapText="1"/>
    </x:xf>
    <x:xf numFmtId="0" fontId="7" fillId="15" borderId="7" xfId="0" applyNumberFormat="1" applyFont="1" applyFill="1" applyBorder="1" applyAlignment="1">
      <x:alignment vertical="top" wrapText="1"/>
    </x:xf>
    <x:xf numFmtId="0" fontId="7" fillId="15" borderId="8" xfId="0" applyNumberFormat="1" applyFont="1" applyFill="1" applyBorder="1" applyAlignment="1">
      <x:alignment vertical="top" wrapText="1"/>
    </x:xf>
    <x:xf numFmtId="0" fontId="11" fillId="15" borderId="6" xfId="0" applyNumberFormat="1" applyFont="1" applyFill="1" applyBorder="1" applyAlignment="1">
      <x:alignment vertical="top" wrapText="1"/>
    </x:xf>
    <x:xf numFmtId="0" fontId="12" fillId="15" borderId="7" xfId="0" applyNumberFormat="1" applyFont="1" applyFill="1" applyBorder="1" applyAlignment="1">
      <x:alignment vertical="top" wrapText="1"/>
    </x:xf>
    <x:xf numFmtId="0" fontId="12" fillId="15" borderId="8" xfId="0" applyNumberFormat="1" applyFont="1" applyFill="1" applyBorder="1" applyAlignment="1">
      <x:alignment vertical="top" wrapText="1"/>
    </x:xf>
    <x:xf numFmtId="0" fontId="13" fillId="0" borderId="0" xfId="0" applyNumberFormat="1" applyFont="1" applyFill="1" applyBorder="1"/>
    <x:xf numFmtId="0" fontId="13" fillId="0" borderId="3" xfId="0" applyNumberFormat="1" applyFont="1" applyFill="1" applyBorder="1"/>
    <x:xf numFmtId="0" fontId="13" fillId="0" borderId="4" xfId="0" applyNumberFormat="1" applyFont="1" applyFill="1" applyBorder="1"/>
    <x:xf numFmtId="0" fontId="13" fillId="0" borderId="5" xfId="0" applyNumberFormat="1" applyFont="1" applyFill="1" applyBorder="1"/>
    <x:xf numFmtId="0" fontId="13" fillId="0" borderId="6" xfId="0" applyNumberFormat="1" applyFont="1" applyFill="1" applyBorder="1"/>
    <x:xf numFmtId="0" fontId="13" fillId="0" borderId="7" xfId="0" applyNumberFormat="1" applyFont="1" applyFill="1" applyBorder="1"/>
    <x:xf numFmtId="0" fontId="13" fillId="0" borderId="8" xfId="0" applyNumberFormat="1" applyFont="1" applyFill="1" applyBorder="1"/>
    <x:xf numFmtId="0" fontId="13" fillId="0" borderId="9" xfId="0" applyNumberFormat="1" applyFont="1" applyFill="1" applyBorder="1"/>
    <x:xf numFmtId="0" fontId="13" fillId="0" borderId="10" xfId="0" applyNumberFormat="1" applyFont="1" applyFill="1" applyBorder="1"/>
    <x:xf numFmtId="0" fontId="13" fillId="0" borderId="11" xfId="0" applyNumberFormat="1" applyFont="1" applyFill="1" applyBorder="1"/>
    <x:xf numFmtId="0" fontId="13" fillId="0" borderId="3" xfId="0" applyNumberFormat="1" applyFont="1" applyFill="1" applyBorder="1" applyAlignment="1">
      <x:alignment wrapText="1"/>
    </x:xf>
    <x:xf numFmtId="0" fontId="13"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3" fillId="0" borderId="6" xfId="0" applyNumberFormat="1" applyFont="1" applyFill="1" applyBorder="1" applyAlignment="1">
      <x:alignment wrapText="1"/>
    </x:xf>
    <x:xf numFmtId="0" fontId="13" fillId="0" borderId="7" xfId="0" applyNumberFormat="1" applyFont="1" applyFill="1" applyBorder="1" applyAlignment="1">
      <x:alignment wrapText="1"/>
    </x:xf>
    <x:xf numFmtId="0" fontId="13" fillId="0" borderId="8" xfId="0" applyNumberFormat="1" applyFont="1" applyFill="1" applyBorder="1" applyAlignment="1">
      <x:alignment wrapText="1"/>
    </x:xf>
    <x:xf numFmtId="0" fontId="13" fillId="0" borderId="9" xfId="0" applyNumberFormat="1" applyFont="1" applyFill="1" applyBorder="1" applyAlignment="1">
      <x:alignment wrapText="1"/>
    </x:xf>
    <x:xf numFmtId="0" fontId="13" fillId="0" borderId="10" xfId="0" applyNumberFormat="1" applyFont="1" applyFill="1" applyBorder="1" applyAlignment="1">
      <x:alignment wrapText="1"/>
    </x:xf>
    <x:xf numFmtId="0" fontId="13" fillId="0" borderId="11" xfId="0" applyNumberFormat="1" applyFont="1" applyFill="1" applyBorder="1" applyAlignment="1">
      <x:alignment wrapText="1"/>
    </x:xf>
    <x:xf numFmtId="0" fontId="13" fillId="0" borderId="3" xfId="0" applyNumberFormat="1" applyFont="1" applyFill="1" applyBorder="1" applyAlignment="1">
      <x:alignment vertical="top"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3" fillId="0" borderId="1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13" borderId="3" xfId="0" applyNumberFormat="1" applyFont="1" applyFill="1" applyBorder="1" applyAlignment="1">
      <x:alignment vertical="top" wrapText="1"/>
    </x:xf>
    <x:xf numFmtId="0" fontId="13" fillId="13" borderId="4" xfId="0" applyNumberFormat="1" applyFont="1" applyFill="1" applyBorder="1" applyAlignment="1">
      <x:alignment vertical="top" wrapText="1"/>
    </x:xf>
    <x:xf numFmtId="0" fontId="13" fillId="13" borderId="5" xfId="0" applyNumberFormat="1" applyFont="1" applyFill="1" applyBorder="1" applyAlignment="1">
      <x:alignment vertical="top" wrapText="1"/>
    </x:xf>
    <x:xf numFmtId="0" fontId="7" fillId="14" borderId="6" xfId="0" applyNumberFormat="1" applyFont="1" applyFill="1" applyBorder="1" applyAlignment="1">
      <x:alignment vertical="top" wrapText="1"/>
    </x:xf>
    <x:xf numFmtId="0" fontId="7" fillId="16" borderId="6" xfId="0" applyNumberFormat="1" applyFont="1" applyFill="1" applyBorder="1" applyAlignment="1">
      <x:alignment vertical="top" wrapText="1"/>
    </x:xf>
    <x:xf numFmtId="0" fontId="7" fillId="16" borderId="7" xfId="0" applyNumberFormat="1" applyFont="1" applyFill="1" applyBorder="1" applyAlignment="1">
      <x:alignment vertical="top" wrapText="1"/>
    </x:xf>
    <x:xf numFmtId="0" fontId="7" fillId="16" borderId="8" xfId="0" applyNumberFormat="1" applyFont="1" applyFill="1" applyBorder="1" applyAlignment="1">
      <x:alignment vertical="top" wrapText="1"/>
    </x:xf>
    <x:xf numFmtId="0" fontId="7" fillId="15" borderId="6" xfId="0" applyNumberFormat="1" applyFont="1" applyFill="1" applyBorder="1" applyAlignment="1">
      <x:alignment vertical="top" wrapText="1"/>
    </x:xf>
    <x:xf numFmtId="0" fontId="12" fillId="15" borderId="6" xfId="0" applyNumberFormat="1" applyFont="1" applyFill="1" applyBorder="1" applyAlignment="1">
      <x:alignment vertical="top" wrapText="1"/>
    </x:xf>
    <x:xf numFmtId="0" fontId="7" fillId="16" borderId="9" xfId="0" applyNumberFormat="1" applyFont="1" applyFill="1" applyBorder="1" applyAlignment="1">
      <x:alignment vertical="top" wrapText="1"/>
    </x:xf>
    <x:xf numFmtId="0" fontId="7" fillId="16" borderId="10" xfId="0" applyNumberFormat="1" applyFont="1" applyFill="1" applyBorder="1" applyAlignment="1">
      <x:alignment vertical="top" wrapText="1"/>
    </x:xf>
    <x:xf numFmtId="0" fontId="7" fillId="16" borderId="11" xfId="0" applyNumberFormat="1" applyFont="1" applyFill="1" applyBorder="1" applyAlignment="1">
      <x:alignment vertical="top" wrapText="1"/>
    </x:xf>
    <x:xf numFmtId="0" fontId="7" fillId="14" borderId="9" xfId="0" applyNumberFormat="1" applyFont="1" applyFill="1" applyBorder="1" applyAlignment="1">
      <x:alignment vertical="top" wrapText="1"/>
    </x:xf>
    <x:xf numFmtId="0" fontId="7" fillId="14" borderId="10" xfId="0" applyNumberFormat="1" applyFont="1" applyFill="1" applyBorder="1" applyAlignment="1">
      <x:alignment vertical="top" wrapText="1"/>
    </x:xf>
    <x:xf numFmtId="0" fontId="7" fillId="14" borderId="11"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7" fillId="17" borderId="9" xfId="0" applyNumberFormat="1" applyFont="1" applyFill="1" applyBorder="1" applyAlignment="1">
      <x:alignment vertical="top" wrapText="1"/>
    </x:xf>
    <x:xf numFmtId="0" fontId="7" fillId="17" borderId="10" xfId="0" applyNumberFormat="1" applyFont="1" applyFill="1" applyBorder="1" applyAlignment="1">
      <x:alignment vertical="top" wrapText="1"/>
    </x:xf>
    <x:xf numFmtId="0" fontId="7" fillId="17" borderId="11" xfId="0" applyNumberFormat="1" applyFont="1" applyFill="1" applyBorder="1" applyAlignment="1">
      <x:alignment vertical="top" wrapText="1"/>
    </x:xf>
    <x:xf numFmtId="202" fontId="7" fillId="17" borderId="6" xfId="0" applyNumberFormat="1" applyFont="1" applyFill="1" applyBorder="1" applyAlignment="1">
      <x:alignment vertical="top" wrapText="1"/>
    </x:xf>
    <x:xf numFmtId="202" fontId="7" fillId="17" borderId="7" xfId="0" applyNumberFormat="1" applyFont="1" applyFill="1" applyBorder="1" applyAlignment="1">
      <x:alignment vertical="top" wrapText="1"/>
    </x:xf>
    <x:xf numFmtId="202" fontId="7" fillId="17" borderId="8" xfId="0" applyNumberFormat="1" applyFont="1" applyFill="1" applyBorder="1" applyAlignment="1">
      <x:alignment vertical="top" wrapText="1"/>
    </x:xf>
    <x:xf numFmtId="202" fontId="7" fillId="17" borderId="9" xfId="0" applyNumberFormat="1" applyFont="1" applyFill="1" applyBorder="1" applyAlignment="1">
      <x:alignment vertical="top" wrapText="1"/>
    </x:xf>
    <x:xf numFmtId="202" fontId="7" fillId="17" borderId="10" xfId="0" applyNumberFormat="1" applyFont="1" applyFill="1" applyBorder="1" applyAlignment="1">
      <x:alignment vertical="top" wrapText="1"/>
    </x:xf>
    <x:xf numFmtId="202" fontId="7" fillId="17" borderId="11" xfId="0" applyNumberFormat="1" applyFont="1" applyFill="1" applyBorder="1" applyAlignment="1">
      <x:alignment vertical="top" wrapText="1"/>
    </x:xf>
    <x:xf numFmtId="203" fontId="7" fillId="17" borderId="7" xfId="0" applyNumberFormat="1" applyFont="1" applyFill="1" applyBorder="1" applyAlignment="1">
      <x:alignment vertical="top" wrapText="1"/>
    </x:xf>
    <x:xf numFmtId="203" fontId="7" fillId="17" borderId="10" xfId="0" applyNumberFormat="1" applyFont="1" applyFill="1" applyBorder="1" applyAlignment="1">
      <x:alignment vertical="top" wrapText="1"/>
    </x:xf>
    <x:xf numFmtId="201" fontId="7" fillId="17" borderId="8" xfId="0" applyNumberFormat="1" applyFont="1" applyFill="1" applyBorder="1" applyAlignment="1">
      <x:alignment vertical="top" wrapText="1"/>
    </x:xf>
    <x:xf numFmtId="201" fontId="7" fillId="17" borderId="11" xfId="0" applyNumberFormat="1" applyFont="1" applyFill="1" applyBorder="1" applyAlignment="1">
      <x:alignment vertical="top" wrapText="1"/>
    </x:xf>
    <x:xf numFmtId="203" fontId="7" fillId="0" borderId="7" xfId="0" applyNumberFormat="1" applyFont="1" applyFill="1" applyBorder="1" applyAlignment="1">
      <x:alignment vertical="top" wrapText="1"/>
    </x:xf>
    <x:xf numFmtId="203" fontId="7" fillId="0" borderId="10"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203" fontId="7" fillId="18" borderId="7" xfId="0" applyNumberFormat="1" applyFont="1" applyFill="1" applyBorder="1" applyAlignment="1">
      <x:alignment vertical="top" wrapText="1"/>
    </x:xf>
    <x:xf numFmtId="0" fontId="7" fillId="18" borderId="8" xfId="0" applyNumberFormat="1" applyFont="1" applyFill="1" applyBorder="1" applyAlignment="1">
      <x:alignment vertical="top" wrapText="1"/>
    </x:xf>
    <x:xf numFmtId="0" fontId="10" fillId="18" borderId="6" xfId="0" applyNumberFormat="1" applyFont="1" applyFill="1" applyBorder="1" applyAlignment="1">
      <x:alignment vertical="top" wrapText="1"/>
    </x:xf>
    <x:xf numFmtId="0" fontId="10" fillId="18" borderId="7" xfId="0" applyNumberFormat="1" applyFont="1" applyFill="1" applyBorder="1" applyAlignment="1">
      <x:alignment vertical="top" wrapText="1"/>
    </x:xf>
    <x:xf numFmtId="203" fontId="10" fillId="18" borderId="7" xfId="0" applyNumberFormat="1" applyFont="1" applyFill="1" applyBorder="1" applyAlignment="1">
      <x:alignment vertical="top" wrapText="1"/>
    </x:xf>
    <x:xf numFmtId="0" fontId="10" fillId="18" borderId="8"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3"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8" xfId="0" applyNumberFormat="1" applyFont="1" applyFill="1" applyBorder="1"/>
    <x:xf numFmtId="0" fontId="7" fillId="19" borderId="9" xfId="0" applyNumberFormat="1" applyFont="1" applyFill="1" applyBorder="1"/>
    <x:xf numFmtId="0" fontId="7" fillId="19" borderId="11" xfId="0" applyNumberFormat="1" applyFont="1" applyFill="1" applyBorder="1"/>
    <x:xf numFmtId="0" fontId="7" fillId="19" borderId="3"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8" xfId="0" applyNumberFormat="1" applyFont="1" applyFill="1" applyBorder="1" applyAlignment="1">
      <x:alignment wrapText="1"/>
    </x:xf>
    <x:xf numFmtId="0" fontId="7" fillId="19" borderId="9" xfId="0" applyNumberFormat="1" applyFont="1" applyFill="1" applyBorder="1" applyAlignment="1">
      <x:alignment wrapText="1"/>
    </x:xf>
    <x:xf numFmtId="0" fontId="7" fillId="19" borderId="11" xfId="0" applyNumberFormat="1" applyFont="1" applyFill="1" applyBorder="1" applyAlignment="1">
      <x:alignment wrapText="1"/>
    </x:xf>
    <x:xf numFmtId="0" fontId="7" fillId="19" borderId="3"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8" xfId="0" applyNumberFormat="1" applyFont="1" applyFill="1" applyBorder="1" applyAlignment="1">
      <x:alignment vertical="top" wrapText="1"/>
    </x:xf>
    <x:xf numFmtId="0" fontId="7" fillId="19" borderId="9" xfId="0" applyNumberFormat="1" applyFont="1" applyFill="1" applyBorder="1" applyAlignment="1">
      <x:alignment vertical="top" wrapText="1"/>
    </x:xf>
    <x:xf numFmtId="0" fontId="7" fillId="19" borderId="11" xfId="0" applyNumberFormat="1" applyFont="1" applyFill="1" applyBorder="1" applyAlignment="1">
      <x:alignment vertical="top" wrapText="1"/>
    </x:xf>
    <x:xf numFmtId="0" fontId="14" fillId="19" borderId="3" xfId="0" applyNumberFormat="1" applyFont="1" applyFill="1" applyBorder="1" applyAlignment="1">
      <x:alignment vertical="top" wrapText="1"/>
    </x:xf>
    <x:xf numFmtId="0" fontId="14" fillId="19" borderId="6" xfId="0" applyNumberFormat="1" applyFont="1" applyFill="1" applyBorder="1" applyAlignment="1">
      <x:alignment vertical="top" wrapText="1"/>
    </x:xf>
    <x:xf numFmtId="0" fontId="14" fillId="19" borderId="9" xfId="0" applyNumberFormat="1" applyFont="1" applyFill="1" applyBorder="1" applyAlignment="1">
      <x:alignment vertical="top" wrapText="1"/>
    </x:xf>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19" borderId="4"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7" fillId="20" borderId="9" xfId="0" applyNumberFormat="1" applyFont="1" applyFill="1" applyBorder="1" applyAlignment="1">
      <x:alignment vertical="top" wrapText="1"/>
    </x:xf>
    <x:xf numFmtId="0" fontId="7" fillId="20" borderId="10" xfId="0" applyNumberFormat="1" applyFont="1" applyFill="1" applyBorder="1" applyAlignment="1">
      <x:alignment vertical="top" wrapText="1"/>
    </x:xf>
    <x:xf numFmtId="0" fontId="7" fillId="20" borderId="11" xfId="0" applyNumberFormat="1" applyFont="1" applyFill="1" applyBorder="1" applyAlignment="1">
      <x:alignment vertical="top" wrapText="1"/>
    </x:xf>
    <x:xf numFmtId="0" fontId="12" fillId="20" borderId="9" xfId="0" applyNumberFormat="1" applyFont="1" applyFill="1" applyBorder="1" applyAlignment="1">
      <x:alignment vertical="top" wrapText="1"/>
    </x:xf>
    <x:xf numFmtId="0" fontId="12" fillId="20" borderId="10" xfId="0" applyNumberFormat="1" applyFont="1" applyFill="1" applyBorder="1" applyAlignment="1">
      <x:alignment vertical="top" wrapText="1"/>
    </x:xf>
    <x:xf numFmtId="0" fontId="12" fillId="20" borderId="11"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7" fillId="21" borderId="5" xfId="0" applyNumberFormat="1" applyFont="1" applyFill="1" applyBorder="1" applyAlignment="1">
      <x:alignment vertical="top" wrapText="1"/>
    </x:xf>
    <x:xf numFmtId="0" fontId="8" fillId="21" borderId="3" xfId="0" applyNumberFormat="1" applyFont="1" applyFill="1" applyBorder="1" applyAlignment="1">
      <x:alignment vertical="top" wrapText="1"/>
    </x:xf>
    <x:xf numFmtId="0" fontId="8" fillId="21" borderId="4" xfId="0" applyNumberFormat="1" applyFont="1" applyFill="1" applyBorder="1" applyAlignment="1">
      <x:alignment vertical="top" wrapText="1"/>
    </x:xf>
    <x:xf numFmtId="0" fontId="8" fillId="21" borderId="5" xfId="0" applyNumberFormat="1" applyFont="1" applyFill="1" applyBorder="1" applyAlignment="1">
      <x:alignment vertical="top" wrapText="1"/>
    </x:xf>
    <x:xf numFmtId="0" fontId="8" fillId="21" borderId="3" xfId="0" applyNumberFormat="1" applyFont="1" applyFill="1" applyBorder="1" applyAlignment="1">
      <x:alignment vertical="center" wrapText="1"/>
    </x:xf>
    <x:xf numFmtId="0" fontId="8" fillId="21" borderId="4" xfId="0" applyNumberFormat="1" applyFont="1" applyFill="1" applyBorder="1" applyAlignment="1">
      <x:alignment vertical="center" wrapText="1"/>
    </x:xf>
    <x:xf numFmtId="0" fontId="8" fillId="21" borderId="5" xfId="0" applyNumberFormat="1" applyFont="1" applyFill="1" applyBorder="1" applyAlignment="1">
      <x:alignment vertical="center" wrapText="1"/>
    </x:xf>
    <x:xf numFmtId="0" fontId="7" fillId="19" borderId="10" xfId="0" applyNumberFormat="1" applyFont="1" applyFill="1" applyBorder="1" applyAlignment="1">
      <x:alignment vertical="top" wrapText="1"/>
    </x:xf>
    <x:xf numFmtId="0" fontId="14" fillId="19" borderId="7" xfId="0" applyNumberFormat="1" applyFont="1" applyFill="1" applyBorder="1" applyAlignment="1">
      <x:alignment vertical="top" wrapText="1"/>
    </x:xf>
    <x:xf numFmtId="0" fontId="14" fillId="19" borderId="10" xfId="0" applyNumberFormat="1" applyFont="1" applyFill="1" applyBorder="1" applyAlignment="1">
      <x:alignment vertical="top" wrapText="1"/>
    </x:xf>
    <x:xf numFmtId="0" fontId="7" fillId="22" borderId="6" xfId="0" applyNumberFormat="1" applyFont="1" applyFill="1" applyBorder="1" applyAlignment="1">
      <x:alignment vertical="top" wrapText="1"/>
    </x:xf>
    <x:xf numFmtId="0" fontId="7" fillId="22" borderId="7" xfId="0" applyNumberFormat="1" applyFont="1" applyFill="1" applyBorder="1" applyAlignment="1">
      <x:alignment vertical="top" wrapText="1"/>
    </x:xf>
    <x:xf numFmtId="0" fontId="7" fillId="22" borderId="8" xfId="0" applyNumberFormat="1" applyFont="1" applyFill="1" applyBorder="1" applyAlignment="1">
      <x:alignmen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7" fillId="20" borderId="8" xfId="0" applyNumberFormat="1" applyFont="1" applyFill="1" applyBorder="1" applyAlignment="1">
      <x:alignment vertical="top" wrapText="1"/>
    </x:xf>
    <x:xf numFmtId="0" fontId="12" fillId="20" borderId="6" xfId="0" applyNumberFormat="1" applyFont="1" applyFill="1" applyBorder="1" applyAlignment="1">
      <x:alignment vertical="top" wrapText="1"/>
    </x:xf>
    <x:xf numFmtId="0" fontId="12" fillId="20" borderId="7" xfId="0" applyNumberFormat="1" applyFont="1" applyFill="1" applyBorder="1" applyAlignment="1">
      <x:alignment vertical="top" wrapText="1"/>
    </x:xf>
    <x:xf numFmtId="0" fontId="12" fillId="20" borderId="8" xfId="0" applyNumberFormat="1" applyFont="1" applyFill="1" applyBorder="1" applyAlignment="1">
      <x:alignment vertical="top"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6" fillId="23" borderId="7" xfId="0" applyNumberFormat="1" applyFont="1" applyFill="1" applyBorder="1" applyAlignment="1">
      <x:alignment wrapText="1"/>
    </x:xf>
    <x:xf numFmtId="0" fontId="0" fillId="0" borderId="7"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7" xfId="0" applyNumberFormat="1" applyFont="1" applyFill="1" applyBorder="1"/>
    <x:xf numFmtId="0" fontId="3" fillId="24" borderId="7" xfId="0" applyNumberFormat="1" applyFont="1" applyFill="1" applyBorder="1" applyAlignment="1">
      <x:alignment wrapText="1"/>
    </x:xf>
    <x:xf numFmtId="0" fontId="3" fillId="24" borderId="7" xfId="0" applyNumberFormat="1" applyFont="1" applyFill="1" applyBorder="1" applyAlignment="1">
      <x:alignment vertical="center" wrapText="1"/>
    </x:xf>
    <x:xf numFmtId="0" fontId="15" fillId="0" borderId="0" xfId="0" applyNumberFormat="1" applyFont="1" applyFill="1" applyBorder="1"/>
    <x:xf numFmtId="0" fontId="15" fillId="0" borderId="3"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6"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15" fillId="0" borderId="9" xfId="0" applyNumberFormat="1" applyFont="1" applyFill="1" applyBorder="1"/>
    <x:xf numFmtId="0" fontId="15" fillId="0" borderId="10" xfId="0" applyNumberFormat="1" applyFont="1" applyFill="1" applyBorder="1"/>
    <x:xf numFmtId="0" fontId="15" fillId="0" borderId="11" xfId="0" applyNumberFormat="1" applyFont="1" applyFill="1" applyBorder="1"/>
    <x:xf numFmtId="0" fontId="15" fillId="0" borderId="3" xfId="0" applyNumberFormat="1" applyFont="1" applyFill="1" applyBorder="1" applyAlignment="1">
      <x:alignment wrapText="1"/>
    </x:xf>
    <x:xf numFmtId="0" fontId="15" fillId="0" borderId="4" xfId="0" applyNumberFormat="1" applyFont="1" applyFill="1" applyBorder="1" applyAlignment="1">
      <x:alignment wrapText="1"/>
    </x:xf>
    <x:xf numFmtId="0" fontId="15" fillId="0" borderId="5" xfId="0" applyNumberFormat="1" applyFont="1" applyFill="1" applyBorder="1" applyAlignment="1">
      <x:alignment wrapText="1"/>
    </x:xf>
    <x:xf numFmtId="0" fontId="15" fillId="0" borderId="6" xfId="0" applyNumberFormat="1" applyFont="1" applyFill="1" applyBorder="1" applyAlignment="1">
      <x:alignment wrapText="1"/>
    </x:xf>
    <x:xf numFmtId="0" fontId="15" fillId="0" borderId="7" xfId="0" applyNumberFormat="1" applyFont="1" applyFill="1" applyBorder="1" applyAlignment="1">
      <x:alignment wrapText="1"/>
    </x:xf>
    <x:xf numFmtId="0" fontId="15" fillId="0" borderId="8" xfId="0" applyNumberFormat="1" applyFont="1" applyFill="1" applyBorder="1" applyAlignment="1">
      <x:alignment wrapText="1"/>
    </x:xf>
    <x:xf numFmtId="0" fontId="15" fillId="0" borderId="9" xfId="0" applyNumberFormat="1" applyFont="1" applyFill="1" applyBorder="1" applyAlignment="1">
      <x:alignment wrapText="1"/>
    </x:xf>
    <x:xf numFmtId="0" fontId="15" fillId="0" borderId="10" xfId="0" applyNumberFormat="1" applyFont="1" applyFill="1" applyBorder="1" applyAlignment="1">
      <x:alignment wrapText="1"/>
    </x:xf>
    <x:xf numFmtId="0" fontId="15" fillId="0" borderId="11" xfId="0" applyNumberFormat="1" applyFont="1" applyFill="1" applyBorder="1" applyAlignment="1">
      <x:alignment wrapText="1"/>
    </x:xf>
    <x:xf numFmtId="0" fontId="15" fillId="0" borderId="3"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5" fillId="0" borderId="7"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25" borderId="3" xfId="0" applyNumberFormat="1" applyFont="1" applyFill="1" applyBorder="1" applyAlignment="1">
      <x:alignment vertical="top" wrapText="1"/>
    </x:xf>
    <x:xf numFmtId="0" fontId="15" fillId="25" borderId="4" xfId="0" applyNumberFormat="1" applyFont="1" applyFill="1" applyBorder="1" applyAlignment="1">
      <x:alignment vertical="top" wrapText="1"/>
    </x:xf>
    <x:xf numFmtId="0" fontId="15" fillId="25" borderId="5"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204" fontId="15" fillId="0" borderId="10" xfId="0" applyNumberFormat="1" applyFont="1" applyFill="1" applyBorder="1" applyAlignment="1">
      <x:alignment vertical="top" wrapText="1"/>
    </x:xf>
    <x:xf numFmtId="205" fontId="15" fillId="0" borderId="3" xfId="0" applyNumberFormat="1" applyFont="1" applyFill="1" applyBorder="1" applyAlignment="1">
      <x:alignment vertical="top" wrapText="1"/>
    </x:xf>
    <x:xf numFmtId="205" fontId="15" fillId="0" borderId="4" xfId="0" applyNumberFormat="1" applyFont="1" applyFill="1" applyBorder="1" applyAlignment="1">
      <x:alignment vertical="top" wrapText="1"/>
    </x:xf>
    <x:xf numFmtId="205" fontId="15" fillId="0" borderId="6" xfId="0" applyNumberFormat="1" applyFont="1" applyFill="1" applyBorder="1" applyAlignment="1">
      <x:alignment vertical="top" wrapText="1"/>
    </x:xf>
    <x:xf numFmtId="205" fontId="15" fillId="0" borderId="7" xfId="0" applyNumberFormat="1" applyFont="1" applyFill="1" applyBorder="1" applyAlignment="1">
      <x:alignment vertical="top" wrapText="1"/>
    </x:xf>
    <x:xf numFmtId="205" fontId="15" fillId="0" borderId="9" xfId="0" applyNumberFormat="1" applyFont="1" applyFill="1" applyBorder="1" applyAlignment="1">
      <x:alignment vertical="top" wrapText="1"/>
    </x:xf>
    <x:xf numFmtId="205" fontId="15" fillId="0" borderId="10" xfId="0" applyNumberFormat="1" applyFont="1" applyFill="1" applyBorder="1" applyAlignment="1">
      <x:alignment vertical="top"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0" fillId="0" borderId="7" xfId="0" applyNumberFormat="1" applyFont="1" applyFill="1" applyBorder="1"/>
    <x:xf numFmtId="201" fontId="0" fillId="0" borderId="7" xfId="0" applyNumberFormat="1" applyFont="1" applyFill="1" applyBorder="1"/>
    <x:xf numFmtId="0" fontId="0" fillId="27" borderId="0" xfId="0" applyNumberFormat="1" applyFont="1" applyFill="1" applyBorder="1"/>
    <x:xf numFmtId="0" fontId="16" fillId="27" borderId="0" xfId="0" applyNumberFormat="1" applyFont="1" applyFill="1" applyBorder="1"/>
    <x:xf numFmtId="0" fontId="16" fillId="27" borderId="0" xfId="0" applyNumberFormat="1" applyFont="1" applyFill="1" applyBorder="1" applyAlignment="1">
      <x:alignment wrapText="1"/>
    </x:xf>
    <x:xf numFmtId="204" fontId="15" fillId="0" borderId="3"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9" xfId="0" applyNumberFormat="1" applyFont="1" applyFill="1" applyBorder="1" applyAlignment="1">
      <x:alignment vertical="top" wrapText="1"/>
    </x:xf>
    <x:xf numFmtId="206" fontId="15" fillId="0" borderId="4" xfId="0" applyNumberFormat="1" applyFont="1" applyFill="1" applyBorder="1" applyAlignment="1">
      <x:alignment vertical="top" wrapText="1"/>
    </x:xf>
    <x:xf numFmtId="206" fontId="15" fillId="0" borderId="7" xfId="0" applyNumberFormat="1" applyFont="1" applyFill="1" applyBorder="1" applyAlignment="1">
      <x:alignment vertical="top" wrapText="1"/>
    </x:xf>
    <x:xf numFmtId="206" fontId="15" fillId="0" borderId="10"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201" fontId="15" fillId="0" borderId="7" xfId="0" applyNumberFormat="1" applyFont="1" applyFill="1" applyBorder="1" applyAlignment="1">
      <x:alignment vertical="top" wrapText="1"/>
    </x:xf>
    <x:xf numFmtId="201" fontId="15" fillId="0" borderId="10" xfId="0" applyNumberFormat="1" applyFont="1" applyFill="1" applyBorder="1" applyAlignment="1">
      <x:alignment vertical="top" wrapText="1"/>
    </x:xf>
    <x:xf numFmtId="206" fontId="15" fillId="0" borderId="3" xfId="0" applyNumberFormat="1" applyFont="1" applyFill="1" applyBorder="1" applyAlignment="1">
      <x:alignment vertical="top" wrapText="1"/>
    </x:xf>
    <x:xf numFmtId="206" fontId="15" fillId="0" borderId="6" xfId="0" applyNumberFormat="1" applyFont="1" applyFill="1" applyBorder="1" applyAlignment="1">
      <x:alignment vertical="top" wrapText="1"/>
    </x:xf>
    <x:xf numFmtId="206" fontId="15" fillId="0" borderId="9" xfId="0" applyNumberFormat="1" applyFont="1" applyFill="1" applyBorder="1" applyAlignment="1">
      <x:alignment vertical="top" wrapText="1"/>
    </x:xf>
    <x:xf numFmtId="205" fontId="15" fillId="25" borderId="4"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28" borderId="14" xfId="0" applyNumberFormat="1" applyFont="1" applyFill="1" applyBorder="1" applyAlignment="1">
      <x:alignment vertical="top" wrapText="1"/>
    </x:xf>
    <x:xf numFmtId="0" fontId="3" fillId="28" borderId="14" xfId="0" applyNumberFormat="1" applyFont="1" applyFill="1" applyBorder="1" applyAlignment="1">
      <x:alignment vertical="top" wrapText="1"/>
    </x:xf>
    <x:xf numFmtId="0" fontId="3" fillId="28" borderId="14" xfId="0" applyNumberFormat="1" applyFont="1" applyFill="1" applyBorder="1" applyAlignment="1">
      <x:alignment vertical="center" wrapText="1"/>
    </x:xf>
    <x:xf numFmtId="205" fontId="0" fillId="0" borderId="0" xfId="0" applyNumberFormat="1" applyFont="1" applyFill="1" applyBorder="1"/>
    <x:xf numFmtId="205" fontId="0" fillId="0" borderId="0" xfId="0" applyNumberFormat="1" applyFont="1" applyFill="1" applyBorder="1" applyAlignment="1">
      <x:alignment wrapText="1"/>
    </x:xf>
    <x:xf numFmtId="205" fontId="0" fillId="0" borderId="0" xfId="0" applyNumberFormat="1" applyFont="1" applyFill="1" applyBorder="1" applyAlignment="1">
      <x:alignment vertical="top" wrapText="1"/>
    </x:xf>
    <x:xf numFmtId="205" fontId="0" fillId="0" borderId="14" xfId="0" applyNumberFormat="1" applyFont="1" applyFill="1" applyBorder="1" applyAlignment="1">
      <x:alignment vertical="top" wrapText="1"/>
    </x:xf>
    <x:xf numFmtId="205" fontId="0" fillId="28" borderId="14" xfId="0" applyNumberFormat="1" applyFont="1" applyFill="1" applyBorder="1" applyAlignment="1">
      <x:alignment vertical="top" wrapText="1"/>
    </x:xf>
    <x:xf numFmtId="205" fontId="3" fillId="28" borderId="14" xfId="0" applyNumberFormat="1" applyFont="1" applyFill="1" applyBorder="1" applyAlignment="1">
      <x:alignment vertical="top" wrapText="1"/>
    </x:xf>
    <x:xf numFmtId="205" fontId="3" fillId="28" borderId="14" xfId="0" applyNumberFormat="1" applyFont="1" applyFill="1" applyBorder="1" applyAlignment="1">
      <x:alignment vertical="center" wrapText="1"/>
    </x:xf>
    <x:xf numFmtId="0" fontId="0" fillId="29" borderId="0" xfId="0" applyNumberFormat="1" applyFont="1" applyFill="1" applyBorder="1"/>
    <x:xf numFmtId="0" fontId="3" fillId="29" borderId="0" xfId="0" applyNumberFormat="1" applyFont="1" applyFill="1" applyBorder="1"/>
    <x:xf numFmtId="0" fontId="3" fillId="29" borderId="15" xfId="0" applyNumberFormat="1" applyFont="1" applyFill="1" applyBorder="1"/>
    <x:xf numFmtId="0" fontId="3" fillId="29" borderId="15" xfId="0" applyNumberFormat="1" applyFont="1" applyFill="1" applyBorder="1" applyAlignment="1">
      <x:alignment wrapText="1"/>
    </x:xf>
    <x:xf numFmtId="0" fontId="3" fillId="29" borderId="15" xfId="0" applyNumberFormat="1" applyFont="1" applyFill="1" applyBorder="1" applyAlignment="1">
      <x:alignment vertical="center" wrapText="1"/>
    </x:xf>
    <x:xf numFmtId="0" fontId="18" fillId="0" borderId="0" xfId="0" applyNumberFormat="1" applyFont="1" applyFill="1" applyBorder="1"/>
    <x:xf numFmtId="0" fontId="18" fillId="0" borderId="15" xfId="0" applyNumberFormat="1" applyFont="1" applyFill="1" applyBorder="1"/>
    <x:xf numFmtId="0" fontId="18" fillId="0" borderId="15" xfId="0" applyNumberFormat="1" applyFont="1" applyFill="1" applyBorder="1" applyAlignment="1">
      <x:alignment wrapText="1"/>
    </x:xf>
    <x:xf numFmtId="0" fontId="18" fillId="0" borderId="15" xfId="0" applyNumberFormat="1" applyFont="1" applyFill="1" applyBorder="1" applyAlignment="1">
      <x:alignment vertical="top" wrapText="1"/>
    </x:xf>
    <x:xf numFmtId="0" fontId="18" fillId="0" borderId="15" xfId="0" applyNumberFormat="1" applyFont="1" applyFill="1" applyBorder="1" applyAlignment="1">
      <x:alignment horizontal="right" vertical="top" wrapText="1"/>
    </x:xf>
    <x:xf numFmtId="204" fontId="18" fillId="0" borderId="15" xfId="0" applyNumberFormat="1" applyFont="1" applyFill="1" applyBorder="1" applyAlignment="1">
      <x:alignment horizontal="right" vertical="top" wrapText="1"/>
    </x:xf>
  </x:cellXfs>
  <x:cellStyles count="1">
    <x:cellStyle name="Normal" xfId="0"/>
  </x:cellStyles>
  <x:dxfs count="9">
    <x:dxf>
      <x:fill>
        <x:patternFill>
          <x:bgColor rgb="FFFFF2CC"/>
        </x:patternFill>
      </x:fill>
    </x:dxf>
    <x:dxf>
      <x:font>
        <x:b/>
        <x:color rgb="FF006100"/>
      </x:font>
      <x:fill>
        <x:patternFill>
          <x:bgColor rgb="FFC6EFCE"/>
        </x:patternFill>
      </x:fill>
    </x:dxf>
    <x:dxf>
      <x:font>
        <x:color rgb="FF7F6000"/>
      </x:font>
      <x:fill>
        <x:patternFill>
          <x:bgColor rgb="FFFFF2CC"/>
        </x:patternFill>
      </x:fill>
    </x:dxf>
    <x:dxf>
      <x:font>
        <x:color rgb="FF9C0006"/>
      </x:font>
      <x:fill>
        <x:patternFill>
          <x:bgColor rgb="FFFCE4D6"/>
        </x:patternFill>
      </x:fill>
    </x:dxf>
    <x:dxf>
      <x:font>
        <x:b/>
        <x:color rgb="FF7F6000"/>
      </x:font>
      <x:fill>
        <x:patternFill>
          <x:bgColor rgb="FFFFF2CC"/>
        </x:patternFill>
      </x:fill>
    </x:dxf>
    <x:dxf>
      <x:font>
        <x:b/>
        <x:color rgb="FF006100"/>
      </x:font>
      <x:fill>
        <x:patternFill>
          <x:bgColor rgb="FFC6EFCE"/>
        </x:patternFill>
      </x:fill>
    </x:dxf>
    <x:dxf>
      <x:font>
        <x:color rgb="FF7F6000"/>
      </x:font>
      <x:fill>
        <x:patternFill>
          <x:bgColor rgb="FFFFF2CC"/>
        </x:patternFill>
      </x:fill>
    </x:dxf>
    <x:dxf>
      <x:font>
        <x:color rgb="FF9C0006"/>
      </x:font>
      <x:fill>
        <x:patternFill>
          <x:bgColor rgb="FFFCE4D6"/>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07632998390450d" /><Relationship Type="http://schemas.openxmlformats.org/officeDocument/2006/relationships/theme" Target="/xl/theme/theme1.xml" Id="R9be9962115574684" /><Relationship Type="http://schemas.openxmlformats.org/officeDocument/2006/relationships/sharedStrings" Target="/xl/sharedStrings.xml" Id="R43b89067b1c947a5" /><Relationship Type="http://schemas.openxmlformats.org/officeDocument/2006/relationships/worksheet" Target="/xl/worksheets/sheet1.xml" Id="Rb1031f2777444f0f" /><Relationship Type="http://schemas.openxmlformats.org/officeDocument/2006/relationships/worksheet" Target="/xl/worksheets/sheet2.xml" Id="Rc1a1da969b93427d" /><Relationship Type="http://schemas.openxmlformats.org/officeDocument/2006/relationships/worksheet" Target="/xl/worksheets/sheet3.xml" Id="Rb35cb073c5e44079" /><Relationship Type="http://schemas.openxmlformats.org/officeDocument/2006/relationships/worksheet" Target="/xl/worksheets/sheet4.xml" Id="R1437907a171645c7" /><Relationship Type="http://schemas.openxmlformats.org/officeDocument/2006/relationships/worksheet" Target="/xl/worksheets/sheet5.xml" Id="R2a63ffdd5d894b24" /><Relationship Type="http://schemas.openxmlformats.org/officeDocument/2006/relationships/worksheet" Target="/xl/worksheets/sheet6.xml" Id="R832e31e1a9d948ea" /><Relationship Type="http://schemas.openxmlformats.org/officeDocument/2006/relationships/worksheet" Target="/xl/worksheets/sheet7.xml" Id="R7b48303aefe64c79" /><Relationship Type="http://schemas.openxmlformats.org/officeDocument/2006/relationships/worksheet" Target="/xl/worksheets/sheet8.xml" Id="Raaf5342695744889" /><Relationship Type="http://schemas.openxmlformats.org/officeDocument/2006/relationships/worksheet" Target="/xl/worksheets/sheet9.xml" Id="R2cdea4e9bb9b4f25" /><Relationship Type="http://schemas.openxmlformats.org/officeDocument/2006/relationships/worksheet" Target="/xl/worksheets/sheet10.xml" Id="R9516dd3516e14f40" /><Relationship Type="http://schemas.openxmlformats.org/officeDocument/2006/relationships/worksheet" Target="/xl/worksheets/sheet11.xml" Id="R0e93e263d44541cd" /><Relationship Type="http://schemas.openxmlformats.org/officeDocument/2006/relationships/worksheet" Target="/xl/worksheets/sheet12.xml" Id="R39ad0841ff5c47d2" /><Relationship Type="http://schemas.openxmlformats.org/officeDocument/2006/relationships/worksheet" Target="/xl/worksheets/sheet13.xml" Id="Rb93c7409993842ab" /><Relationship Type="http://schemas.openxmlformats.org/officeDocument/2006/relationships/worksheet" Target="/xl/worksheets/sheet14.xml" Id="R9094721801fc42d0" /><Relationship Type="http://schemas.openxmlformats.org/officeDocument/2006/relationships/worksheet" Target="/xl/worksheets/sheet15.xml" Id="Rc3cf1387338b4d6d" /><Relationship Type="http://schemas.openxmlformats.org/officeDocument/2006/relationships/worksheet" Target="/xl/worksheets/sheet16.xml" Id="R2e9e3facda3e4723" /><Relationship Type="http://schemas.openxmlformats.org/officeDocument/2006/relationships/worksheet" Target="/xl/worksheets/sheet17.xml" Id="R3f108b7cea5744de" /><Relationship Type="http://schemas.openxmlformats.org/officeDocument/2006/relationships/worksheet" Target="/xl/worksheets/sheet18.xml" Id="Rd86dd3825c654f73" /><Relationship Type="http://schemas.openxmlformats.org/officeDocument/2006/relationships/worksheet" Target="/xl/worksheets/sheet19.xml" Id="Rf444e995e74849e4" /><Relationship Type="http://schemas.openxmlformats.org/officeDocument/2006/relationships/worksheet" Target="/xl/worksheets/sheet20.xml" Id="R6d86f11ed2da44d6" /><Relationship Type="http://schemas.openxmlformats.org/officeDocument/2006/relationships/worksheet" Target="/xl/worksheets/sheet21.xml" Id="Rd1b58928fda241a8" /><Relationship Type="http://schemas.openxmlformats.org/officeDocument/2006/relationships/worksheet" Target="/xl/worksheets/sheet22.xml" Id="R0110c46d8a7c421f" /><Relationship Type="http://schemas.openxmlformats.org/officeDocument/2006/relationships/worksheet" Target="/xl/worksheets/sheet23.xml" Id="R8d401b37da514483" /><Relationship Type="http://schemas.openxmlformats.org/officeDocument/2006/relationships/worksheet" Target="/xl/worksheets/sheet24.xml" Id="R87c4253ec7af403c" /><Relationship Type="http://schemas.openxmlformats.org/officeDocument/2006/relationships/worksheet" Target="/xl/worksheets/sheet25.xml" Id="Rca21b4a04d994039" /><Relationship Type="http://schemas.openxmlformats.org/officeDocument/2006/relationships/worksheet" Target="/xl/worksheets/sheet26.xml" Id="R93d4ab4512354ef4" /><Relationship Type="http://schemas.openxmlformats.org/officeDocument/2006/relationships/worksheet" Target="/xl/worksheets/sheet27.xml" Id="Radc07c63ad7b4146" /><Relationship Type="http://schemas.openxmlformats.org/officeDocument/2006/relationships/worksheet" Target="/xl/worksheets/sheet28.xml" Id="R36710f35e3824154" /><Relationship Type="http://schemas.openxmlformats.org/officeDocument/2006/relationships/worksheet" Target="/xl/worksheets/sheet29.xml" Id="R42f4cb8d49434225" /><Relationship Type="http://schemas.openxmlformats.org/officeDocument/2006/relationships/worksheet" Target="/xl/worksheets/sheet30.xml" Id="R76e05b338d094e8b" /><Relationship Type="http://schemas.openxmlformats.org/officeDocument/2006/relationships/worksheet" Target="/xl/worksheets/sheet31.xml" Id="R38e89b07ebb04934" /><Relationship Type="http://schemas.openxmlformats.org/officeDocument/2006/relationships/worksheet" Target="/xl/worksheets/sheet32.xml" Id="R483d55e589a04bbd" /><Relationship Type="http://schemas.openxmlformats.org/officeDocument/2006/relationships/worksheet" Target="/xl/worksheets/sheet33.xml" Id="R4ba5b034c36b4762" /><Relationship Type="http://schemas.openxmlformats.org/officeDocument/2006/relationships/worksheet" Target="/xl/worksheets/sheet34.xml" Id="R01e22b18602c450c" /><Relationship Type="http://schemas.openxmlformats.org/officeDocument/2006/relationships/worksheet" Target="/xl/worksheets/sheet35.xml" Id="R456125e0c3f84a1d" /><Relationship Type="http://schemas.openxmlformats.org/officeDocument/2006/relationships/worksheet" Target="/xl/worksheets/sheet36.xml" Id="R044f82c78a324586" /><Relationship Type="http://schemas.openxmlformats.org/officeDocument/2006/relationships/worksheet" Target="/xl/worksheets/sheet37.xml" Id="R7ff2cc5329e440bd" /><Relationship Type="http://schemas.openxmlformats.org/officeDocument/2006/relationships/worksheet" Target="/xl/worksheets/sheet38.xml" Id="Rdfabbfec42834a61" /><Relationship Type="http://schemas.openxmlformats.org/officeDocument/2006/relationships/worksheet" Target="/xl/worksheets/sheet39.xml" Id="Rcf018901c8e84408" /><Relationship Type="http://schemas.openxmlformats.org/officeDocument/2006/relationships/worksheet" Target="/xl/worksheets/sheet40.xml" Id="Rd0b23107f52f4f43" /><Relationship Type="http://schemas.openxmlformats.org/officeDocument/2006/relationships/worksheet" Target="/xl/worksheets/sheet41.xml" Id="R62c7d1ff77004190" /><Relationship Type="http://schemas.openxmlformats.org/officeDocument/2006/relationships/worksheet" Target="/xl/worksheets/sheet42.xml" Id="Radd029eb3a744f9b" /><Relationship Type="http://schemas.openxmlformats.org/officeDocument/2006/relationships/worksheet" Target="/xl/worksheets/sheet43.xml" Id="R3e658ef645ed4444" /><Relationship Type="http://schemas.openxmlformats.org/officeDocument/2006/relationships/worksheet" Target="/xl/worksheets/sheet44.xml" Id="R9121cac8eb6f40d4" /><Relationship Type="http://schemas.openxmlformats.org/officeDocument/2006/relationships/worksheet" Target="/xl/worksheets/sheet45.xml" Id="R5b2604a66ecd4421" /><Relationship Type="http://schemas.openxmlformats.org/officeDocument/2006/relationships/worksheet" Target="/xl/worksheets/sheet46.xml" Id="R683837bebeca4875" /><Relationship Type="http://schemas.openxmlformats.org/officeDocument/2006/relationships/worksheet" Target="/xl/worksheets/sheet47.xml" Id="R0bf667b05a404fa0" /><Relationship Type="http://schemas.openxmlformats.org/officeDocument/2006/relationships/worksheet" Target="/xl/worksheets/sheet48.xml" Id="R6b45304f0b8d4bae" /><Relationship Type="http://schemas.openxmlformats.org/officeDocument/2006/relationships/worksheet" Target="/xl/worksheets/sheet49.xml" Id="R876ce15a077d42db" /><Relationship Type="http://schemas.openxmlformats.org/officeDocument/2006/relationships/worksheet" Target="/xl/worksheets/sheet50.xml" Id="R16bec0b966f54b27" /></Relationships>
</file>

<file path=xl/drawings/_rels/drawing1.xml.rels>&#65279;<?xml version="1.0" encoding="utf-8"?><Relationships xmlns="http://schemas.openxmlformats.org/package/2006/relationships"><Relationship Type="http://schemas.openxmlformats.org/officeDocument/2006/relationships/chart" Target="/xl/drawings/charts/chart1.xml" Id="R677d228dd9ab44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Camry Capture 02 — Frame Rate vs CAN Time</a:t>
            </a:r>
          </a:p>
        </c:rich>
      </c:tx>
    </c:title>
    <c:plotArea>
      <c:lineChart>
        <c:grouping val="standard"/>
        <c:varyColors val="0"/>
        <c:ser>
          <c:idx val="0"/>
          <c:order val="0"/>
          <c:tx>
            <c:v>Frames / second</c:v>
          </c:tx>
          <c:marker>
            <c:symbol val="none"/>
          </c:marker>
          <c:cat>
            <c:strRef>
              <c:f>'Camry02 FPS Profile'!$A$2:$A$591</c:f>
              <c:strCache>
                <c:ptCount val="0"/>
              </c:strCache>
            </c:strRef>
          </c:cat>
          <c:val>
            <c:numRef>
              <c:f>'Camry02 FPS Profile'!$B$2:$B$591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7d228dd9ab443b"/>
        </a:graphicData>
      </a:graphic>
    </xdr:graphicFrame>
    <xdr:clientData/>
  </xdr:twoCellAnchor>
</xdr:wsDr>
</file>

<file path=xl/tables/table1.xml><?xml version="1.0" encoding="utf-8"?>
<x:table xmlns:x="http://schemas.openxmlformats.org/spreadsheetml/2006/main" id="1" name="VehicleProfilesTbl" displayName="VehicleProfilesTbl" ref="A1:H6" headerRowCount="1">
  <x:autoFilter ref="A1:H6"/>
  <x:tableColumns count="8">
    <x:tableColumn id="1" name="Profile ID"/>
    <x:tableColumn id="2" name="Vehicle"/>
    <x:tableColumn id="3" name="Model Years"/>
    <x:tableColumn id="4" name="Platform"/>
    <x:tableColumn id="5" name="Bus"/>
    <x:tableColumn id="6" name="Nominal Rate"/>
    <x:tableColumn id="7" name="Status"/>
    <x:tableColumn id="8" name="Notes"/>
  </x:tableColumns>
  <x:tableStyleInfo name="TableStyleMedium2" showRowStripes="1" showColumnStripes="0"/>
</x:table>
</file>

<file path=xl/tables/table2.xml><?xml version="1.0" encoding="utf-8"?>
<x:table xmlns:x="http://schemas.openxmlformats.org/spreadsheetml/2006/main" id="2" name="CANMessagesTbl" displayName="CANMessagesTbl" ref="A1:O59" headerRowCount="1">
  <x:autoFilter ref="A1:O59"/>
  <x:tableColumns count="15">
    <x:tableColumn id="1" name="CAN ID"/>
    <x:tableColumn id="2" name="ID Hex"/>
    <x:tableColumn id="3" name="Frame Type"/>
    <x:tableColumn id="4" name="Frames in Capture"/>
    <x:tableColumn id="5" name="Capture %"/>
    <x:tableColumn id="6" name="DLC Mode"/>
    <x:tableColumn id="7" name="Mean Period (ms)"/>
    <x:tableColumn id="8" name="Approx Rate (Hz)"/>
    <x:tableColumn id="9" name="First Data"/>
    <x:tableColumn id="10" name="Last Data"/>
    <x:tableColumn id="11" name="Vass Description"/>
    <x:tableColumn id="12" name="Vass Frequency"/>
    <x:tableColumn id="13" name="Vass Notes"/>
    <x:tableColumn id="14" name="Confidence"/>
    <x:tableColumn id="15" name="Evidence / Status"/>
  </x:tableColumns>
  <x:tableStyleInfo name="TableStyleMedium2" showRowStripes="1" showColumnStripes="0"/>
</x:table>
</file>

<file path=xl/tables/table3.xml><?xml version="1.0" encoding="utf-8"?>
<x:table xmlns:x="http://schemas.openxmlformats.org/spreadsheetml/2006/main" id="3" name="SignalsTbl" displayName="SignalsTbl" ref="A1:M27" headerRowCount="1">
  <x:autoFilter ref="A1:M27"/>
  <x:tableColumns count="13">
    <x:tableColumn id="1" name="Vehicle Profile"/>
    <x:tableColumn id="2" name="Bus"/>
    <x:tableColumn id="3" name="CAN ID"/>
    <x:tableColumn id="4" name="Subsystem"/>
    <x:tableColumn id="5" name="Signal"/>
    <x:tableColumn id="6" name="Interpretation / Note"/>
    <x:tableColumn id="7" name="Unit"/>
    <x:tableColumn id="8" name="Scale"/>
    <x:tableColumn id="9" name="Signedness"/>
    <x:tableColumn id="10" name="Bit Layout"/>
    <x:tableColumn id="11" name="Acquisition"/>
    <x:tableColumn id="12" name="Confidence"/>
    <x:tableColumn id="13" name="Source"/>
  </x:tableColumns>
  <x:tableStyleInfo name="TableStyleMedium2" showRowStripes="1" showColumnStripes="0"/>
</x:table>
</file>

<file path=xl/tables/table4.xml><?xml version="1.0" encoding="utf-8"?>
<x:table xmlns:x="http://schemas.openxmlformats.org/spreadsheetml/2006/main" id="4" name="CaptureSummaryTbl" displayName="CaptureSummaryTbl" ref="A1:B19" headerRowCount="1">
  <x:autoFilter ref="A1:B19"/>
  <x:tableColumns count="2">
    <x:tableColumn id="1" name="Field"/>
    <x:tableColumn id="2" name="Value"/>
  </x:tableColumns>
  <x:tableStyleInfo name="TableStyleMedium2" showRowStripes="1" showColumnStripes="0"/>
</x:table>
</file>

<file path=xl/tables/table5.xml><?xml version="1.0" encoding="utf-8"?>
<x:table xmlns:x="http://schemas.openxmlformats.org/spreadsheetml/2006/main" id="5" name="ResearchBacklogTbl" displayName="ResearchBacklogTbl" ref="A1:F16" headerRowCount="1">
  <x:autoFilter ref="A1:F16"/>
  <x:tableColumns count="6">
    <x:tableColumn id="1" name="ID"/>
    <x:tableColumn id="2" name="Vehicle"/>
    <x:tableColumn id="3" name="Task"/>
    <x:tableColumn id="4" name="Area"/>
    <x:tableColumn id="5" name="Priority"/>
    <x:tableColumn id="6" name="Method / Acceptance"/>
  </x:tableColumns>
  <x:tableStyleInfo name="TableStyleMedium2" showRowStripes="1" showColumnStripes="0"/>
</x:table>
</file>

<file path=xl/tables/table6.xml><?xml version="1.0" encoding="utf-8"?>
<x:table xmlns:x="http://schemas.openxmlformats.org/spreadsheetml/2006/main" id="6" name="SourcesTbl" displayName="SourcesTbl" ref="A1:E9" headerRowCount="1">
  <x:autoFilter ref="A1:E9"/>
  <x:tableColumns count="5">
    <x:tableColumn id="1" name="Source ID"/>
    <x:tableColumn id="2" name="Source"/>
    <x:tableColumn id="3" name="Location"/>
    <x:tableColumn id="4" name="Role"/>
    <x:tableColumn id="5" name="Use / Caveat"/>
  </x:tableColumns>
  <x:tableStyleInfo name="TableStyleMedium2" showRowStripes="1" showColumnStripes="0"/>
</x:table>
</file>

<file path=xl/tables/table7.xml><?xml version="1.0" encoding="utf-8"?>
<x:table xmlns:x="http://schemas.openxmlformats.org/spreadsheetml/2006/main" id="7" name="CaptureInventoryV02" displayName="CaptureInventoryV02" ref="A1:O4" headerRowCount="1" totalsRowCount="0" totalsRowShown="0">
  <x:tableColumns count="15">
    <x:tableColumn id="1" name="Capture ID"/>
    <x:tableColumn id="2" name="Vehicle"/>
    <x:tableColumn id="3" name="Raw Log"/>
    <x:tableColumn id="4" name="Test / Narrative Scope"/>
    <x:tableColumn id="5" name="Frames"/>
    <x:tableColumn id="6" name="Unique IDs"/>
    <x:tableColumn id="7" name="Extended ID Count"/>
    <x:tableColumn id="8" name="Extended IDs"/>
    <x:tableColumn id="9" name="CAN Duration s"/>
    <x:tableColumn id="10" name="Average FPS"/>
    <x:tableColumn id="11" name="Audio File"/>
    <x:tableColumn id="12" name="Audio Duration s"/>
    <x:tableColumn id="13" name="CAN Bitrate"/>
    <x:tableColumn id="14" name="ESP32 Mode"/>
    <x:tableColumn id="15" name="PC Transport"/>
  </x:tableColumns>
  <x:tableStyleInfo name="TableStyleMedium2" showFirstColumn="0" showLastColumn="0" showRowStripes="1" showColumnStripes="0"/>
</x:table>
</file>

<file path=xl/tables/table8.xml><?xml version="1.0" encoding="utf-8"?>
<x:table xmlns:x="http://schemas.openxmlformats.org/spreadsheetml/2006/main" id="8" name="CANMessagesV02" displayName="CANMessagesV02" ref="A1:X104" headerRowCount="1" totalsRowCount="0" totalsRowShown="0">
  <x:tableColumns count="24">
    <x:tableColumn id="1" name="CAN ID"/>
    <x:tableColumn id="2" name="Frame Type"/>
    <x:tableColumn id="3" name="PRIUS_READY_01 Frames"/>
    <x:tableColumn id="4" name="PRIUS_READY_01 Capture %"/>
    <x:tableColumn id="5" name="PRIUS_READY_01 DLC Mode"/>
    <x:tableColumn id="6" name="PRIUS_READY_01 Mean Period ms"/>
    <x:tableColumn id="7" name="PRIUS_READY_01 Approx Hz"/>
    <x:tableColumn id="8" name="PRIUS_READY_01 First Data"/>
    <x:tableColumn id="9" name="PRIUS_READY_01 Last Data"/>
    <x:tableColumn id="10" name="PRIUS_DRIVE_02 Frames"/>
    <x:tableColumn id="11" name="PRIUS_DRIVE_02 Capture %"/>
    <x:tableColumn id="12" name="PRIUS_DRIVE_02 DLC Mode"/>
    <x:tableColumn id="13" name="PRIUS_DRIVE_02 Mean Period ms"/>
    <x:tableColumn id="14" name="PRIUS_DRIVE_02 Approx Hz"/>
    <x:tableColumn id="15" name="PRIUS_DRIVE_02 First Data"/>
    <x:tableColumn id="16" name="PRIUS_DRIVE_02 Last Data"/>
    <x:tableColumn id="17" name="CAMRY_DRIVE_01 Frames"/>
    <x:tableColumn id="18" name="CAMRY_DRIVE_01 Capture %"/>
    <x:tableColumn id="19" name="CAMRY_DRIVE_01 DLC Mode"/>
    <x:tableColumn id="20" name="CAMRY_DRIVE_01 Mean Period ms"/>
    <x:tableColumn id="21" name="CAMRY_DRIVE_01 Approx Hz"/>
    <x:tableColumn id="22" name="CAMRY_DRIVE_01 First Data"/>
    <x:tableColumn id="23" name="CAMRY_DRIVE_01 Last Data"/>
    <x:tableColumn id="24" name="Cross-Capture Status"/>
  </x:tableColumns>
  <x:tableStyleInfo name="TableStyleMedium2" showFirstColumn="0" showLastColumn="0" showRowStripes="1" showColumnStripes="0"/>
</x:table>
</file>

<file path=xl/tables/table9.xml><?xml version="1.0" encoding="utf-8"?>
<x:table xmlns:x="http://schemas.openxmlformats.org/spreadsheetml/2006/main" id="9" name="PriusCamryCompareV02" displayName="PriusCamryCompareV02" ref="A1:E103" headerRowCount="1" totalsRowCount="0" totalsRowShown="0">
  <x:tableColumns count="5">
    <x:tableColumn id="1" name="CAN ID"/>
    <x:tableColumn id="2" name="Presence Class"/>
    <x:tableColumn id="3" name="Prius Drive 02 Frames"/>
    <x:tableColumn id="4" name="Camry Drive 01 Frames"/>
    <x:tableColumn id="5" name="Interpretation Rule"/>
  </x:tableColumns>
  <x:tableStyleInfo name="TableStyleMedium2" showFirstColumn="0" showLastColumn="0" showRowStripes="1" showColumnStripes="0"/>
</x:table>
</file>

<file path=xl/tables/table10.xml><?xml version="1.0" encoding="utf-8"?>
<x:table xmlns:x="http://schemas.openxmlformats.org/spreadsheetml/2006/main" id="10" name="CamryEventsV02" displayName="CamryEventsV02" ref="A1:E20"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1.xml><?xml version="1.0" encoding="utf-8"?>
<x:table xmlns:x="http://schemas.openxmlformats.org/spreadsheetml/2006/main" id="11" name="PriusEventsV02" displayName="PriusEventsV02" ref="A1:E16"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2.xml><?xml version="1.0" encoding="utf-8"?>
<x:table xmlns:x="http://schemas.openxmlformats.org/spreadsheetml/2006/main" id="12" name="Gen2INFSubcodesV02" displayName="Gen2INFSubcodesV02" ref="A8:D71" headerRowCount="1" totalsRowCount="0" totalsRowShown="0">
  <x:tableColumns count="4">
    <x:tableColumn id="1" name="INF Code"/>
    <x:tableColumn id="2" name="Payload Byte(s)"/>
    <x:tableColumn id="3" name="Bit Range (MSB-first per source)"/>
    <x:tableColumn id="4" name="Source Note"/>
  </x:tableColumns>
  <x:tableStyleInfo name="TableStyleMedium2" showFirstColumn="0" showLastColumn="0" showRowStripes="1" showColumnStripes="0"/>
</x:table>
</file>

<file path=xl/tables/table13.xml><?xml version="1.0" encoding="utf-8"?>
<x:table xmlns:x="http://schemas.openxmlformats.org/spreadsheetml/2006/main" id="13" name="Camry02SyncTable" displayName="Camry02SyncTable" ref="A1:E53" headerRowCount="1" totalsRowCount="0" totalsRowShown="0">
  <x:tableColumns count="5">
    <x:tableColumn id="1" name="Event"/>
    <x:tableColumn id="2" name="Audio Time s"/>
    <x:tableColumn id="3" name="Aligned CAN Time s"/>
    <x:tableColumn id="4" name="Category"/>
    <x:tableColumn id="5" name="Note"/>
  </x:tableColumns>
  <x:tableStyleInfo name="TableStyleMedium2" showFirstColumn="0" showLastColumn="0" showRowStripes="1" showColumnStripes="0"/>
</x:table>
</file>

<file path=xl/tables/table14.xml><?xml version="1.0" encoding="utf-8"?>
<x:table xmlns:x="http://schemas.openxmlformats.org/spreadsheetml/2006/main" id="14" name="Camry02FPSTable" displayName="Camry02FPSTable" ref="A1:B591" headerRowCount="1" totalsRowCount="0" totalsRowShown="0">
  <x:tableColumns count="2">
    <x:tableColumn id="1" name="CAN Time s"/>
    <x:tableColumn id="2" name="Frames / second"/>
  </x:tableColumns>
  <x:tableStyleInfo name="TableStyleMedium2" showFirstColumn="0" showLastColumn="0" showRowStripes="1" showColumnStripes="0"/>
</x:table>
</file>

<file path=xl/tables/table15.xml><?xml version="1.0" encoding="utf-8"?>
<x:table xmlns:x="http://schemas.openxmlformats.org/spreadsheetml/2006/main" id="15" name="AHV40SignalsV03" displayName="AHV40SignalsV03" ref="A1:I12"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16.xml><?xml version="1.0" encoding="utf-8"?>
<x:table xmlns:x="http://schemas.openxmlformats.org/spreadsheetml/2006/main" id="16" name="AHV40DLCPhysicalV03" displayName="AHV40DLCPhysicalV03" ref="A1:E10" headerRowCount="1" totalsRowCount="0" totalsRowShown="0">
  <x:tableColumns count="5">
    <x:tableColumn id="1" name="Vehicle"/>
    <x:tableColumn id="2" name="DLC Pin"/>
    <x:tableColumn id="3" name="Wire Color"/>
    <x:tableColumn id="4" name="Observation"/>
    <x:tableColumn id="5" name="Current Interpretation"/>
  </x:tableColumns>
  <x:tableStyleInfo name="TableStyleMedium2" showFirstColumn="0" showLastColumn="0" showRowStripes="1" showColumnStripes="0"/>
</x:table>
</file>

<file path=xl/tables/table17.xml><?xml version="1.0" encoding="utf-8"?>
<x:table xmlns:x="http://schemas.openxmlformats.org/spreadsheetml/2006/main" id="17" name="ZVW30Apr12PIDs" displayName="ZVW30Apr12PIDs" ref="A1:N228"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8.xml><?xml version="1.0" encoding="utf-8"?>
<x:table xmlns:x="http://schemas.openxmlformats.org/spreadsheetml/2006/main" id="18" name="ZVW30Nov12PIDs" displayName="ZVW30Nov12PIDs" ref="A1:N313"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9.xml><?xml version="1.0" encoding="utf-8"?>
<x:table xmlns:x="http://schemas.openxmlformats.org/spreadsheetml/2006/main" id="19" name="ZVW35PHVPIDs" displayName="ZVW35PHVPIDs" ref="A1:N299"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20.xml><?xml version="1.0" encoding="utf-8"?>
<x:table xmlns:x="http://schemas.openxmlformats.org/spreadsheetml/2006/main" id="20" name="QuarantinedCommands" displayName="QuarantinedCommands" ref="A1:L37" headerRowCount="1" totalsRowCount="0" totalsRowShown="0">
  <x:tableColumns count="12">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afety Class"/>
    <x:tableColumn id="12" name="Firmware Policy"/>
  </x:tableColumns>
  <x:tableStyleInfo name="TableStyleMedium10" showFirstColumn="0" showLastColumn="0" showRowStripes="1" showColumnStripes="0"/>
</x:table>
</file>

<file path=xl/tables/table21.xml><?xml version="1.0" encoding="utf-8"?>
<x:table xmlns:x="http://schemas.openxmlformats.org/spreadsheetml/2006/main" id="21" name="PIDSourceAudit" displayName="PIDSourceAudit" ref="A1:H23" headerRowCount="1" totalsRowCount="0" totalsRowShown="0">
  <x:tableColumns count="8">
    <x:tableColumn id="1" name="Source File"/>
    <x:tableColumn id="2" name="Profile"/>
    <x:tableColumn id="3" name="Source Date"/>
    <x:tableColumn id="4" name="Total Data Rows"/>
    <x:tableColumn id="5" name="Diagnostic Header"/>
    <x:tableColumn id="6" name="Rows for Header"/>
    <x:tableColumn id="7" name="Role / Caveat"/>
    <x:tableColumn id="8" name="Evidence Class"/>
  </x:tableColumns>
  <x:tableStyleInfo name="TableStyleMedium2" showFirstColumn="0" showLastColumn="0" showRowStripes="1" showColumnStripes="0"/>
</x:table>
</file>

<file path=xl/tables/table22.xml><?xml version="1.0" encoding="utf-8"?>
<x:table xmlns:x="http://schemas.openxmlformats.org/spreadsheetml/2006/main" id="22" name="V05ChangesSources" displayName="V05ChangesSources" ref="A1:E17"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23.xml><?xml version="1.0" encoding="utf-8"?>
<x:table xmlns:x="http://schemas.openxmlformats.org/spreadsheetml/2006/main" id="23" name="AssortedPIDAudit" displayName="AssortedPIDAudit" ref="A1:I23" headerRowCount="1" totalsRowCount="0" totalsRowShown="0">
  <x:tableColumns count="9">
    <x:tableColumn id="1" name="Source Rows"/>
    <x:tableColumn id="2" name="CAN ID"/>
    <x:tableColumn id="3" name="Source Description / Group"/>
    <x:tableColumn id="4" name="Assigned Profile"/>
    <x:tableColumn id="5" name="Decision"/>
    <x:tableColumn id="6" name="Safety Class"/>
    <x:tableColumn id="7" name="Evidence Class"/>
    <x:tableColumn id="8" name="Database / Firmware Use"/>
    <x:tableColumn id="9" name="Rationale"/>
  </x:tableColumns>
  <x:tableStyleInfo name="TableStyleMedium2" showFirstColumn="0" showLastColumn="0" showRowStripes="1" showColumnStripes="0"/>
</x:table>
</file>

<file path=xl/tables/table24.xml><?xml version="1.0" encoding="utf-8"?>
<x:table xmlns:x="http://schemas.openxmlformats.org/spreadsheetml/2006/main" id="24" name="AHV40SignalsV05" displayName="AHV40SignalsV05" ref="A1:I14"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25.xml><?xml version="1.0" encoding="utf-8"?>
<x:table xmlns:x="http://schemas.openxmlformats.org/spreadsheetml/2006/main" id="25" name="NHW20SignalsV05" displayName="NHW20SignalsV05" ref="A1:I14" headerRowCount="1" totalsRowCount="0" totalsRowShown="0">
  <x:tableColumns count="9">
    <x:tableColumn id="1" name="Acquisition"/>
    <x:tableColumn id="2" name="Request / CAN ID"/>
    <x:tableColumn id="3" name="Signal"/>
    <x:tableColumn id="4" name="Field / Encoding"/>
    <x:tableColumn id="5" name="Formula"/>
    <x:tableColumn id="6" name="Unit"/>
    <x:tableColumn id="7" name="Confidence"/>
    <x:tableColumn id="8" name="S0034 Validation"/>
    <x:tableColumn id="9" name="Safety Class"/>
  </x:tableColumns>
  <x:tableStyleInfo name="TableStyleMedium2" showFirstColumn="0" showLastColumn="0" showRowStripes="1" showColumnStripes="0"/>
</x:table>
</file>

<file path=xl/tables/table26.xml><?xml version="1.0" encoding="utf-8"?>
<x:table xmlns:x="http://schemas.openxmlformats.org/spreadsheetml/2006/main" id="26" name="S0034Quality" displayName="S0034Quality" ref="A1:D17" headerRowCount="1" totalsRowCount="0" totalsRowShown="0">
  <x:tableColumns count="4">
    <x:tableColumn id="1" name="Area"/>
    <x:tableColumn id="2" name="Metric"/>
    <x:tableColumn id="3" name="Value"/>
    <x:tableColumn id="4" name="Interpretation"/>
  </x:tableColumns>
  <x:tableStyleInfo name="TableStyleMedium2" showFirstColumn="0" showLastColumn="0" showRowStripes="1" showColumnStripes="0"/>
</x:table>
</file>

<file path=xl/tables/table27.xml><?xml version="1.0" encoding="utf-8"?>
<x:table xmlns:x="http://schemas.openxmlformats.org/spreadsheetml/2006/main" id="27" name="S0034HAAlignment" displayName="S0034HAAlignment" ref="A1:T31" headerRowCount="1" totalsRowCount="0" totalsRowShown="0">
  <x:tableColumns count="20">
    <x:tableColumn id="1" name="Video s"/>
    <x:tableColumn id="2" name="Logger target us"/>
    <x:tableColumn id="3" name="HA RPM"/>
    <x:tableColumn id="4" name="CAN 21C3 RPM"/>
    <x:tableColumn id="5" name="HA Coolant F"/>
    <x:tableColumn id="6" name="CAN 0105 Coolant F"/>
    <x:tableColumn id="7" name="HA MG Max F"/>
    <x:tableColumn id="8" name="CAN MG Max F"/>
    <x:tableColumn id="9" name="HA Inverter Max F"/>
    <x:tableColumn id="10" name="CAN Inverter Max F"/>
    <x:tableColumn id="11" name="HA Battery Intake F"/>
    <x:tableColumn id="12" name="CAN 21CF A:B Intake F"/>
    <x:tableColumn id="13" name="HA Battery Temp F"/>
    <x:tableColumn id="14" name="CAN 21CF M:N F"/>
    <x:tableColumn id="15" name="HA SOC %"/>
    <x:tableColumn id="16" name="CAN 21CE SOC %"/>
    <x:tableColumn id="17" name="Passive 0x3CB SOC %"/>
    <x:tableColumn id="18" name="HA Fan"/>
    <x:tableColumn id="19" name="CAN 21CF I Fan"/>
    <x:tableColumn id="20" name="Max abs diagnostic lag s"/>
  </x:tableColumns>
  <x:tableStyleInfo name="TableStyleMedium2" showFirstColumn="0" showLastColumn="0" showRowStripes="1" showColumnStripes="0"/>
</x:table>
</file>

<file path=xl/tables/table28.xml><?xml version="1.0" encoding="utf-8"?>
<x:table xmlns:x="http://schemas.openxmlformats.org/spreadsheetml/2006/main" id="28" name="S0034Validation" displayName="S0034Validation" ref="A1:I10" headerRowCount="1" totalsRowCount="0" totalsRowShown="0">
  <x:tableColumns count="9">
    <x:tableColumn id="1" name="Hybrid Assistant signal"/>
    <x:tableColumn id="2" name="CAN signal"/>
    <x:tableColumn id="3" name="Pairs"/>
    <x:tableColumn id="4" name="Median abs error"/>
    <x:tableColumn id="5" name="p95 abs error"/>
    <x:tableColumn id="6" name="Max abs error"/>
    <x:tableColumn id="7" name="Within tolerance"/>
    <x:tableColumn id="8" name="Tolerance"/>
    <x:tableColumn id="9" name="Decision"/>
  </x:tableColumns>
  <x:tableStyleInfo name="TableStyleMedium2" showFirstColumn="0" showLastColumn="0" showRowStripes="1" showColumnStripes="0"/>
</x:table>
</file>

<file path=xl/tables/table29.xml><?xml version="1.0" encoding="utf-8"?>
<x:table xmlns:x="http://schemas.openxmlformats.org/spreadsheetml/2006/main" id="29" name="CANLOG1Evidence" displayName="CANLOG1Evidence" ref="A1:H6" headerRowCount="1" totalsRowCount="0" totalsRowShown="0">
  <x:tableColumns count="8">
    <x:tableColumn id="1" name="Session"/>
    <x:tableColumn id="2" name="Vehicle / Profile"/>
    <x:tableColumn id="3" name="Scenario"/>
    <x:tableColumn id="4" name="Raw Records"/>
    <x:tableColumn id="5" name="Diagnostic Transactions"/>
    <x:tableColumn id="6" name="Capture Status"/>
    <x:tableColumn id="7" name="Key Evidence"/>
    <x:tableColumn id="8" name="Evidence Class"/>
  </x:tableColumns>
  <x:tableStyleInfo name="TableStyleMedium2" showFirstColumn="0" showLastColumn="0" showRowStripes="1" showColumnStripes="0"/>
</x:table>
</file>

<file path=xl/tables/table30.xml><?xml version="1.0" encoding="utf-8"?>
<x:table xmlns:x="http://schemas.openxmlformats.org/spreadsheetml/2006/main" id="30" name="V05ResearchBacklog" displayName="V05ResearchBacklog" ref="A1:F9" headerRowCount="1" totalsRowCount="0" totalsRowShown="0">
  <x:tableColumns count="6">
    <x:tableColumn id="1" name="Item"/>
    <x:tableColumn id="2" name="Profile"/>
    <x:tableColumn id="3" name="Question / Validation"/>
    <x:tableColumn id="4" name="Priority"/>
    <x:tableColumn id="5" name="Required Evidence"/>
    <x:tableColumn id="6" name="Promotion Rule"/>
  </x:tableColumns>
  <x:tableStyleInfo name="TableStyleMedium2" showFirstColumn="0" showLastColumn="0" showRowStripes="1" showColumnStripes="0"/>
</x:table>
</file>

<file path=xl/tables/table31.xml><?xml version="1.0" encoding="utf-8"?>
<x:table xmlns:x="http://schemas.openxmlformats.org/spreadsheetml/2006/main" id="31" name="AHV40DiagnosticCandidates" displayName="AHV40DiagnosticCandidates" ref="A1:Q46" headerRowCount="1" totalsRowCount="0" totalsRowShown="0">
  <x:tableColumns count="17">
    <x:tableColumn id="1" name="Profile"/>
    <x:tableColumn id="2" name="Request ID"/>
    <x:tableColumn id="3" name="Expected Response ID"/>
    <x:tableColumn id="4" name="Mode/PID"/>
    <x:tableColumn id="5" name="ECU"/>
    <x:tableColumn id="6" name="Signal"/>
    <x:tableColumn id="7" name="Response Data Field"/>
    <x:tableColumn id="8" name="Raw Type"/>
    <x:tableColumn id="9" name="Equation"/>
    <x:tableColumn id="10" name="Unit"/>
    <x:tableColumn id="11" name="Plausibility Range"/>
    <x:tableColumn id="12" name="Acquisition"/>
    <x:tableColumn id="13" name="Safety Class"/>
    <x:tableColumn id="14" name="Evidence Grade"/>
    <x:tableColumn id="15" name="v0.5 Comparison"/>
    <x:tableColumn id="16" name="Source / Page"/>
    <x:tableColumn id="17" name="Validation Required"/>
  </x:tableColumns>
  <x:tableStyleInfo name="TableStyleMedium2" showFirstColumn="0" showLastColumn="0" showRowStripes="1" showColumnStripes="0"/>
</x:table>
</file>

<file path=xl/tables/table32.xml><?xml version="1.0" encoding="utf-8"?>
<x:table xmlns:x="http://schemas.openxmlformats.org/spreadsheetml/2006/main" id="32" name="AHV40PIDSourceAudit" displayName="AHV40PIDSourceAudit" ref="A1:E11" headerRowCount="1" totalsRowCount="0" totalsRowShown="0">
  <x:tableColumns count="5">
    <x:tableColumn id="1" name="Record"/>
    <x:tableColumn id="2" name="Topic"/>
    <x:tableColumn id="3" name="Finding"/>
    <x:tableColumn id="4" name="Decision"/>
    <x:tableColumn id="5" name="Source / Link"/>
  </x:tableColumns>
  <x:tableStyleInfo name="TableStyleMedium2" showFirstColumn="0" showLastColumn="0" showRowStripes="1" showColumnStripes="0"/>
</x:table>
</file>

<file path=xl/tables/table33.xml><?xml version="1.0" encoding="utf-8"?>
<x:table xmlns:x="http://schemas.openxmlformats.org/spreadsheetml/2006/main" id="33" name="V052ChangesTable" displayName="V052ChangesTable" ref="A1:E11"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34.xml><?xml version="1.0" encoding="utf-8"?>
<x:table xmlns:x="http://schemas.openxmlformats.org/spreadsheetml/2006/main" id="34" name="S0010ExternalDiagTable" displayName="S0010ExternalDiagTable" ref="A1:K25" headerRowCount="1" totalsRowCount="0" totalsRowShown="0">
  <x:tableColumns count="11">
    <x:tableColumn id="1" name="Request ID"/>
    <x:tableColumn id="2" name="Response ID"/>
    <x:tableColumn id="3" name="Service"/>
    <x:tableColumn id="4" name="PID"/>
    <x:tableColumn id="5" name="Transactions"/>
    <x:tableColumn id="6" name="OK"/>
    <x:tableColumn id="7" name="No Response"/>
    <x:tableColumn id="8" name="Incomplete"/>
    <x:tableColumn id="9" name="Unmatched"/>
    <x:tableColumn id="10" name="Status Detail"/>
    <x:tableColumn id="11" name="Interpretation"/>
  </x:tableColumns>
  <x:tableStyleInfo name="TableStyleMedium2" showFirstColumn="0" showLastColumn="0" showRowStripes="1" showColumnStripes="0"/>
</x:table>
</file>

<file path=xl/tables/table35.xml><?xml version="1.0" encoding="utf-8"?>
<x:table xmlns:x="http://schemas.openxmlformats.org/spreadsheetml/2006/main" id="35" name="S001021CEEvidenceTable" displayName="S001021CEEvidenceTable" ref="A6:AB139" headerRowCount="1" totalsRowCount="0" totalsRowShown="0">
  <x:tableColumns count="28">
    <x:tableColumn id="1" name="RequestTime_us"/>
    <x:tableColumn id="2" name="ResponseTime_us"/>
    <x:tableColumn id="3" name="Video_s"/>
    <x:tableColumn id="4" name="PreambleHex"/>
    <x:tableColumn id="5" name="B01_V"/>
    <x:tableColumn id="6" name="B02_V"/>
    <x:tableColumn id="7" name="B03_V"/>
    <x:tableColumn id="8" name="B04_V"/>
    <x:tableColumn id="9" name="B05_V"/>
    <x:tableColumn id="10" name="B06_V"/>
    <x:tableColumn id="11" name="B07_V"/>
    <x:tableColumn id="12" name="B08_V"/>
    <x:tableColumn id="13" name="B09_V"/>
    <x:tableColumn id="14" name="B10_V"/>
    <x:tableColumn id="15" name="B11_V"/>
    <x:tableColumn id="16" name="B12_V"/>
    <x:tableColumn id="17" name="B13_V"/>
    <x:tableColumn id="18" name="B14_V"/>
    <x:tableColumn id="19" name="B15_V"/>
    <x:tableColumn id="20" name="B16_V"/>
    <x:tableColumn id="21" name="B17_V"/>
    <x:tableColumn id="22" name="PackSum_V"/>
    <x:tableColumn id="23" name="Average_V"/>
    <x:tableColumn id="24" name="Minimum_V"/>
    <x:tableColumn id="25" name="Maximum_V"/>
    <x:tableColumn id="26" name="Difference_V"/>
    <x:tableColumn id="27" name="EvidenceGrade"/>
    <x:tableColumn id="28" name="RawResponseHex"/>
  </x:tableColumns>
  <x:tableStyleInfo name="TableStyleMedium2" showFirstColumn="0" showLastColumn="0" showRowStripes="1" showColumnStripes="0"/>
</x:table>
</file>

<file path=xl/tables/table36.xml><?xml version="1.0" encoding="utf-8"?>
<x:table xmlns:x="http://schemas.openxmlformats.org/spreadsheetml/2006/main" id="36" name="S0010GraphCorrelationTable" displayName="S0010GraphCorrelationTable" ref="A4:O36" headerRowCount="1" totalsRowCount="0" totalsRowShown="0">
  <x:tableColumns count="15">
    <x:tableColumn id="1" name="Video_s"/>
    <x:tableColumn id="2" name="Blocks"/>
    <x:tableColumn id="3" name="Graph Avg V"/>
    <x:tableColumn id="4" name="Printed Avg V"/>
    <x:tableColumn id="5" name="Avg Delta V"/>
    <x:tableColumn id="6" name="Graph Diff V"/>
    <x:tableColumn id="7" name="Printed Diff V"/>
    <x:tableColumn id="8" name="Diff Delta V"/>
    <x:tableColumn id="9" name="CAN Time Delta s"/>
    <x:tableColumn id="10" name="Block RMSE V"/>
    <x:tableColumn id="11" name="Block Max Abs V"/>
    <x:tableColumn id="12" name="Axis Fit RMSE V"/>
    <x:tableColumn id="13" name="Confidence"/>
    <x:tableColumn id="14" name="Power QC"/>
    <x:tableColumn id="15" name="CAN Match"/>
  </x:tableColumns>
  <x:tableStyleInfo name="TableStyleMedium2" showFirstColumn="0" showLastColumn="0" showRowStripes="1" showColumnStripes="0"/>
</x:table>
</file>

<file path=xl/tables/table37.xml><?xml version="1.0" encoding="utf-8"?>
<x:table xmlns:x="http://schemas.openxmlformats.org/spreadsheetml/2006/main" id="37" name="DecoderExportV052Table" displayName="DecoderExportV052Table" ref="A1:M8" headerRowCount="1" totalsRowCount="0" totalsRowShown="0">
  <x:tableColumns count="13">
    <x:tableColumn id="1" name="Key"/>
    <x:tableColumn id="2" name="Profile"/>
    <x:tableColumn id="3" name="Request ID"/>
    <x:tableColumn id="4" name="Response ID"/>
    <x:tableColumn id="5" name="Service/PID"/>
    <x:tableColumn id="6" name="Decoder"/>
    <x:tableColumn id="7" name="Repeat / Layout"/>
    <x:tableColumn id="8" name="Bounds"/>
    <x:tableColumn id="9" name="Safety Class"/>
    <x:tableColumn id="10" name="Evidence Grade"/>
    <x:tableColumn id="11" name="Transport"/>
    <x:tableColumn id="12" name="Source"/>
    <x:tableColumn id="13" name="Validation /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33eb10d3e7413e" /></Relationships>
</file>

<file path=xl/worksheets/_rels/sheet3.xml.rels>&#65279;<?xml version="1.0" encoding="utf-8"?><Relationships xmlns="http://schemas.openxmlformats.org/package/2006/relationships"><Relationship Type="http://schemas.openxmlformats.org/officeDocument/2006/relationships/table" Target="/xl/tables/table2.xml" Id="Re0697ad294d943ca" /></Relationships>
</file>

<file path=xl/worksheets/_rels/sheet4.xml.rels>&#65279;<?xml version="1.0" encoding="utf-8"?><Relationships xmlns="http://schemas.openxmlformats.org/package/2006/relationships"><Relationship Type="http://schemas.openxmlformats.org/officeDocument/2006/relationships/table" Target="/xl/tables/table3.xml" Id="R2403afa1b00941e8" /></Relationships>
</file>

<file path=xl/worksheets/_rels/sheet5.xml.rels>&#65279;<?xml version="1.0" encoding="utf-8"?><Relationships xmlns="http://schemas.openxmlformats.org/package/2006/relationships"><Relationship Type="http://schemas.openxmlformats.org/officeDocument/2006/relationships/table" Target="/xl/tables/table4.xml" Id="R4279f9f850ce4548" /></Relationships>
</file>

<file path=xl/worksheets/_rels/sheet6.xml.rels>&#65279;<?xml version="1.0" encoding="utf-8"?><Relationships xmlns="http://schemas.openxmlformats.org/package/2006/relationships"><Relationship Type="http://schemas.openxmlformats.org/officeDocument/2006/relationships/table" Target="/xl/tables/table5.xml" Id="Ra6caf82df02e4511" /></Relationships>
</file>

<file path=xl/worksheets/_rels/sheet7.xml.rels>&#65279;<?xml version="1.0" encoding="utf-8"?><Relationships xmlns="http://schemas.openxmlformats.org/package/2006/relationships"><Relationship Type="http://schemas.openxmlformats.org/officeDocument/2006/relationships/table" Target="/xl/tables/table6.xml" Id="Re2f31a5cd07943a2" /></Relationships>
</file>

<file path=xl/worksheets/_rels/sheet9.xml.rels>&#65279;<?xml version="1.0" encoding="utf-8"?><Relationships xmlns="http://schemas.openxmlformats.org/package/2006/relationships"><Relationship Type="http://schemas.openxmlformats.org/officeDocument/2006/relationships/table" Target="/xl/tables/table7.xml" Id="R8c97d6939c1d4e41" /></Relationships>
</file>

<file path=xl/worksheets/_rels/sheet10.xml.rels>&#65279;<?xml version="1.0" encoding="utf-8"?><Relationships xmlns="http://schemas.openxmlformats.org/package/2006/relationships"><Relationship Type="http://schemas.openxmlformats.org/officeDocument/2006/relationships/table" Target="/xl/tables/table8.xml" Id="R1c7d732708844d50" /></Relationships>
</file>

<file path=xl/worksheets/_rels/sheet11.xml.rels>&#65279;<?xml version="1.0" encoding="utf-8"?><Relationships xmlns="http://schemas.openxmlformats.org/package/2006/relationships"><Relationship Type="http://schemas.openxmlformats.org/officeDocument/2006/relationships/table" Target="/xl/tables/table9.xml" Id="R2722431bac1b4736" /></Relationships>
</file>

<file path=xl/worksheets/_rels/sheet12.xml.rels>&#65279;<?xml version="1.0" encoding="utf-8"?><Relationships xmlns="http://schemas.openxmlformats.org/package/2006/relationships"><Relationship Type="http://schemas.openxmlformats.org/officeDocument/2006/relationships/table" Target="/xl/tables/table10.xml" Id="R784a0a440af04844" /></Relationships>
</file>

<file path=xl/worksheets/_rels/sheet13.xml.rels>&#65279;<?xml version="1.0" encoding="utf-8"?><Relationships xmlns="http://schemas.openxmlformats.org/package/2006/relationships"><Relationship Type="http://schemas.openxmlformats.org/officeDocument/2006/relationships/table" Target="/xl/tables/table11.xml" Id="Racd9835a05434654" /></Relationships>
</file>

<file path=xl/worksheets/_rels/sheet14.xml.rels>&#65279;<?xml version="1.0" encoding="utf-8"?><Relationships xmlns="http://schemas.openxmlformats.org/package/2006/relationships"><Relationship Type="http://schemas.openxmlformats.org/officeDocument/2006/relationships/table" Target="/xl/tables/table12.xml" Id="R620b2a1c57374112" /></Relationships>
</file>

<file path=xl/worksheets/_rels/sheet16.xml.rels>&#65279;<?xml version="1.0" encoding="utf-8"?><Relationships xmlns="http://schemas.openxmlformats.org/package/2006/relationships"><Relationship Type="http://schemas.openxmlformats.org/officeDocument/2006/relationships/table" Target="/xl/tables/table13.xml" Id="Rd6e64d219bbb4300" /></Relationships>
</file>

<file path=xl/worksheets/_rels/sheet17.xml.rels>&#65279;<?xml version="1.0" encoding="utf-8"?><Relationships xmlns="http://schemas.openxmlformats.org/package/2006/relationships"><Relationship Type="http://schemas.openxmlformats.org/officeDocument/2006/relationships/drawing" Target="/xl/drawings/drawing1.xml" Id="R8364dbaaf8f24f54" /><Relationship Type="http://schemas.openxmlformats.org/officeDocument/2006/relationships/table" Target="/xl/tables/table14.xml" Id="Rd642e960c2e54ef6" /></Relationships>
</file>

<file path=xl/worksheets/_rels/sheet18.xml.rels>&#65279;<?xml version="1.0" encoding="utf-8"?><Relationships xmlns="http://schemas.openxmlformats.org/package/2006/relationships"><Relationship Type="http://schemas.openxmlformats.org/officeDocument/2006/relationships/table" Target="/xl/tables/table15.xml" Id="Rc0903ffe48db4621" /></Relationships>
</file>

<file path=xl/worksheets/_rels/sheet20.xml.rels>&#65279;<?xml version="1.0" encoding="utf-8"?><Relationships xmlns="http://schemas.openxmlformats.org/package/2006/relationships"><Relationship Type="http://schemas.openxmlformats.org/officeDocument/2006/relationships/table" Target="/xl/tables/table16.xml" Id="R94f0eaa08de84de8" /></Relationships>
</file>

<file path=xl/worksheets/_rels/sheet21.xml.rels>&#65279;<?xml version="1.0" encoding="utf-8"?><Relationships xmlns="http://schemas.openxmlformats.org/package/2006/relationships"><Relationship Type="http://schemas.openxmlformats.org/officeDocument/2006/relationships/table" Target="/xl/tables/table17.xml" Id="R6b2b3ed2cc9c4283" /></Relationships>
</file>

<file path=xl/worksheets/_rels/sheet22.xml.rels>&#65279;<?xml version="1.0" encoding="utf-8"?><Relationships xmlns="http://schemas.openxmlformats.org/package/2006/relationships"><Relationship Type="http://schemas.openxmlformats.org/officeDocument/2006/relationships/table" Target="/xl/tables/table18.xml" Id="R0ec5754838554b03" /></Relationships>
</file>

<file path=xl/worksheets/_rels/sheet23.xml.rels>&#65279;<?xml version="1.0" encoding="utf-8"?><Relationships xmlns="http://schemas.openxmlformats.org/package/2006/relationships"><Relationship Type="http://schemas.openxmlformats.org/officeDocument/2006/relationships/table" Target="/xl/tables/table19.xml" Id="R33a408f1c9d34bb7" /></Relationships>
</file>

<file path=xl/worksheets/_rels/sheet24.xml.rels>&#65279;<?xml version="1.0" encoding="utf-8"?><Relationships xmlns="http://schemas.openxmlformats.org/package/2006/relationships"><Relationship Type="http://schemas.openxmlformats.org/officeDocument/2006/relationships/table" Target="/xl/tables/table20.xml" Id="R5bccb3b087634ef1" /></Relationships>
</file>

<file path=xl/worksheets/_rels/sheet25.xml.rels>&#65279;<?xml version="1.0" encoding="utf-8"?><Relationships xmlns="http://schemas.openxmlformats.org/package/2006/relationships"><Relationship Type="http://schemas.openxmlformats.org/officeDocument/2006/relationships/table" Target="/xl/tables/table21.xml" Id="R26440b16c9af4392" /></Relationships>
</file>

<file path=xl/worksheets/_rels/sheet26.xml.rels>&#65279;<?xml version="1.0" encoding="utf-8"?><Relationships xmlns="http://schemas.openxmlformats.org/package/2006/relationships"><Relationship Type="http://schemas.openxmlformats.org/officeDocument/2006/relationships/table" Target="/xl/tables/table22.xml" Id="Rb41ffe7813a348c6" /></Relationships>
</file>

<file path=xl/worksheets/_rels/sheet28.xml.rels>&#65279;<?xml version="1.0" encoding="utf-8"?><Relationships xmlns="http://schemas.openxmlformats.org/package/2006/relationships"><Relationship Type="http://schemas.openxmlformats.org/officeDocument/2006/relationships/table" Target="/xl/tables/table23.xml" Id="Rd8628ce7c9414bc3" /></Relationships>
</file>

<file path=xl/worksheets/_rels/sheet29.xml.rels>&#65279;<?xml version="1.0" encoding="utf-8"?><Relationships xmlns="http://schemas.openxmlformats.org/package/2006/relationships"><Relationship Type="http://schemas.openxmlformats.org/officeDocument/2006/relationships/table" Target="/xl/tables/table24.xml" Id="R4497edb980374c53" /></Relationships>
</file>

<file path=xl/worksheets/_rels/sheet30.xml.rels>&#65279;<?xml version="1.0" encoding="utf-8"?><Relationships xmlns="http://schemas.openxmlformats.org/package/2006/relationships"><Relationship Type="http://schemas.openxmlformats.org/officeDocument/2006/relationships/table" Target="/xl/tables/table25.xml" Id="Rf7ec8c287a9a441e" /></Relationships>
</file>

<file path=xl/worksheets/_rels/sheet31.xml.rels>&#65279;<?xml version="1.0" encoding="utf-8"?><Relationships xmlns="http://schemas.openxmlformats.org/package/2006/relationships"><Relationship Type="http://schemas.openxmlformats.org/officeDocument/2006/relationships/table" Target="/xl/tables/table26.xml" Id="Re21fc65279cd4f3f" /></Relationships>
</file>

<file path=xl/worksheets/_rels/sheet32.xml.rels>&#65279;<?xml version="1.0" encoding="utf-8"?><Relationships xmlns="http://schemas.openxmlformats.org/package/2006/relationships"><Relationship Type="http://schemas.openxmlformats.org/officeDocument/2006/relationships/table" Target="/xl/tables/table27.xml" Id="R022c6452b68b4e83" /></Relationships>
</file>

<file path=xl/worksheets/_rels/sheet33.xml.rels>&#65279;<?xml version="1.0" encoding="utf-8"?><Relationships xmlns="http://schemas.openxmlformats.org/package/2006/relationships"><Relationship Type="http://schemas.openxmlformats.org/officeDocument/2006/relationships/table" Target="/xl/tables/table28.xml" Id="R0bc9db7a303048e8" /></Relationships>
</file>

<file path=xl/worksheets/_rels/sheet34.xml.rels>&#65279;<?xml version="1.0" encoding="utf-8"?><Relationships xmlns="http://schemas.openxmlformats.org/package/2006/relationships"><Relationship Type="http://schemas.openxmlformats.org/officeDocument/2006/relationships/table" Target="/xl/tables/table29.xml" Id="Raf139fbe47044d34" /></Relationships>
</file>

<file path=xl/worksheets/_rels/sheet35.xml.rels>&#65279;<?xml version="1.0" encoding="utf-8"?><Relationships xmlns="http://schemas.openxmlformats.org/package/2006/relationships"><Relationship Type="http://schemas.openxmlformats.org/officeDocument/2006/relationships/table" Target="/xl/tables/table30.xml" Id="R510cfb7a02804fba" /></Relationships>
</file>

<file path=xl/worksheets/_rels/sheet36.xml.rels>&#65279;<?xml version="1.0" encoding="utf-8"?><Relationships xmlns="http://schemas.openxmlformats.org/package/2006/relationships"><Relationship Type="http://schemas.openxmlformats.org/officeDocument/2006/relationships/table" Target="/xl/tables/table31.xml" Id="R855d2189f8434764" /></Relationships>
</file>

<file path=xl/worksheets/_rels/sheet37.xml.rels>&#65279;<?xml version="1.0" encoding="utf-8"?><Relationships xmlns="http://schemas.openxmlformats.org/package/2006/relationships"><Relationship Type="http://schemas.openxmlformats.org/officeDocument/2006/relationships/table" Target="/xl/tables/table32.xml" Id="Rd760e10e85964954" /></Relationships>
</file>

<file path=xl/worksheets/_rels/sheet38.xml.rels>&#65279;<?xml version="1.0" encoding="utf-8"?><Relationships xmlns="http://schemas.openxmlformats.org/package/2006/relationships"><Relationship Type="http://schemas.openxmlformats.org/officeDocument/2006/relationships/table" Target="/xl/tables/table33.xml" Id="R5d7a7ec50d7a4bc3" /></Relationships>
</file>

<file path=xl/worksheets/_rels/sheet39.xml.rels>&#65279;<?xml version="1.0" encoding="utf-8"?><Relationships xmlns="http://schemas.openxmlformats.org/package/2006/relationships"><Relationship Type="http://schemas.openxmlformats.org/officeDocument/2006/relationships/table" Target="/xl/tables/table34.xml" Id="R9642f6f4acfd4824" /></Relationships>
</file>

<file path=xl/worksheets/_rels/sheet40.xml.rels>&#65279;<?xml version="1.0" encoding="utf-8"?><Relationships xmlns="http://schemas.openxmlformats.org/package/2006/relationships"><Relationship Type="http://schemas.openxmlformats.org/officeDocument/2006/relationships/table" Target="/xl/tables/table35.xml" Id="R4da39e4fa9d94bf9" /></Relationships>
</file>

<file path=xl/worksheets/_rels/sheet41.xml.rels>&#65279;<?xml version="1.0" encoding="utf-8"?><Relationships xmlns="http://schemas.openxmlformats.org/package/2006/relationships"><Relationship Type="http://schemas.openxmlformats.org/officeDocument/2006/relationships/table" Target="/xl/tables/table36.xml" Id="R314ef0e3064644f1" /></Relationships>
</file>

<file path=xl/worksheets/_rels/sheet42.xml.rels>&#65279;<?xml version="1.0" encoding="utf-8"?><Relationships xmlns="http://schemas.openxmlformats.org/package/2006/relationships"><Relationship Type="http://schemas.openxmlformats.org/officeDocument/2006/relationships/table" Target="/xl/tables/table37.xml" Id="R45d3d5d588824de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10" customWidth="1"/>
  </x:cols>
  <x:sheetData>
    <x:row r="1">
      <x:c r="A1" s="89" t="str">
        <x:v>Toyota Hybrid CAN Database v0.5.4</x:v>
      </x:c>
      <x:c r="B1" s="90"/>
    </x:row>
    <x:row r="2">
      <x:c r="A2" s="91" t="str">
        <x:v>Purpose</x:v>
      </x:c>
      <x:c r="B2" s="92" t="str">
        <x:v>Evidence-driven working database for the ESP32 + SN65HVD230 Toyota CAN capture / future Toyota Hybrid Monitor project.</x:v>
      </x:c>
    </x:row>
    <x:row r="3">
      <x:c r="A3" s="91" t="str">
        <x:v>Scope</x:v>
      </x:c>
      <x:c r="B3" s="92" t="str">
        <x:v>First baseline is the user's 2004 Gen 2 Prius capture. Gen 3, Gen 1 Prius, Gen 1 Prius PHV, and Gen 1 Camry Hybrid are represented as separate profiles.</x:v>
      </x:c>
    </x:row>
    <x:row r="4">
      <x:c r="A4" s="91" t="str">
        <x:v>Important</x:v>
      </x:c>
      <x:c r="B4" s="92" t="str">
        <x:v>This is NOT a finished DBC and does not claim that Vass/OpenDBC definitions apply unchanged across generations.</x:v>
      </x:c>
    </x:row>
    <x:row r="5">
      <x:c r="A5" s="91" t="str">
        <x:v>Confidence policy</x:v>
      </x:c>
      <x:c r="B5" s="92" t="str">
        <x:v>CONFIRMED/HIGH = supported by actual vehicle capture plus independent reference(s). CANDIDATE = reference-derived but not yet validated on the target vehicle. OBSERVED ONLY = present in the capture but not decoded.</x:v>
      </x:c>
    </x:row>
    <x:row r="6">
      <x:c r="A6" s="91" t="str">
        <x:v>Safety</x:v>
      </x:c>
      <x:c r="B6" s="92" t="str">
        <x:v>Current ESP32 firmware is passive/listen-only. Diagnostic transmission should be a future, explicit mode and validated carefully.</x:v>
      </x:c>
    </x:row>
    <x:row r="7">
      <x:c r="A7" s="91" t="str">
        <x:v>Architecture</x:v>
      </x:c>
      <x:c r="B7" s="92" t="str">
        <x:v>Raw CAN acquisition → RAM buffer → GVRET/USB + SD logger + signal decoder → TFT applications.</x:v>
      </x:c>
    </x:row>
    <x:row r="8">
      <x:c r="A8" s="91" t="str">
        <x:v>Future UI</x:v>
      </x:c>
      <x:c r="B8" s="92" t="str">
        <x:v>Toyota Hybrid Monitor should keep MG1 inverter, MG2 inverter, MG1 motor, MG2 motor, converter, HV battery temperatures, engine/cabin/ambient temperatures, humidity when actually available, and 12V/HV electrical values as separate signals.</x:v>
      </x:c>
    </x:row>
    <x:row r="9">
      <x:c r="A9" s="93" t="str">
        <x:v>Source extract</x:v>
      </x:c>
      <x:c r="B9" s="94" t="str">
        <x:v>The complete user-provided Vass PriusCodes workbook is preserved in the 'Vass Extract' sheet for auditability.</x:v>
      </x:c>
    </x:row>
    <x:row r="10">
      <x:c r="A10" s="95" t="str">
        <x:v>v0.2 additions</x:v>
      </x:c>
      <x:c r="B10" s="96" t="str">
        <x:v>Added second 2004 Prius drive capture, first 2007 Camry Hybrid capture, narration/event-marker sheets, cross-platform ID comparison, and Gen2 Prius INF diagnostic map.</x:v>
      </x:c>
    </x:row>
    <x:row r="11">
      <x:c r="A11" s="95" t="str">
        <x:v>Empirical rule</x:v>
      </x:c>
      <x:c r="B11" s="96" t="str">
        <x:v>Shared Toyota CAN IDs across models are cross-reference candidates only. The same CAN ID is not assumed to have identical meaning or scaling without vehicle-specific validation.</x:v>
      </x:c>
    </x:row>
    <x:row r="12">
      <x:c r="A12" s="95" t="str">
        <x:v>Audio alignment</x:v>
      </x:c>
      <x:c r="B12" s="96" t="str">
        <x:v>Narrated event times are approximate. Audio duration and CAN-log duration differ, so event timestamps are NOT yet treated as synchronized CAN timestamps.</x:v>
      </x:c>
    </x:row>
    <x:row r="13">
      <x:c r="A13" s="95" t="str">
        <x:v>Camry status</x:v>
      </x:c>
      <x:c r="B13" s="96" t="str">
        <x:v>2007 Camry Hybrid is now an empirical vehicle profile with its first passive 500 kbit/s capture.</x:v>
      </x:c>
    </x:row>
    <x:row r="14">
      <x:c r="A14" s="95" t="str">
        <x:v>INF diagnostics</x:v>
      </x:c>
      <x:c r="B14" s="96" t="str">
        <x:v>Gen2 Prius HV ECU: diagnostic header 7E2 with Mode-22 request 22 05 CA returns a 57-byte INF-detail payload according to the attached source. This is diagnostic/solicited, not passive capture.</x:v>
      </x:c>
    </x:row>
    <x:row r="15">
      <x:c r="A15" s="95" t="str">
        <x:v>Temperature architecture</x:v>
      </x:c>
      <x:c r="B15" s="96" t="str">
        <x:v>Keep MG1 inverter, MG2 inverter, MG1 motor, MG2 motor, converter, engine, HV-battery sensors, 12-V-related temperature if available, cabin/ambient temperature, and humidity (only when a real source exists) as separate normalized signals.</x:v>
      </x:c>
    </x:row>
    <x:row r="16">
      <x:c r="A16" s="95" t="str">
        <x:v>Safety</x:v>
      </x:c>
      <x:c r="B16" s="96" t="str">
        <x:v>Passive capture remains TWAI LISTEN_ONLY. Diagnostic transmission belongs in a separate explicit future mode.</x:v>
      </x:c>
    </x:row>
    <x:row r="17">
      <x:c r="A17" s="95" t="str">
        <x:v>Version date</x:v>
      </x:c>
      <x:c r="B17" s="96" t="str">
        <x:v>2026-08-16</x:v>
      </x:c>
    </x:row>
    <x:row r="18">
      <x:c r="A18" s="95" t="str">
        <x:v>v0.3 checkpoint</x:v>
      </x:c>
      <x:c r="B18" s="96" t="str">
        <x:v>Validated checkpoint after synchronized analysis of 2007 Camry Hybrid Capture 02.</x:v>
      </x:c>
    </x:row>
    <x:row r="19">
      <x:c r="A19" s="95" t="str">
        <x:v>New empirical signals</x:v>
      </x:c>
      <x:c r="B19" s="96" t="str">
        <x:v>Adds AHV40-confirmed steering, wheel speeds, gear, service brake, parking brake, blower level and vehicle-speed mappings; ICE RPM location confirmed with scale still pending.</x:v>
      </x:c>
    </x:row>
    <x:row r="20">
      <x:c r="A20" s="95" t="str">
        <x:v>Synchronization</x:v>
      </x:c>
      <x:c r="B20" s="96" t="str">
        <x:v>Audio↔CAN linear transform uses OFF/ACC high-rate wake and POWER-OFF bus-collapse anchors. Event timestamps are suitable for event-window reverse engineering, not laboratory-grade absolute timing.</x:v>
      </x:c>
    </x:row>
    <x:row r="21">
      <x:c r="A21" s="95" t="str">
        <x:v>Camry OFF traffic</x:v>
      </x:c>
      <x:c r="B21" s="96" t="str">
        <x:v>Capture 02 documents low-rate CAN traffic while vehicle is nominally OFF, high-rate wake in ACC/IG state, and eventual return to zero traffic after shutdown.</x:v>
      </x:c>
    </x:row>
    <x:row r="22">
      <x:c r="A22" s="95" t="str">
        <x:v>Physical DLC</x:v>
      </x:c>
      <x:c r="B22" s="96" t="str">
        <x:v>Adds 2007 AHV40 salvage-DLC pin/color observations. Pins 7/9/12/13 remain functionally unassigned pending Prius/Camry comparison.</x:v>
      </x:c>
    </x:row>
    <x:row r="23">
      <x:c r="A23" s="95" t="str">
        <x:v>External references</x:v>
      </x:c>
      <x:c r="B23" s="96" t="str">
        <x:v>CSU conventional XV40 Camry mappings are retained as external cross-reference only; v0.3 confidence promotions are based on the user's AHV40 capture behavior.</x:v>
      </x:c>
    </x:row>
    <x:row r="24">
      <x:c r="A24" s="95" t="str">
        <x:v>Next checkpoint</x:v>
      </x:c>
      <x:c r="B24" s="96" t="str">
        <x:v>Compare Gen2/Gen3 Prius DLC hardware, validate RPM scaling and temperature/hybrid signals with AP200/Veepeak/Techstream/Dr. Prius as available.</x:v>
      </x:c>
    </x:row>
    <x:row r="25">
      <x:c r="A25" s="95" t="str">
        <x:v>Version date</x:v>
      </x:c>
      <x:c r="B25" s="96" t="str">
        <x:v>2026-08-16</x:v>
      </x:c>
    </x:row>
    <x:row r="26">
      <x:c r="A26" s="97" t="str">
        <x:v>v0.4 additions</x:v>
      </x:c>
      <x:c r="B26" s="98" t="str">
        <x:v>Adds source-audited ZVW30 Gen 3 and ZVW35 Prius PHV diagnostic PID candidates from the user-provided 2012/2013 Torque files.</x:v>
      </x:c>
    </x:row>
    <x:row r="27">
      <x:c r="A27" s="97" t="str">
        <x:v>Profile isolation</x:v>
      </x:c>
      <x:c r="B27" s="98" t="str">
        <x:v>ZVW30 and ZVW35 definitions remain separate. No formula is promoted across Prius generations without vehicle-specific capture/diagnostic corroboration.</x:v>
      </x:c>
    </x:row>
    <x:row r="28">
      <x:c r="A28" s="97" t="str">
        <x:v>Command quarantine</x:v>
      </x:c>
      <x:c r="B28" s="98" t="str">
        <x:v>Configuration, traction-control, beep and battery-fan write commands are preserved only in 'Unsafe Commands' and are excluded from automatic firmware whitelists.</x:v>
      </x:c>
    </x:row>
    <x:row r="29">
      <x:c r="A29" s="97" t="str">
        <x:v>Diagnostic status</x:v>
      </x:c>
      <x:c r="B29" s="98" t="str">
        <x:v>All newly imported PID definitions are CANDIDATE. They are solicited diagnostic data, not passive broadcast mappings.</x:v>
      </x:c>
    </x:row>
    <x:row r="30">
      <x:c r="A30" s="97" t="str">
        <x:v>Source precedence</x:v>
      </x:c>
      <x:c r="B30" s="98" t="str">
        <x:v>The 2012-11-12 ZVW30 workbook is the later source; the 2012-04-24 CSV remains as an audit snapshot for change comparison.</x:v>
      </x:c>
    </x:row>
    <x:row r="31">
      <x:c r="A31" s="99" t="str">
        <x:v>Version date</x:v>
      </x:c>
      <x:c r="B31" s="100" t="str">
        <x:v>2026-08-20</x:v>
      </x:c>
    </x:row>
    <x:row r="32">
      <x:c r="A32" s="221" t="str">
        <x:v>v0.5.2 Camry supplement</x:v>
      </x:c>
      <x:c r="B32" s="216" t="str">
        <x:v>Adds 45 AHV40 diagnostic signal candidates from the supplied four-page 2007-2011 Camry Hybrid PID-table PDF.</x:v>
      </x:c>
    </x:row>
    <x:row r="33">
      <x:c r="A33" s="222" t="str">
        <x:v>Source quality</x:v>
      </x:c>
      <x:c r="B33" s="218" t="str">
        <x:v>The PDF is a Google Search browser print, not an original Toyota service document. Every imported formula remains CANDIDATE until tested on an AHV40 and independently corroborated.</x:v>
      </x:c>
    </x:row>
    <x:row r="34">
      <x:c r="A34" s="222" t="str">
        <x:v>Transport boundary</x:v>
      </x:c>
      <x:c r="B34" s="218" t="str">
        <x:v>These rows are solicited Mode 21 / ISO-TP diagnostics on request headers 7E2 or 7E3; they are not passive CAN layouts and are not enabled in the Camry-passive-only logger.</x:v>
      </x:c>
    </x:row>
    <x:row r="35">
      <x:c r="A35" s="222" t="str">
        <x:v>Rollback</x:v>
      </x:c>
      <x:c r="B35" s="218" t="str">
        <x:v>Toyota_Hybrid_CAN_Database_v0.5.xlsx remains unchanged and is the rollback checkpoint.</x:v>
      </x:c>
    </x:row>
    <x:row r="36">
      <x:c r="A36" s="223" t="str">
        <x:v>Version date</x:v>
      </x:c>
      <x:c r="B36" s="220" t="str">
        <x:v>2026-08-29</x:v>
      </x:c>
    </x:row>
    <x:row r="37">
      <x:c r="A37" s="262" t="str">
        <x:v>v0.5.2 release</x:v>
      </x:c>
      <x:c r="B37" s="263" t="str">
        <x:v>Adds S0010 external ISO-TP reconstruction, a data-driven decoder export, and graph/CAN validation evidence.</x:v>
      </x:c>
    </x:row>
    <x:row r="38">
      <x:c r="A38" s="262" t="str">
        <x:v>Observed AHV40 decoder</x:v>
      </x:c>
      <x:c r="B38" s="263" t="str">
        <x:v>7E2 / 21CE request, 7EA / 61CE response, three preamble bytes, then 17 big-endian values: (uint16 - 0x8000) / 100 V.</x:v>
      </x:c>
    </x:row>
    <x:row r="39">
      <x:c r="A39" s="262" t="str">
        <x:v>Evidence grade</x:v>
      </x:c>
      <x:c r="B39" s="263" t="str">
        <x:v>PROBABLE: 133 complete S0010 response samples and 32 BLE-aligned Hybrid Assistant graph frames agree on average, difference, and block pattern. Independent repeat or AP200/Techstream comparison remains required for CONFIRMED.</x:v>
      </x:c>
    </x:row>
    <x:row r="40">
      <x:c r="A40" s="262" t="str">
        <x:v>Safety boundary</x:v>
      </x:c>
      <x:c r="B40" s="263" t="str">
        <x:v>The observed decoder is READ_ONLY_DIAGNOSTIC. This database never authorizes automated transmission; CYD capture remains listen-only by default.</x:v>
      </x:c>
    </x:row>
    <x:row r="41">
      <x:c r="A41" s="262" t="str">
        <x:v>Rollback</x:v>
      </x:c>
      <x:c r="B41" s="263" t="str">
        <x:v>Toyota_Hybrid_CAN_Database_v0.5.1.xlsx remains the rollback checkpoint.</x:v>
      </x:c>
    </x:row>
    <x:row r="42" ht="34" customHeight="1">
      <x:c r="A42" s="331" t="str">
        <x:v>v0.5.3 release</x:v>
      </x:c>
      <x:c r="B42" s="20" t="str">
        <x:v>Adds S0012 BLE-aligned Dr. Prius Battery Monitor extraction and grouped diagnostic-action evidence.</x:v>
      </x:c>
    </x:row>
    <x:row r="43" ht="34" customHeight="1">
      <x:c r="A43" s="331" t="str">
        <x:v>Orientation handling</x:v>
      </x:c>
      <x:c r="B43" s="20" t="str">
        <x:v>Samsung portrait and rotated-landscape frames are detected independently; no fixed rotation timestamp is reused.</x:v>
      </x:c>
    </x:row>
    <x:row r="44" ht="34" customHeight="1">
      <x:c r="A44" s="331" t="str">
        <x:v>Dr. Prius evidence</x:v>
      </x:c>
      <x:c r="B44" s="20" t="str">
        <x:v>The 330 s frame yielded 15 directly read and 2 bar-fit-reconstructed block labels; the 17-value sum exactly matched the displayed 277.48 V pack voltage.</x:v>
      </x:c>
    </x:row>
    <x:row r="45" ht="34" customHeight="1">
      <x:c r="A45" s="331" t="str">
        <x:v>Diagnostic actions</x:v>
      </x:c>
      <x:c r="B45" s="20" t="str">
        <x:v>Mode 13 / 53 00 read-code responses indicate no DTC present. Mode 04 / 44 clear acknowledgements are retained as observed evidence.</x:v>
      </x:c>
    </x:row>
    <x:row r="46" ht="34" customHeight="1">
      <x:c r="A46" s="331" t="str">
        <x:v>Safety boundary</x:v>
      </x:c>
      <x:c r="B46" s="20" t="str">
        <x:v>Read-code definitions are READ_ONLY_DIAGNOSTIC. Clear-code definitions remain CONTROL_WRITE_QUARANTINED and are excluded from transmit workflows.</x:v>
      </x:c>
    </x:row>
    <x:row r="47" ht="34" customHeight="1">
      <x:c r="A47" s="331" t="str">
        <x:v>Rollback</x:v>
      </x:c>
      <x:c r="B47" s="20" t="str">
        <x:v>Toyota_Hybrid_CAN_Database_v0.5.2.xlsx remains the rollback checkpoint.</x:v>
      </x:c>
    </x:row>
    <x:row r="48" ht="30" customHeight="1">
      <x:c r="A48" s="20" t="str">
        <x:v>v0.5.4 release</x:v>
      </x:c>
      <x:c r="B48" s="20" t="str">
        <x:v>Adds S0016 NHW20 and S0017 AHV40L independent Autel MAXIAP200 screen-to-CAN validation while preserving profile isolation.</x:v>
      </x:c>
    </x:row>
    <x:row r="49" ht="30" customHeight="1">
      <x:c r="A49" s="20" t="str">
        <x:v>Camry confirmation</x:v>
      </x:c>
      <x:c r="B49" s="20" t="str">
        <x:v>S0017 confirms 7E2/21CE SoC/current/17 block voltages and 7E2/21D0 extrema/index/17 resistance layout.</x:v>
      </x:c>
    </x:row>
    <x:row r="50" ht="30" customHeight="1">
      <x:c r="A50" s="20" t="str">
        <x:v>Camry field subsets</x:v>
      </x:c>
      <x:c r="B50" s="20" t="str">
        <x:v>S0017 confirms labeled temperature fields within 21C3 and 21CF; all unlisted bytes remain candidate/unknown.</x:v>
      </x:c>
    </x:row>
    <x:row r="51" ht="30" customHeight="1">
      <x:c r="A51" s="20" t="str">
        <x:v>PHV limitation</x:v>
      </x:c>
      <x:c r="B51" s="20" t="str">
        <x:v>ZVW35 2181 provides eight seven-cell aggregate block voltages; no validated 56-individual-cell decoder is claimed.</x:v>
      </x:c>
    </x:row>
    <x:row r="52" ht="30" customHeight="1">
      <x:c r="A52" s="20" t="str">
        <x:v>Rollback</x:v>
      </x:c>
      <x:c r="B52" s="20" t="str">
        <x:v>Toyota_Hybrid_CAN_Database_v0.5.3.xlsx remains the rollback checkpoint.</x:v>
      </x:c>
    </x:row>
    <x:row r="53">
      <x:c r="A53"/>
      <x:c r="B53"/>
    </x:row>
    <x:row r="54">
      <x:c r="A54"/>
      <x:c r="B54"/>
    </x:row>
    <x:row r="55">
      <x:c r="A55"/>
      <x:c r="B55"/>
    </x:row>
    <x:row r="56">
      <x:c r="A56"/>
      <x:c r="B56"/>
    </x:row>
    <x:row r="57">
      <x:c r="A57"/>
      <x:c r="B57"/>
    </x:row>
    <x:row r="58">
      <x:c r="A58"/>
      <x:c r="B58"/>
    </x:row>
    <x:row r="59">
      <x:c r="A59"/>
      <x:c r="B59"/>
    </x:row>
    <x:row r="60">
      <x:c r="A60"/>
      <x:c r="B60"/>
    </x:row>
    <x:row r="61">
      <x:c r="A61"/>
      <x:c r="B61"/>
    </x:row>
    <x:row r="62">
      <x:c r="A62"/>
      <x:c r="B6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9" customWidth="1"/>
    <x:col min="2" max="2" width="34" customWidth="1"/>
    <x:col min="3" max="3" width="13" customWidth="1"/>
    <x:col min="4" max="4" width="10" customWidth="1"/>
    <x:col min="5" max="5" width="17" customWidth="1"/>
    <x:col min="6" max="6" width="40" customWidth="1"/>
    <x:col min="7" max="7" width="17" customWidth="1"/>
    <x:col min="8" max="8" width="47" customWidth="1"/>
  </x:cols>
  <x:sheetData>
    <x:row r="1">
      <x:c r="A1" s="2" t="str">
        <x:v>Profile ID</x:v>
      </x:c>
      <x:c r="B1" s="2" t="str">
        <x:v>Vehicle</x:v>
      </x:c>
      <x:c r="C1" s="2" t="str">
        <x:v>Model Years</x:v>
      </x:c>
      <x:c r="D1" s="2" t="str">
        <x:v>Platform</x:v>
      </x:c>
      <x:c r="E1" s="2" t="str">
        <x:v>Bus</x:v>
      </x:c>
      <x:c r="F1" s="2" t="str">
        <x:v>Nominal Rate</x:v>
      </x:c>
      <x:c r="G1" s="2" t="str">
        <x:v>Status</x:v>
      </x:c>
      <x:c r="H1" s="2" t="str">
        <x:v>Notes</x:v>
      </x:c>
    </x:row>
    <x:row r="2">
      <x:c r="A2" s="1" t="str">
        <x:v>PRIUS_GEN1</x:v>
      </x:c>
      <x:c r="B2" s="1" t="str">
        <x:v>Toyota Prius Gen 1</x:v>
      </x:c>
      <x:c r="C2" s="1" t="str">
        <x:v>2001-2003</x:v>
      </x:c>
      <x:c r="D2" s="1" t="str">
        <x:v>NHW11</x:v>
      </x:c>
      <x:c r="E2" s="1" t="str">
        <x:v>HS-CAN</x:v>
      </x:c>
      <x:c r="F2" s="1" t="str">
        <x:v>TBD</x:v>
      </x:c>
      <x:c r="G2" s="1" t="str">
        <x:v>Planned</x:v>
      </x:c>
      <x:c r="H2" s="1" t="str">
        <x:v>Do not assume Gen 2 map</x:v>
      </x:c>
    </x:row>
    <x:row r="3">
      <x:c r="A3" s="1" t="str">
        <x:v>PRIUS_GEN2</x:v>
      </x:c>
      <x:c r="B3" s="1" t="str">
        <x:v>Toyota Prius Gen 2</x:v>
      </x:c>
      <x:c r="C3" s="1" t="str">
        <x:v>2004-2009</x:v>
      </x:c>
      <x:c r="D3" s="1" t="str">
        <x:v>NHW20</x:v>
      </x:c>
      <x:c r="E3" s="1" t="str">
        <x:v>HS-CAN</x:v>
      </x:c>
      <x:c r="F3" s="1" t="str">
        <x:v>500 kbps</x:v>
      </x:c>
      <x:c r="G3" s="1" t="str">
        <x:v>Active empirical + cross-validated diagnostic baseline</x:v>
      </x:c>
      <x:c r="H3" s="1" t="str">
        <x:v>v0.5 adds S0021 plus the 15-minute S0034 logger/Hybrid Assistant screen correlation; NHW20 profile isolation remains mandatory</x:v>
      </x:c>
    </x:row>
    <x:row r="4">
      <x:c r="A4" s="1" t="str">
        <x:v>PRIUS_GEN3</x:v>
      </x:c>
      <x:c r="B4" s="1" t="str">
        <x:v>Toyota Prius Gen 3</x:v>
      </x:c>
      <x:c r="C4" s="1" t="str">
        <x:v>2010-2015</x:v>
      </x:c>
      <x:c r="D4" s="1" t="str">
        <x:v>ZVW30</x:v>
      </x:c>
      <x:c r="E4" s="1" t="str">
        <x:v>HS-CAN</x:v>
      </x:c>
      <x:c r="F4" s="1" t="str">
        <x:v>500 kbps candidate</x:v>
      </x:c>
      <x:c r="G4" s="1" t="str">
        <x:v>Reference - expanded diagnostic candidates</x:v>
      </x:c>
      <x:c r="H4" s="1" t="str">
        <x:v>2012-04 and 2012-11 ZVW30 Torque PID sources added in v0.4; vehicle validation required</x:v>
      </x:c>
    </x:row>
    <x:row r="5">
      <x:c r="A5" s="1" t="str">
        <x:v>PRIUS_PHV_GEN1</x:v>
      </x:c>
      <x:c r="B5" s="1" t="str">
        <x:v>Toyota Prius Plug-in / PHV Gen 1</x:v>
      </x:c>
      <x:c r="C5" s="1" t="str">
        <x:v>2012-2015</x:v>
      </x:c>
      <x:c r="D5" s="1" t="str">
        <x:v>ZVW35</x:v>
      </x:c>
      <x:c r="E5" s="1" t="str">
        <x:v>HS-CAN</x:v>
      </x:c>
      <x:c r="F5" s="1" t="str">
        <x:v>TBD</x:v>
      </x:c>
      <x:c r="G5" s="1" t="str">
        <x:v>Reference - PHV diagnostic candidates</x:v>
      </x:c>
      <x:c r="H5" s="1" t="str">
        <x:v>2013-01 ZVW35/PiP advanced and basic sources added in v0.4; keep separate from ZVW30</x:v>
      </x:c>
    </x:row>
    <x:row r="6" ht="78" customHeight="1">
      <x:c r="A6" s="1" t="str">
        <x:v>CAMRY_HYBRID_GEN1</x:v>
      </x:c>
      <x:c r="B6" s="1" t="str">
        <x:v>Toyota Camry Hybrid Gen 1</x:v>
      </x:c>
      <x:c r="C6" s="1" t="str">
        <x:v>2007-2011</x:v>
      </x:c>
      <x:c r="D6" s="1" t="str">
        <x:v>AHV40</x:v>
      </x:c>
      <x:c r="E6" s="1" t="str">
        <x:v>HS-CAN / MS-CAN</x:v>
      </x:c>
      <x:c r="F6" s="1" t="str">
        <x:v>HS ~500 kbps; MS ~250 kbps (reference)</x:v>
      </x:c>
      <x:c r="G6" s="6" t="str">
        <x:v>Active empirical baseline + CONFIRMED S0017 diagnostic evidence</x:v>
      </x:c>
      <x:c r="H6" s="6" t="str">
        <x:v>v0.5.4 adds independent AP200 confirmation for 21CE/21D0, AHV40L 21C1 signatures, and selected 21C3/21CF temperature fields. The 7E3 catalog PIDs remain CANDIDATE.</x:v>
      </x:c>
    </x:row>
  </x:sheetData>
  <x:pageMargins left="0.7" right="0.7" top="0.75" bottom="0.75" header="0.3" footer="0.3"/>
  <x:tableParts count="1">
    <x:tablePart xmlns:r="http://schemas.openxmlformats.org/officeDocument/2006/relationships" r:id="Rc733eb10d3e7413e"/>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1" customWidth="1"/>
    <x:col min="3" max="3" width="12" customWidth="1"/>
    <x:col min="4" max="4" width="19" customWidth="1"/>
    <x:col min="5" max="5" width="24" customWidth="1"/>
    <x:col min="6" max="6" width="10" customWidth="1"/>
    <x:col min="7" max="7" width="20" customWidth="1"/>
    <x:col min="8" max="8" width="22" customWidth="1"/>
    <x:col min="9" max="9" width="25" customWidth="1"/>
    <x:col min="10" max="10" width="25" customWidth="1"/>
    <x:col min="11" max="11" width="29" customWidth="1"/>
    <x:col min="12" max="12" width="16" customWidth="1"/>
    <x:col min="13" max="13" width="42" customWidth="1"/>
    <x:col min="14" max="14" width="18" customWidth="1"/>
    <x:col min="15" max="15" width="42" customWidth="1"/>
  </x:cols>
  <x:sheetData>
    <x:row r="1">
      <x:c r="A1" s="2" t="inlineStr">
        <x:is>
          <x:t xml:space="preserve">CAN ID</x:t>
        </x:is>
      </x:c>
      <x:c r="B1" s="2" t="inlineStr">
        <x:is>
          <x:t xml:space="preserve">ID Hex</x:t>
        </x:is>
      </x:c>
      <x:c r="C1" s="2" t="inlineStr">
        <x:is>
          <x:t xml:space="preserve">Frame Type</x:t>
        </x:is>
      </x:c>
      <x:c r="D1" s="2" t="inlineStr">
        <x:is>
          <x:t xml:space="preserve">Frames in Capture</x:t>
        </x:is>
      </x:c>
      <x:c r="E1" s="2" t="inlineStr">
        <x:is>
          <x:t xml:space="preserve">Capture %</x:t>
        </x:is>
      </x:c>
      <x:c r="F1" s="2" t="inlineStr">
        <x:is>
          <x:t xml:space="preserve">DLC Mode</x:t>
        </x:is>
      </x:c>
      <x:c r="G1" s="2" t="inlineStr">
        <x:is>
          <x:t xml:space="preserve">Mean Period (ms)</x:t>
        </x:is>
      </x:c>
      <x:c r="H1" s="2" t="inlineStr">
        <x:is>
          <x:t xml:space="preserve">Approx Rate (Hz)</x:t>
        </x:is>
      </x:c>
      <x:c r="I1" s="2" t="inlineStr">
        <x:is>
          <x:t xml:space="preserve">First Data</x:t>
        </x:is>
      </x:c>
      <x:c r="J1" s="2" t="inlineStr">
        <x:is>
          <x:t xml:space="preserve">Last Data</x:t>
        </x:is>
      </x:c>
      <x:c r="K1" s="2" t="inlineStr">
        <x:is>
          <x:t xml:space="preserve">Vass Description</x:t>
        </x:is>
      </x:c>
      <x:c r="L1" s="2" t="inlineStr">
        <x:is>
          <x:t xml:space="preserve">Vass Frequency</x:t>
        </x:is>
      </x:c>
      <x:c r="M1" s="2" t="inlineStr">
        <x:is>
          <x:t xml:space="preserve">Vass Notes</x:t>
        </x:is>
      </x:c>
      <x:c r="N1" s="2" t="inlineStr">
        <x:is>
          <x:t xml:space="preserve">Confidence</x:t>
        </x:is>
      </x:c>
      <x:c r="O1" s="2" t="inlineStr">
        <x:is>
          <x:t xml:space="preserve">Evidence / Status</x:t>
        </x:is>
      </x:c>
    </x:row>
    <x:row r="2">
      <x:c r="A2" s="1" t="inlineStr">
        <x:is>
          <x:t xml:space="preserve">00000020</x:t>
        </x:is>
      </x:c>
      <x:c r="B2" s="1" t="inlineStr">
        <x:is>
          <x:t xml:space="preserve">0x20</x:t>
        </x:is>
      </x:c>
      <x:c r="C2" s="1" t="inlineStr">
        <x:is>
          <x:t xml:space="preserve">STD</x:t>
        </x:is>
      </x:c>
      <x:c r="D2" s="1" t="n">
        <x:v>19814</x:v>
      </x:c>
      <x:c r="E2" s="1" t="n">
        <x:v>4.908781005044049</x:v>
      </x:c>
      <x:c r="F2" s="1" t="inlineStr">
        <x:is>
          <x:t xml:space="preserve">3</x:t>
        </x:is>
      </x:c>
      <x:c r="G2" s="1" t="n">
        <x:v>12.09012113258971</x:v>
      </x:c>
      <x:c r="H2" s="1" t="n">
        <x:v>82.71215722598797</x:v>
      </x:c>
      <x:c r="I2" s="1" t="inlineStr">
        <x:is>
          <x:t xml:space="preserve">00 00 07</x:t>
        </x:is>
      </x:c>
      <x:c r="J2" s="1" t="inlineStr">
        <x:is>
          <x:t xml:space="preserve">00 00 07</x:t>
        </x:is>
      </x:c>
      <x:c r="K2" s="1" t="inlineStr">
        <x:is>
          <x:t xml:space="preserve"/>
        </x:is>
      </x:c>
      <x:c r="L2" s="1" t="inlineStr">
        <x:is>
          <x:t xml:space="preserve">78~79</x:t>
        </x:is>
      </x:c>
      <x:c r="M2" s="1" t="inlineStr">
        <x:is>
          <x:t xml:space="preserve">Quite constant with ocasional peeks</x:t>
        </x:is>
      </x:c>
      <x:c r="N2" s="1" t="inlineStr">
        <x:is>
          <x:t xml:space="preserve">OBSERVED ONLY</x:t>
        </x:is>
      </x:c>
      <x:c r="O2" s="1" t="inlineStr">
        <x:is>
          <x:t xml:space="preserve"/>
        </x:is>
      </x:c>
    </x:row>
    <x:row r="3">
      <x:c r="A3" s="1" t="inlineStr">
        <x:is>
          <x:t xml:space="preserve">00000022</x:t>
        </x:is>
      </x:c>
      <x:c r="B3" s="1" t="inlineStr">
        <x:is>
          <x:t xml:space="preserve">0x22</x:t>
        </x:is>
      </x:c>
      <x:c r="C3" s="1" t="inlineStr">
        <x:is>
          <x:t xml:space="preserve">STD</x:t>
        </x:is>
      </x:c>
      <x:c r="D3" s="1" t="n">
        <x:v>19813</x:v>
      </x:c>
      <x:c r="E3" s="1" t="n">
        <x:v>4.908533261983332</x:v>
      </x:c>
      <x:c r="F3" s="1" t="inlineStr">
        <x:is>
          <x:t xml:space="preserve">8</x:t>
        </x:is>
      </x:c>
      <x:c r="G3" s="1" t="n">
        <x:v>12.08958318190995</x:v>
      </x:c>
      <x:c r="H3" s="1" t="n">
        <x:v>82.71583767224774</x:v>
      </x:c>
      <x:c r="I3" s="1" t="inlineStr">
        <x:is>
          <x:t xml:space="preserve">00 FC 01 2C 00 39 00 8C</x:t>
        </x:is>
      </x:c>
      <x:c r="J3" s="1" t="inlineStr">
        <x:is>
          <x:t xml:space="preserve">02 06 02 04 00 08 00 40</x:t>
        </x:is>
      </x:c>
      <x:c r="K3" s="1" t="inlineStr">
        <x:is>
          <x:t xml:space="preserve">Sideway acceleration sensor</x:t>
        </x:is>
      </x:c>
      <x:c r="L3" s="1" t="inlineStr">
        <x:is>
          <x:t xml:space="preserve">35</x:t>
        </x:is>
      </x:c>
      <x:c r="M3" s="1" t="inlineStr">
        <x:is>
          <x:t xml:space="preserve">Measured range : 0x150 - 0x200 - 0x2C0</x:t>
        </x:is>
      </x:c>
      <x:c r="N3" s="1" t="inlineStr">
        <x:is>
          <x:t xml:space="preserve">OBSERVED ONLY</x:t>
        </x:is>
      </x:c>
      <x:c r="O3" s="1" t="inlineStr">
        <x:is>
          <x:t xml:space="preserve"/>
        </x:is>
      </x:c>
    </x:row>
    <x:row r="4">
      <x:c r="A4" s="1" t="inlineStr">
        <x:is>
          <x:t xml:space="preserve">00000023</x:t>
        </x:is>
      </x:c>
      <x:c r="B4" s="1" t="inlineStr">
        <x:is>
          <x:t xml:space="preserve">0x23</x:t>
        </x:is>
      </x:c>
      <x:c r="C4" s="1" t="inlineStr">
        <x:is>
          <x:t xml:space="preserve">STD</x:t>
        </x:is>
      </x:c>
      <x:c r="D4" s="1" t="n">
        <x:v>19812</x:v>
      </x:c>
      <x:c r="E4" s="1" t="n">
        <x:v>4.908285518922615</x:v>
      </x:c>
      <x:c r="F4" s="1" t="inlineStr">
        <x:is>
          <x:t xml:space="preserve">7</x:t>
        </x:is>
      </x:c>
      <x:c r="G4" s="1" t="n">
        <x:v>12.09019383170966</x:v>
      </x:c>
      <x:c r="H4" s="1" t="n">
        <x:v>82.71165987242006</x:v>
      </x:c>
      <x:c r="I4" s="1" t="inlineStr">
        <x:is>
          <x:t xml:space="preserve">02 09 02 01 39 00 71</x:t>
        </x:is>
      </x:c>
      <x:c r="J4" s="1" t="inlineStr">
        <x:is>
          <x:t xml:space="preserve">01 FE 01 F9 08 00 2B</x:t>
        </x:is>
      </x:c>
      <x:c r="K4" s="1" t="inlineStr">
        <x:is>
          <x:t xml:space="preserve">Acceleration sensor</x:t>
        </x:is>
      </x:c>
      <x:c r="L4" s="1" t="inlineStr">
        <x:is>
          <x:t xml:space="preserve">~22.5</x:t>
        </x:is>
      </x:c>
      <x:c r="M4" s="1" t="inlineStr">
        <x:is>
          <x:t xml:space="preserve">Measured range : 0x1B0 - 0x200 - 0x260</x:t>
        </x:is>
      </x:c>
      <x:c r="N4" s="1" t="inlineStr">
        <x:is>
          <x:t xml:space="preserve">OBSERVED ONLY</x:t>
        </x:is>
      </x:c>
      <x:c r="O4" s="1" t="inlineStr">
        <x:is>
          <x:t xml:space="preserve"/>
        </x:is>
      </x:c>
    </x:row>
    <x:row r="5">
      <x:c r="A5" s="1" t="inlineStr">
        <x:is>
          <x:t xml:space="preserve">00000025</x:t>
        </x:is>
      </x:c>
      <x:c r="B5" s="1" t="inlineStr">
        <x:is>
          <x:t xml:space="preserve">0x25</x:t>
        </x:is>
      </x:c>
      <x:c r="C5" s="1" t="inlineStr">
        <x:is>
          <x:t xml:space="preserve">STD</x:t>
        </x:is>
      </x:c>
      <x:c r="D5" s="1" t="n">
        <x:v>19829</x:v>
      </x:c>
      <x:c r="E5" s="1" t="n">
        <x:v>4.912497150954802</x:v>
      </x:c>
      <x:c r="F5" s="1" t="inlineStr">
        <x:is>
          <x:t xml:space="preserve">8</x:t>
        </x:is>
      </x:c>
      <x:c r="G5" s="1" t="n">
        <x:v>12.08947675005043</x:v>
      </x:c>
      <x:c r="H5" s="1" t="n">
        <x:v>82.71656587584143</x:v>
      </x:c>
      <x:c r="I5" s="1" t="inlineStr">
        <x:is>
          <x:t xml:space="preserve">1F 2E 0F 77 FF FF FF FD</x:t>
        </x:is>
      </x:c>
      <x:c r="J5" s="1" t="inlineStr">
        <x:is>
          <x:t xml:space="preserve">0F 2E 0F 77 83 83 83 79</x:t>
        </x:is>
      </x:c>
      <x:c r="K5" s="1" t="inlineStr">
        <x:is>
          <x:t xml:space="preserve">Steering</x:t>
        </x:is>
      </x:c>
      <x:c r="L5" s="1" t="inlineStr">
        <x:is>
          <x:t xml:space="preserve">O/D (55~60)</x:t>
        </x:is>
      </x:c>
      <x:c r="M5" s="1" t="inlineStr">
        <x:is>
          <x:t xml:space="preserve">Range is likely to be Prius dependent</x:t>
        </x:is>
      </x:c>
      <x:c r="N5" s="1" t="inlineStr">
        <x:is>
          <x:t xml:space="preserve">OBSERVED ONLY</x:t>
        </x:is>
      </x:c>
      <x:c r="O5" s="1" t="inlineStr">
        <x:is>
          <x:t xml:space="preserve"/>
        </x:is>
      </x:c>
    </x:row>
    <x:row r="6">
      <x:c r="A6" s="1" t="inlineStr">
        <x:is>
          <x:t xml:space="preserve">00000030</x:t>
        </x:is>
      </x:c>
      <x:c r="B6" s="1" t="inlineStr">
        <x:is>
          <x:t xml:space="preserve">0x30</x:t>
        </x:is>
      </x:c>
      <x:c r="C6" s="1" t="inlineStr">
        <x:is>
          <x:t xml:space="preserve">STD</x:t>
        </x:is>
      </x:c>
      <x:c r="D6" s="1" t="n">
        <x:v>39626</x:v>
      </x:c>
      <x:c r="E6" s="1" t="n">
        <x:v>9.817066523966664</x:v>
      </x:c>
      <x:c r="F6" s="1" t="inlineStr">
        <x:is>
          <x:t xml:space="preserve">8</x:t>
        </x:is>
      </x:c>
      <x:c r="G6" s="1" t="n">
        <x:v>6.045212794952681</x:v>
      </x:c>
      <x:c r="H6" s="1" t="n">
        <x:v>165.4201487886296</x:v>
      </x:c>
      <x:c r="I6" s="1" t="inlineStr">
        <x:is>
          <x:t xml:space="preserve">04 00 00 00 00 00 00 3C</x:t>
        </x:is>
      </x:c>
      <x:c r="J6" s="1" t="inlineStr">
        <x:is>
          <x:t xml:space="preserve">04 00 00 00 72 20 00 CE</x:t>
        </x:is>
      </x:c>
      <x:c r="K6" s="1" t="inlineStr">
        <x:is>
          <x:t xml:space="preserve">Brakes</x:t>
        </x:is>
      </x:c>
      <x:c r="L6" s="1" t="inlineStr">
        <x:is>
          <x:t xml:space="preserve">O/D (170~190)</x:t>
        </x:is>
      </x:c>
      <x:c r="M6" s="1" t="inlineStr">
        <x:is>
          <x:t xml:space="preserve"/>
        </x:is>
      </x:c>
      <x:c r="N6" s="1" t="inlineStr">
        <x:is>
          <x:t xml:space="preserve">OBSERVED ONLY</x:t>
        </x:is>
      </x:c>
      <x:c r="O6" s="1" t="inlineStr">
        <x:is>
          <x:t xml:space="preserve"/>
        </x:is>
      </x:c>
    </x:row>
    <x:row r="7">
      <x:c r="A7" s="1" t="inlineStr">
        <x:is>
          <x:t xml:space="preserve">00000038</x:t>
        </x:is>
      </x:c>
      <x:c r="B7" s="1" t="inlineStr">
        <x:is>
          <x:t xml:space="preserve">0x38</x:t>
        </x:is>
      </x:c>
      <x:c r="C7" s="1" t="inlineStr">
        <x:is>
          <x:t xml:space="preserve">STD</x:t>
        </x:is>
      </x:c>
      <x:c r="D7" s="1" t="n">
        <x:v>29480</x:v>
      </x:c>
      <x:c r="E7" s="1" t="n">
        <x:v>7.303465429933308</x:v>
      </x:c>
      <x:c r="F7" s="1" t="inlineStr">
        <x:is>
          <x:t xml:space="preserve">7</x:t>
        </x:is>
      </x:c>
      <x:c r="G7" s="1" t="n">
        <x:v>8.192133858000611</x:v>
      </x:c>
      <x:c r="H7" s="1" t="n">
        <x:v>122.0683178929479</x:v>
      </x:c>
      <x:c r="I7" s="1" t="inlineStr">
        <x:is>
          <x:t xml:space="preserve">80 00 08 00 00 00 C7</x:t>
        </x:is>
      </x:c>
      <x:c r="J7" s="1" t="inlineStr">
        <x:is>
          <x:t xml:space="preserve">C0 00 08 00 00 00 07</x:t>
        </x:is>
      </x:c>
      <x:c r="K7" s="1" t="inlineStr">
        <x:is>
          <x:t xml:space="preserve">ICE</x:t>
        </x:is>
      </x:c>
      <x:c r="L7" s="1" t="inlineStr">
        <x:is>
          <x:t xml:space="preserve">105</x:t>
        </x:is>
      </x:c>
      <x:c r="M7" s="1" t="inlineStr">
        <x:is>
          <x:t xml:space="preserve"/>
        </x:is>
      </x:c>
      <x:c r="N7" s="1" t="inlineStr">
        <x:is>
          <x:t xml:space="preserve">OBSERVED ONLY</x:t>
        </x:is>
      </x:c>
      <x:c r="O7" s="1" t="inlineStr">
        <x:is>
          <x:t xml:space="preserve"/>
        </x:is>
      </x:c>
    </x:row>
    <x:row r="8">
      <x:c r="A8" s="1" t="inlineStr">
        <x:is>
          <x:t xml:space="preserve">00000039</x:t>
        </x:is>
      </x:c>
      <x:c r="B8" s="1" t="inlineStr">
        <x:is>
          <x:t xml:space="preserve">0x39</x:t>
        </x:is>
      </x:c>
      <x:c r="C8" s="1" t="inlineStr">
        <x:is>
          <x:t xml:space="preserve">STD</x:t>
        </x:is>
      </x:c>
      <x:c r="D8" s="1" t="n">
        <x:v>29236</x:v>
      </x:c>
      <x:c r="E8" s="1" t="n">
        <x:v>7.243016123118391</x:v>
      </x:c>
      <x:c r="F8" s="1" t="inlineStr">
        <x:is>
          <x:t xml:space="preserve">4</x:t>
        </x:is>
      </x:c>
      <x:c r="G8" s="1" t="n">
        <x:v>8.192604344108089</x:v>
      </x:c>
      <x:c r="H8" s="1" t="n">
        <x:v>122.0613077353326</x:v>
      </x:c>
      <x:c r="I8" s="1" t="inlineStr">
        <x:is>
          <x:t xml:space="preserve">1B 00 00 58</x:t>
        </x:is>
      </x:c>
      <x:c r="J8" s="1" t="inlineStr">
        <x:is>
          <x:t xml:space="preserve">2E 02 0D 7A</x:t>
        </x:is>
      </x:c>
      <x:c r="K8" s="1" t="inlineStr">
        <x:is>
          <x:t xml:space="preserve">ICE</x:t>
        </x:is>
      </x:c>
      <x:c r="L8" s="1" t="inlineStr">
        <x:is>
          <x:t xml:space="preserve">94~95</x:t>
        </x:is>
      </x:c>
      <x:c r="M8" s="1" t="inlineStr">
        <x:is>
          <x:t xml:space="preserve"/>
        </x:is>
      </x:c>
      <x:c r="N8" s="1" t="inlineStr">
        <x:is>
          <x:t xml:space="preserve">OBSERVED ONLY</x:t>
        </x:is>
      </x:c>
      <x:c r="O8" s="1" t="inlineStr">
        <x:is>
          <x:t xml:space="preserve"/>
        </x:is>
      </x:c>
    </x:row>
    <x:row r="9">
      <x:c r="A9" s="1" t="inlineStr">
        <x:is>
          <x:t xml:space="preserve">0000003A</x:t>
        </x:is>
      </x:c>
      <x:c r="B9" s="1" t="inlineStr">
        <x:is>
          <x:t xml:space="preserve">0x3A</x:t>
        </x:is>
      </x:c>
      <x:c r="C9" s="1" t="inlineStr">
        <x:is>
          <x:t xml:space="preserve">STD</x:t>
        </x:is>
      </x:c>
      <x:c r="D9" s="1" t="n">
        <x:v>29479</x:v>
      </x:c>
      <x:c r="E9" s="1" t="n">
        <x:v>7.30321768687259</x:v>
      </x:c>
      <x:c r="F9" s="1" t="inlineStr">
        <x:is>
          <x:t xml:space="preserve">7</x:t>
        </x:is>
      </x:c>
      <x:c r="G9" s="1" t="n">
        <x:v>8.192411968247507</x:v>
      </x:c>
      <x:c r="H9" s="1" t="n">
        <x:v>122.0641740034366</x:v>
      </x:c>
      <x:c r="I9" s="1" t="inlineStr">
        <x:is>
          <x:t xml:space="preserve">00 00 00 00 44 05 8A</x:t>
        </x:is>
      </x:c>
      <x:c r="J9" s="1" t="inlineStr">
        <x:is>
          <x:t xml:space="preserve">00 00 00 00 84 02 C7</x:t>
        </x:is>
      </x:c>
      <x:c r="K9" s="1" t="inlineStr">
        <x:is>
          <x:t xml:space="preserve">Gas / Torque / EM Current ?</x:t>
        </x:is>
      </x:c>
      <x:c r="L9" s="1" t="inlineStr">
        <x:is>
          <x:t xml:space="preserve">99~100</x:t>
        </x:is>
      </x:c>
      <x:c r="M9" s="1" t="inlineStr">
        <x:is>
          <x:t xml:space="preserve"/>
        </x:is>
      </x:c>
      <x:c r="N9" s="1" t="inlineStr">
        <x:is>
          <x:t xml:space="preserve">OBSERVED ONLY</x:t>
        </x:is>
      </x:c>
      <x:c r="O9" s="1" t="inlineStr">
        <x:is>
          <x:t xml:space="preserve"/>
        </x:is>
      </x:c>
    </x:row>
    <x:row r="10">
      <x:c r="A10" s="1" t="inlineStr">
        <x:is>
          <x:t xml:space="preserve">0000003B</x:t>
        </x:is>
      </x:c>
      <x:c r="B10" s="1" t="inlineStr">
        <x:is>
          <x:t xml:space="preserve">0x3B</x:t>
        </x:is>
      </x:c>
      <x:c r="C10" s="1" t="inlineStr">
        <x:is>
          <x:t xml:space="preserve">STD</x:t>
        </x:is>
      </x:c>
      <x:c r="D10" s="1" t="n">
        <x:v>30323</x:v>
      </x:c>
      <x:c r="E10" s="1" t="n">
        <x:v>7.512312830117629</x:v>
      </x:c>
      <x:c r="F10" s="1" t="inlineStr">
        <x:is>
          <x:t xml:space="preserve">5</x:t>
        </x:is>
      </x:c>
      <x:c r="G10" s="1" t="n">
        <x:v>8.001138216476486</x:v>
      </x:c>
      <x:c r="H10" s="1" t="n">
        <x:v>124.9822178975402</x:v>
      </x:c>
      <x:c r="I10" s="1" t="inlineStr">
        <x:is>
          <x:t xml:space="preserve">00 00 00 DB 1B</x:t>
        </x:is>
      </x:c>
      <x:c r="J10" s="1" t="inlineStr">
        <x:is>
          <x:t xml:space="preserve">00 00 00 D1 11</x:t>
        </x:is>
      </x:c>
      <x:c r="K10" s="1" t="inlineStr">
        <x:is>
          <x:t xml:space="preserve">EM Current (*)</x:t>
        </x:is>
      </x:c>
      <x:c r="L10" s="1" t="inlineStr">
        <x:is>
          <x:t xml:space="preserve">97</x:t>
        </x:is>
      </x:c>
      <x:c r="M10" s="1" t="inlineStr">
        <x:is>
          <x:t xml:space="preserve">Current drawn ?</x:t>
        </x:is>
      </x:c>
      <x:c r="N10" s="1" t="inlineStr">
        <x:is>
          <x:t xml:space="preserve">CONFIRMED / HIGH</x:t>
        </x:is>
      </x:c>
      <x:c r="O10" s="1" t="inlineStr">
        <x:is>
          <x:t xml:space="preserve">Observed in 2004 capture; Gen 2 Prius documentation cross-check</x:t>
        </x:is>
      </x:c>
    </x:row>
    <x:row r="11">
      <x:c r="A11" s="1" t="inlineStr">
        <x:is>
          <x:t xml:space="preserve">0000003E</x:t>
        </x:is>
      </x:c>
      <x:c r="B11" s="1" t="inlineStr">
        <x:is>
          <x:t xml:space="preserve">0x3E</x:t>
        </x:is>
      </x:c>
      <x:c r="C11" s="1" t="inlineStr">
        <x:is>
          <x:t xml:space="preserve">STD</x:t>
        </x:is>
      </x:c>
      <x:c r="D11" s="1" t="n">
        <x:v>29480</x:v>
      </x:c>
      <x:c r="E11" s="1" t="n">
        <x:v>7.303465429933308</x:v>
      </x:c>
      <x:c r="F11" s="1" t="inlineStr">
        <x:is>
          <x:t xml:space="preserve">3</x:t>
        </x:is>
      </x:c>
      <x:c r="G11" s="1" t="n">
        <x:v>8.192132738559652</x:v>
      </x:c>
      <x:c r="H11" s="1" t="n">
        <x:v>122.0683345733752</x:v>
      </x:c>
      <x:c r="I11" s="1" t="inlineStr">
        <x:is>
          <x:t xml:space="preserve">1F FE 5E</x:t>
        </x:is>
      </x:c>
      <x:c r="J11" s="1" t="inlineStr">
        <x:is>
          <x:t xml:space="preserve">10 00 51</x:t>
        </x:is>
      </x:c>
      <x:c r="K11" s="1" t="inlineStr">
        <x:is>
          <x:t xml:space="preserve">gear rotation ?</x:t>
        </x:is>
      </x:c>
      <x:c r="L11" s="1" t="inlineStr">
        <x:is>
          <x:t xml:space="preserve">95</x:t>
        </x:is>
      </x:c>
      <x:c r="M11" s="1" t="inlineStr">
        <x:is>
          <x:t xml:space="preserve">minor vibrations ( 0x0x80 range )</x:t>
        </x:is>
      </x:c>
      <x:c r="N11" s="1" t="inlineStr">
        <x:is>
          <x:t xml:space="preserve">OBSERVED ONLY</x:t>
        </x:is>
      </x:c>
      <x:c r="O11" s="1" t="inlineStr">
        <x:is>
          <x:t xml:space="preserve"/>
        </x:is>
      </x:c>
    </x:row>
    <x:row r="12">
      <x:c r="A12" s="1" t="inlineStr">
        <x:is>
          <x:t xml:space="preserve">000000B1</x:t>
        </x:is>
      </x:c>
      <x:c r="B12" s="1" t="inlineStr">
        <x:is>
          <x:t xml:space="preserve">0xB1</x:t>
        </x:is>
      </x:c>
      <x:c r="C12" s="1" t="inlineStr">
        <x:is>
          <x:t xml:space="preserve">STD</x:t>
        </x:is>
      </x:c>
      <x:c r="D12" s="1" t="n">
        <x:v>19814</x:v>
      </x:c>
      <x:c r="E12" s="1" t="n">
        <x:v>4.908781005044049</x:v>
      </x:c>
      <x:c r="F12" s="1" t="inlineStr">
        <x:is>
          <x:t xml:space="preserve">6</x:t>
        </x:is>
      </x:c>
      <x:c r="G12" s="1" t="n">
        <x:v>12.09008782112754</x:v>
      </x:c>
      <x:c r="H12" s="1" t="n">
        <x:v>82.71238512035376</x:v>
      </x:c>
      <x:c r="I12" s="1" t="inlineStr">
        <x:is>
          <x:t xml:space="preserve">00 00 00 00 11 C8</x:t>
        </x:is>
      </x:c>
      <x:c r="J12" s="1" t="inlineStr">
        <x:is>
          <x:t xml:space="preserve">00 00 00 00 11 C8</x:t>
        </x:is>
      </x:c>
      <x:c r="K12" s="1" t="inlineStr">
        <x:is>
          <x:t xml:space="preserve">Front wheels</x:t>
        </x:is>
      </x:c>
      <x:c r="L12" s="1" t="inlineStr">
        <x:is>
          <x:t xml:space="preserve">52~53</x:t>
        </x:is>
      </x:c>
      <x:c r="M12" s="1" t="inlineStr">
        <x:is>
          <x:t xml:space="preserve">value is speed in km/h * 100</x:t>
        </x:is>
      </x:c>
      <x:c r="N12" s="1" t="inlineStr">
        <x:is>
          <x:t xml:space="preserve">OBSERVED ONLY</x:t>
        </x:is>
      </x:c>
      <x:c r="O12" s="1" t="inlineStr">
        <x:is>
          <x:t xml:space="preserve"/>
        </x:is>
      </x:c>
    </x:row>
    <x:row r="13">
      <x:c r="A13" s="1" t="inlineStr">
        <x:is>
          <x:t xml:space="preserve">000000B3</x:t>
        </x:is>
      </x:c>
      <x:c r="B13" s="1" t="inlineStr">
        <x:is>
          <x:t xml:space="preserve">0xB3</x:t>
        </x:is>
      </x:c>
      <x:c r="C13" s="1" t="inlineStr">
        <x:is>
          <x:t xml:space="preserve">STD</x:t>
        </x:is>
      </x:c>
      <x:c r="D13" s="1" t="n">
        <x:v>19812</x:v>
      </x:c>
      <x:c r="E13" s="1" t="n">
        <x:v>4.908285518922615</x:v>
      </x:c>
      <x:c r="F13" s="1" t="inlineStr">
        <x:is>
          <x:t xml:space="preserve">6</x:t>
        </x:is>
      </x:c>
      <x:c r="G13" s="1" t="n">
        <x:v>12.09072949371561</x:v>
      </x:c>
      <x:c r="H13" s="1" t="n">
        <x:v>82.70799545385321</x:v>
      </x:c>
      <x:c r="I13" s="1" t="inlineStr">
        <x:is>
          <x:t xml:space="preserve">00 00 00 00 11 CA</x:t>
        </x:is>
      </x:c>
      <x:c r="J13" s="1" t="inlineStr">
        <x:is>
          <x:t xml:space="preserve">00 00 00 00 11 CA</x:t>
        </x:is>
      </x:c>
      <x:c r="K13" s="1" t="inlineStr">
        <x:is>
          <x:t xml:space="preserve">Rear wheels</x:t>
        </x:is>
      </x:c>
      <x:c r="L13" s="1" t="inlineStr">
        <x:is>
          <x:t xml:space="preserve">~56</x:t>
        </x:is>
      </x:c>
      <x:c r="M13" s="1" t="inlineStr">
        <x:is>
          <x:t xml:space="preserve"/>
        </x:is>
      </x:c>
      <x:c r="N13" s="1" t="inlineStr">
        <x:is>
          <x:t xml:space="preserve">OBSERVED ONLY</x:t>
        </x:is>
      </x:c>
      <x:c r="O13" s="1" t="inlineStr">
        <x:is>
          <x:t xml:space="preserve"/>
        </x:is>
      </x:c>
    </x:row>
    <x:row r="14">
      <x:c r="A14" s="1" t="inlineStr">
        <x:is>
          <x:t xml:space="preserve">000000B4</x:t>
        </x:is>
      </x:c>
      <x:c r="B14" s="1" t="inlineStr">
        <x:is>
          <x:t xml:space="preserve">0xB4</x:t>
        </x:is>
      </x:c>
      <x:c r="C14" s="1" t="inlineStr">
        <x:is>
          <x:t xml:space="preserve">STD</x:t>
        </x:is>
      </x:c>
      <x:c r="D14" s="1" t="n">
        <x:v>19814</x:v>
      </x:c>
      <x:c r="E14" s="1" t="n">
        <x:v>4.908781005044049</x:v>
      </x:c>
      <x:c r="F14" s="1" t="inlineStr">
        <x:is>
          <x:t xml:space="preserve">8</x:t>
        </x:is>
      </x:c>
      <x:c r="G14" s="1" t="n">
        <x:v>12.09009998485843</x:v>
      </x:c>
      <x:c r="H14" s="1" t="n">
        <x:v>82.71230190423523</x:v>
      </x:c>
      <x:c r="I14" s="1" t="inlineStr">
        <x:is>
          <x:t xml:space="preserve">00 00 00 00 02 00 00 BE</x:t>
        </x:is>
      </x:c>
      <x:c r="J14" s="1" t="inlineStr">
        <x:is>
          <x:t xml:space="preserve">00 00 00 00 00 00 00 BC</x:t>
        </x:is>
      </x:c>
      <x:c r="K14" s="1" t="inlineStr">
        <x:is>
          <x:t xml:space="preserve">Speed</x:t>
        </x:is>
      </x:c>
      <x:c r="L14" s="1" t="inlineStr">
        <x:is>
          <x:t xml:space="preserve">31~32</x:t>
        </x:is>
      </x:c>
      <x:c r="M14" s="1" t="inlineStr">
        <x:is>
          <x:t xml:space="preserve">0x400 for every 10km/h, including signed value for backwards</x:t>
        </x:is>
      </x:c>
      <x:c r="N14" s="1" t="inlineStr">
        <x:is>
          <x:t xml:space="preserve">OBSERVED ONLY</x:t>
        </x:is>
      </x:c>
      <x:c r="O14" s="1" t="inlineStr">
        <x:is>
          <x:t xml:space="preserve"/>
        </x:is>
      </x:c>
    </x:row>
    <x:row r="15">
      <x:c r="A15" s="1" t="inlineStr">
        <x:is>
          <x:t xml:space="preserve">00000120</x:t>
        </x:is>
      </x:c>
      <x:c r="B15" s="1" t="inlineStr">
        <x:is>
          <x:t xml:space="preserve">0x120</x:t>
        </x:is>
      </x:c>
      <x:c r="C15" s="1" t="inlineStr">
        <x:is>
          <x:t xml:space="preserve">STD</x:t>
        </x:is>
      </x:c>
      <x:c r="D15" s="1" t="n">
        <x:v>14740</x:v>
      </x:c>
      <x:c r="E15" s="1" t="n">
        <x:v>3.651732714966654</x:v>
      </x:c>
      <x:c r="F15" s="1" t="inlineStr">
        <x:is>
          <x:t xml:space="preserve">8</x:t>
        </x:is>
      </x:c>
      <x:c r="G15" s="1" t="n">
        <x:v>16.38426670737499</x:v>
      </x:c>
      <x:c r="H15" s="1" t="n">
        <x:v>61.03416270377689</x:v>
      </x:c>
      <x:c r="I15" s="1" t="inlineStr">
        <x:is>
          <x:t xml:space="preserve">00 00 00 00 10 12 00 4B</x:t>
        </x:is>
      </x:c>
      <x:c r="J15" s="1" t="inlineStr">
        <x:is>
          <x:t xml:space="preserve">00 00 00 00 10 10 00 49</x:t>
        </x:is>
      </x:c>
      <x:c r="K15" s="1" t="inlineStr">
        <x:is>
          <x:t xml:space="preserve">Drive Mode</x:t>
        </x:is>
      </x:c>
      <x:c r="L15" s="1" t="inlineStr">
        <x:is>
          <x:t xml:space="preserve">50~51</x:t>
        </x:is>
      </x:c>
      <x:c r="M15" s="1" t="inlineStr">
        <x:is>
          <x:t xml:space="preserve">Possible to check if car is in Standby or Powered mode</x:t>
        </x:is>
      </x:c>
      <x:c r="N15" s="1" t="inlineStr">
        <x:is>
          <x:t xml:space="preserve">OBSERVED ONLY</x:t>
        </x:is>
      </x:c>
      <x:c r="O15" s="1" t="inlineStr">
        <x:is>
          <x:t xml:space="preserve"/>
        </x:is>
      </x:c>
    </x:row>
    <x:row r="16">
      <x:c r="A16" s="1" t="inlineStr">
        <x:is>
          <x:t xml:space="preserve">00000230</x:t>
        </x:is>
      </x:c>
      <x:c r="B16" s="1" t="inlineStr">
        <x:is>
          <x:t xml:space="preserve">0x230</x:t>
        </x:is>
      </x:c>
      <x:c r="C16" s="1" t="inlineStr">
        <x:is>
          <x:t xml:space="preserve">STD</x:t>
        </x:is>
      </x:c>
      <x:c r="D16" s="1" t="n">
        <x:v>9907</x:v>
      </x:c>
      <x:c r="E16" s="1" t="n">
        <x:v>2.454390502522025</x:v>
      </x:c>
      <x:c r="F16" s="1" t="inlineStr">
        <x:is>
          <x:t xml:space="preserve">7</x:t>
        </x:is>
      </x:c>
      <x:c r="G16" s="1" t="n">
        <x:v>24.18005249343832</x:v>
      </x:c>
      <x:c r="H16" s="1" t="n">
        <x:v>41.35640318693962</x:v>
      </x:c>
      <x:c r="I16" s="1" t="inlineStr">
        <x:is>
          <x:t xml:space="preserve">00 06 00 00 00 00 3F</x:t>
        </x:is>
      </x:c>
      <x:c r="J16" s="1" t="inlineStr">
        <x:is>
          <x:t xml:space="preserve">00 06 00 24 00 00 63</x:t>
        </x:is>
      </x:c>
      <x:c r="K16" s="1" t="inlineStr">
        <x:is>
          <x:t xml:space="preserve">counter ?!</x:t>
        </x:is>
      </x:c>
      <x:c r="L16" s="1" t="inlineStr">
        <x:is>
          <x:t xml:space="preserve">12~13</x:t>
        </x:is>
      </x:c>
      <x:c r="M16" s="1" t="inlineStr">
        <x:is>
          <x:t xml:space="preserve">most traffic when accel/decel</x:t>
        </x:is>
      </x:c>
      <x:c r="N16" s="1" t="inlineStr">
        <x:is>
          <x:t xml:space="preserve">OBSERVED ONLY</x:t>
        </x:is>
      </x:c>
      <x:c r="O16" s="1" t="inlineStr">
        <x:is>
          <x:t xml:space="preserve"/>
        </x:is>
      </x:c>
    </x:row>
    <x:row r="17">
      <x:c r="A17" s="1" t="inlineStr">
        <x:is>
          <x:t xml:space="preserve">00000244</x:t>
        </x:is>
      </x:c>
      <x:c r="B17" s="1" t="inlineStr">
        <x:is>
          <x:t xml:space="preserve">0x244</x:t>
        </x:is>
      </x:c>
      <x:c r="C17" s="1" t="inlineStr">
        <x:is>
          <x:t xml:space="preserve">STD</x:t>
        </x:is>
      </x:c>
      <x:c r="D17" s="1" t="n">
        <x:v>9826</x:v>
      </x:c>
      <x:c r="E17" s="1" t="n">
        <x:v>2.434323314603958</x:v>
      </x:c>
      <x:c r="F17" s="1" t="inlineStr">
        <x:is>
          <x:t xml:space="preserve">8</x:t>
        </x:is>
      </x:c>
      <x:c r="G17" s="1" t="n">
        <x:v>24.5772382697201</x:v>
      </x:c>
      <x:c r="H17" s="1" t="n">
        <x:v>40.6880540858828</x:v>
      </x:c>
      <x:c r="I17" s="1" t="inlineStr">
        <x:is>
          <x:t xml:space="preserve">10 00 00 00 00 00 00 5E</x:t>
        </x:is>
      </x:c>
      <x:c r="J17" s="1" t="inlineStr">
        <x:is>
          <x:t xml:space="preserve">10 00 00 00 00 00 00 5E</x:t>
        </x:is>
      </x:c>
      <x:c r="K17" s="1" t="inlineStr">
        <x:is>
          <x:t xml:space="preserve">Gas Pedal / Speed</x:t>
        </x:is>
      </x:c>
      <x:c r="L17" s="1" t="inlineStr">
        <x:is>
          <x:t xml:space="preserve">28</x:t>
        </x:is>
      </x:c>
      <x:c r="M17" s="1" t="inlineStr">
        <x:is>
          <x:t xml:space="preserve">Negative speed data for backup</x:t>
        </x:is>
      </x:c>
      <x:c r="N17" s="1" t="inlineStr">
        <x:is>
          <x:t xml:space="preserve">OBSERVED ONLY</x:t>
        </x:is>
      </x:c>
      <x:c r="O17" s="1" t="inlineStr">
        <x:is>
          <x:t xml:space="preserve"/>
        </x:is>
      </x:c>
    </x:row>
    <x:row r="18">
      <x:c r="A18" s="1" t="inlineStr">
        <x:is>
          <x:t xml:space="preserve">00000262</x:t>
        </x:is>
      </x:c>
      <x:c r="B18" s="1" t="inlineStr">
        <x:is>
          <x:t xml:space="preserve">0x262</x:t>
        </x:is>
      </x:c>
      <x:c r="C18" s="1" t="inlineStr">
        <x:is>
          <x:t xml:space="preserve">STD</x:t>
        </x:is>
      </x:c>
      <x:c r="D18" s="1" t="n">
        <x:v>11993</x:v>
      </x:c>
      <x:c r="E18" s="1" t="n">
        <x:v>2.971182527177414</x:v>
      </x:c>
      <x:c r="F18" s="1" t="inlineStr">
        <x:is>
          <x:t xml:space="preserve">4</x:t>
        </x:is>
      </x:c>
      <x:c r="G18" s="1" t="n">
        <x:v>19.9759126084056</x:v>
      </x:c>
      <x:c r="H18" s="1" t="n">
        <x:v>50.06029109174281</x:v>
      </x:c>
      <x:c r="I18" s="1" t="inlineStr">
        <x:is>
          <x:t xml:space="preserve">00 01 00 69</x:t>
        </x:is>
      </x:c>
      <x:c r="J18" s="1" t="inlineStr">
        <x:is>
          <x:t xml:space="preserve">00 01 00 69</x:t>
        </x:is>
      </x:c>
      <x:c r="K18" s="1" t="inlineStr">
        <x:is>
          <x:t xml:space="preserve"/>
        </x:is>
      </x:c>
      <x:c r="L18" s="1" t="inlineStr">
        <x:is>
          <x:t xml:space="preserve">33.8</x:t>
        </x:is>
      </x:c>
      <x:c r="M18" s="1" t="inlineStr">
        <x:is>
          <x:t xml:space="preserve">no activity when electric only</x:t>
        </x:is>
      </x:c>
      <x:c r="N18" s="1" t="inlineStr">
        <x:is>
          <x:t xml:space="preserve">OBSERVED ONLY</x:t>
        </x:is>
      </x:c>
      <x:c r="O18" s="1" t="inlineStr">
        <x:is>
          <x:t xml:space="preserve"/>
        </x:is>
      </x:c>
    </x:row>
    <x:row r="19">
      <x:c r="A19" s="1" t="inlineStr">
        <x:is>
          <x:t xml:space="preserve">00000348</x:t>
        </x:is>
      </x:c>
      <x:c r="B19" s="1" t="inlineStr">
        <x:is>
          <x:t xml:space="preserve">0x348</x:t>
        </x:is>
      </x:c>
      <x:c r="C19" s="1" t="inlineStr">
        <x:is>
          <x:t xml:space="preserve">STD</x:t>
        </x:is>
      </x:c>
      <x:c r="D19" s="1" t="n">
        <x:v>5897</x:v>
      </x:c>
      <x:c r="E19" s="1" t="n">
        <x:v>1.460940829047378</x:v>
      </x:c>
      <x:c r="F19" s="1" t="inlineStr">
        <x:is>
          <x:t xml:space="preserve">6</x:t>
        </x:is>
      </x:c>
      <x:c r="G19" s="1" t="n">
        <x:v>40.95387160786974</x:v>
      </x:c>
      <x:c r="H19" s="1" t="n">
        <x:v>24.41771585297051</x:v>
      </x:c>
      <x:c r="I19" s="1" t="inlineStr">
        <x:is>
          <x:t xml:space="preserve">00 05 00 00 00 56</x:t>
        </x:is>
      </x:c>
      <x:c r="J19" s="1" t="inlineStr">
        <x:is>
          <x:t xml:space="preserve">00 01 00 00 00 52</x:t>
        </x:is>
      </x:c>
      <x:c r="K19" s="1" t="inlineStr">
        <x:is>
          <x:t xml:space="preserve">ICE (*)</x:t>
        </x:is>
      </x:c>
      <x:c r="L19" s="1" t="inlineStr">
        <x:is>
          <x:t xml:space="preserve">13.5~14</x:t>
        </x:is>
      </x:c>
      <x:c r="M19" s="1" t="inlineStr">
        <x:is>
          <x:t xml:space="preserve"/>
        </x:is>
      </x:c>
      <x:c r="N19" s="1" t="inlineStr">
        <x:is>
          <x:t xml:space="preserve">HIGH CANDIDATE</x:t>
        </x:is>
      </x:c>
      <x:c r="O19" s="1" t="inlineStr">
        <x:is>
          <x:t xml:space="preserve">Observed in 2004 capture; Vass + PriusChat reverse-engineering reference</x:t>
        </x:is>
      </x:c>
    </x:row>
    <x:row r="20">
      <x:c r="A20" s="1" t="inlineStr">
        <x:is>
          <x:t xml:space="preserve">000003C8</x:t>
        </x:is>
      </x:c>
      <x:c r="B20" s="1" t="inlineStr">
        <x:is>
          <x:t xml:space="preserve">0x3C8</x:t>
        </x:is>
      </x:c>
      <x:c r="C20" s="1" t="inlineStr">
        <x:is>
          <x:t xml:space="preserve">STD</x:t>
        </x:is>
      </x:c>
      <x:c r="D20" s="1" t="n">
        <x:v>3655</x:v>
      </x:c>
      <x:c r="E20" s="1" t="n">
        <x:v>0.9055008869201573</x:v>
      </x:c>
      <x:c r="F20" s="1" t="inlineStr">
        <x:is>
          <x:t xml:space="preserve">5</x:t>
        </x:is>
      </x:c>
      <x:c r="G20" s="1" t="n">
        <x:v>65.54253503010401</x:v>
      </x:c>
      <x:c r="H20" s="1" t="n">
        <x:v>15.25726765894385</x:v>
      </x:c>
      <x:c r="I20" s="1" t="inlineStr">
        <x:is>
          <x:t xml:space="preserve">00 34 00 00 04</x:t>
        </x:is>
      </x:c>
      <x:c r="J20" s="1" t="inlineStr">
        <x:is>
          <x:t xml:space="preserve">00 34 00 00 04</x:t>
        </x:is>
      </x:c>
      <x:c r="K20" s="1" t="inlineStr">
        <x:is>
          <x:t xml:space="preserve">ICE rpm (*)</x:t>
        </x:is>
      </x:c>
      <x:c r="L20" s="1" t="inlineStr">
        <x:is>
          <x:t xml:space="preserve">9.7</x:t>
        </x:is>
      </x:c>
      <x:c r="M20" s="1" t="inlineStr">
        <x:is>
          <x:t xml:space="preserve"/>
        </x:is>
      </x:c>
      <x:c r="N20" s="1" t="inlineStr">
        <x:is>
          <x:t xml:space="preserve">HIGH CANDIDATE</x:t>
        </x:is>
      </x:c>
      <x:c r="O20" s="1" t="inlineStr">
        <x:is>
          <x:t xml:space="preserve">Observed in 2004 capture; Vass + PriusChat reverse-engineering reference</x:t>
        </x:is>
      </x:c>
    </x:row>
    <x:row r="21">
      <x:c r="A21" s="1" t="inlineStr">
        <x:is>
          <x:t xml:space="preserve">000003C9</x:t>
        </x:is>
      </x:c>
      <x:c r="B21" s="1" t="inlineStr">
        <x:is>
          <x:t xml:space="preserve">0x3C9</x:t>
        </x:is>
      </x:c>
      <x:c r="C21" s="1" t="inlineStr">
        <x:is>
          <x:t xml:space="preserve">STD</x:t>
        </x:is>
      </x:c>
      <x:c r="D21" s="1" t="n">
        <x:v>2426</x:v>
      </x:c>
      <x:c r="E21" s="1" t="n">
        <x:v>0.601024665299125</x:v>
      </x:c>
      <x:c r="F21" s="1" t="inlineStr">
        <x:is>
          <x:t xml:space="preserve">8</x:t>
        </x:is>
      </x:c>
      <x:c r="G21" s="1" t="n">
        <x:v>100.0077010309278</x:v>
      </x:c>
      <x:c r="H21" s="1" t="n">
        <x:v>9.999229956208525</x:v>
      </x:c>
      <x:c r="I21" s="1" t="inlineStr">
        <x:is>
          <x:t xml:space="preserve">01 21 25 02 84 03 09 AD</x:t>
        </x:is>
      </x:c>
      <x:c r="J21" s="1" t="inlineStr">
        <x:is>
          <x:t xml:space="preserve">03 FF 01 02 84 03 09 69</x:t>
        </x:is>
      </x:c>
      <x:c r="K21" s="1" t="inlineStr">
        <x:is>
          <x:t xml:space="preserve">related to release date ?</x:t>
        </x:is>
      </x:c>
      <x:c r="L21" s="1" t="inlineStr">
        <x:is>
          <x:t xml:space="preserve">6.6</x:t>
        </x:is>
      </x:c>
      <x:c r="M21" s="1" t="inlineStr">
        <x:is>
          <x:t xml:space="preserve"/>
        </x:is>
      </x:c>
      <x:c r="N21" s="1" t="inlineStr">
        <x:is>
          <x:t xml:space="preserve">HIGH CANDIDATE</x:t>
        </x:is>
      </x:c>
      <x:c r="O21" s="1" t="inlineStr">
        <x:is>
          <x:t xml:space="preserve">Observed in 2004 capture; Gen 2 battery documentation cross-check</x:t>
        </x:is>
      </x:c>
    </x:row>
    <x:row r="22">
      <x:c r="A22" s="1" t="inlineStr">
        <x:is>
          <x:t xml:space="preserve">000003CA</x:t>
        </x:is>
      </x:c>
      <x:c r="B22" s="1" t="inlineStr">
        <x:is>
          <x:t xml:space="preserve">0x3CA</x:t>
        </x:is>
      </x:c>
      <x:c r="C22" s="1" t="inlineStr">
        <x:is>
          <x:t xml:space="preserve">STD</x:t>
        </x:is>
      </x:c>
      <x:c r="D22" s="1" t="n">
        <x:v>2407</x:v>
      </x:c>
      <x:c r="E22" s="1" t="n">
        <x:v>0.5963175471455044</x:v>
      </x:c>
      <x:c r="F22" s="1" t="inlineStr">
        <x:is>
          <x:t xml:space="preserve">5</x:t>
        </x:is>
      </x:c>
      <x:c r="G22" s="1" t="n">
        <x:v>100.3377975893599</x:v>
      </x:c>
      <x:c r="H22" s="1" t="n">
        <x:v>9.966333964121636</x:v>
      </x:c>
      <x:c r="I22" s="1" t="inlineStr">
        <x:is>
          <x:t xml:space="preserve">00 20 00 00 F2</x:t>
        </x:is>
      </x:c>
      <x:c r="J22" s="1" t="inlineStr">
        <x:is>
          <x:t xml:space="preserve">00 20 00 00 F2</x:t>
        </x:is>
      </x:c>
      <x:c r="K22" s="1" t="inlineStr">
        <x:is>
          <x:t xml:space="preserve">Speed (*)</x:t>
        </x:is>
      </x:c>
      <x:c r="L22" s="1" t="inlineStr">
        <x:is>
          <x:t xml:space="preserve">~5.8</x:t>
        </x:is>
      </x:c>
      <x:c r="M22" s="1" t="inlineStr">
        <x:is>
          <x:t xml:space="preserve"/>
        </x:is>
      </x:c>
      <x:c r="N22" s="1" t="inlineStr">
        <x:is>
          <x:t xml:space="preserve">OBSERVED ONLY</x:t>
        </x:is>
      </x:c>
      <x:c r="O22" s="1" t="inlineStr">
        <x:is>
          <x:t xml:space="preserve"/>
        </x:is>
      </x:c>
    </x:row>
    <x:row r="23">
      <x:c r="A23" s="1" t="inlineStr">
        <x:is>
          <x:t xml:space="preserve">000003CB</x:t>
        </x:is>
      </x:c>
      <x:c r="B23" s="1" t="inlineStr">
        <x:is>
          <x:t xml:space="preserve">0x3CB</x:t>
        </x:is>
      </x:c>
      <x:c r="C23" s="1" t="inlineStr">
        <x:is>
          <x:t xml:space="preserve">STD</x:t>
        </x:is>
      </x:c>
      <x:c r="D23" s="1" t="n">
        <x:v>2426</x:v>
      </x:c>
      <x:c r="E23" s="1" t="n">
        <x:v>0.601024665299125</x:v>
      </x:c>
      <x:c r="F23" s="1" t="inlineStr">
        <x:is>
          <x:t xml:space="preserve">7</x:t>
        </x:is>
      </x:c>
      <x:c r="G23" s="1" t="n">
        <x:v>100.0077006185567</x:v>
      </x:c>
      <x:c r="H23" s="1" t="n">
        <x:v>9.99922999743929</x:v>
      </x:c>
      <x:c r="I23" s="1" t="inlineStr">
        <x:is>
          <x:t xml:space="preserve">69 7D 00 73 1C 1B 65</x:t>
        </x:is>
      </x:c>
      <x:c r="J23" s="1" t="inlineStr">
        <x:is>
          <x:t xml:space="preserve">69 7D 00 68 1C 1C 5B</x:t>
        </x:is>
      </x:c>
      <x:c r="K23" s="1" t="inlineStr">
        <x:is>
          <x:t xml:space="preserve">Battery (*)</x:t>
        </x:is>
      </x:c>
      <x:c r="L23" s="1" t="inlineStr">
        <x:is>
          <x:t xml:space="preserve">~6</x:t>
        </x:is>
      </x:c>
      <x:c r="M23" s="1" t="inlineStr">
        <x:is>
          <x:t xml:space="preserve">90, 98, 104, 110, 128, 150 ( +5 when going up )</x:t>
        </x:is>
      </x:c>
      <x:c r="N23" s="1" t="inlineStr">
        <x:is>
          <x:t xml:space="preserve">CONFIRMED / HIGH</x:t>
        </x:is>
      </x:c>
      <x:c r="O23" s="1" t="inlineStr">
        <x:is>
          <x:t xml:space="preserve">Observed in 2004 capture; Gen 2 battery documentation cross-check</x:t>
        </x:is>
      </x:c>
    </x:row>
    <x:row r="24">
      <x:c r="A24" s="1" t="inlineStr">
        <x:is>
          <x:t xml:space="preserve">000003CD</x:t>
        </x:is>
      </x:c>
      <x:c r="B24" s="1" t="inlineStr">
        <x:is>
          <x:t xml:space="preserve">0x3CD</x:t>
        </x:is>
      </x:c>
      <x:c r="C24" s="1" t="inlineStr">
        <x:is>
          <x:t xml:space="preserve">STD</x:t>
        </x:is>
      </x:c>
      <x:c r="D24" s="1" t="n">
        <x:v>2426</x:v>
      </x:c>
      <x:c r="E24" s="1" t="n">
        <x:v>0.601024665299125</x:v>
      </x:c>
      <x:c r="F24" s="1" t="inlineStr">
        <x:is>
          <x:t xml:space="preserve">5</x:t>
        </x:is>
      </x:c>
      <x:c r="G24" s="1" t="n">
        <x:v>100.0076973195876</x:v>
      </x:c>
      <x:c r="H24" s="1" t="n">
        <x:v>9.999230327285405</x:v>
      </x:c>
      <x:c r="I24" s="1" t="inlineStr">
        <x:is>
          <x:t xml:space="preserve">00 00 00 DA AF</x:t>
        </x:is>
      </x:c>
      <x:c r="J24" s="1" t="inlineStr">
        <x:is>
          <x:t xml:space="preserve">00 00 00 D0 A5</x:t>
        </x:is>
      </x:c>
      <x:c r="K24" s="1" t="inlineStr">
        <x:is>
          <x:t xml:space="preserve">Battery (*)</x:t>
        </x:is>
      </x:c>
      <x:c r="L24" s="1" t="inlineStr">
        <x:is>
          <x:t xml:space="preserve">~6</x:t>
        </x:is>
      </x:c>
      <x:c r="M24" s="1" t="inlineStr">
        <x:is>
          <x:t xml:space="preserve"/>
        </x:is>
      </x:c>
      <x:c r="N24" s="1" t="inlineStr">
        <x:is>
          <x:t xml:space="preserve">CONFIRMED / HIGH</x:t>
        </x:is>
      </x:c>
      <x:c r="O24" s="1" t="inlineStr">
        <x:is>
          <x:t xml:space="preserve">Observed in 2004 capture; Gen 2 battery documentation cross-check</x:t>
        </x:is>
      </x:c>
    </x:row>
    <x:row r="25">
      <x:c r="A25" s="1" t="inlineStr">
        <x:is>
          <x:t xml:space="preserve">000003CF</x:t>
        </x:is>
      </x:c>
      <x:c r="B25" s="1" t="inlineStr">
        <x:is>
          <x:t xml:space="preserve">0x3CF</x:t>
        </x:is>
      </x:c>
      <x:c r="C25" s="1" t="inlineStr">
        <x:is>
          <x:t xml:space="preserve">STD</x:t>
        </x:is>
      </x:c>
      <x:c r="D25" s="1" t="n">
        <x:v>1828</x:v>
      </x:c>
      <x:c r="E25" s="1" t="n">
        <x:v>0.4528743149904371</x:v>
      </x:c>
      <x:c r="F25" s="1" t="inlineStr">
        <x:is>
          <x:t xml:space="preserve">5</x:t>
        </x:is>
      </x:c>
      <x:c r="G25" s="1" t="n">
        <x:v>131.0811631089217</x:v>
      </x:c>
      <x:c r="H25" s="1" t="n">
        <x:v>7.628861205397234</x:v>
      </x:c>
      <x:c r="I25" s="1" t="inlineStr">
        <x:is>
          <x:t xml:space="preserve">00 1E 1E 00 13</x:t>
        </x:is>
      </x:c>
      <x:c r="J25" s="1" t="inlineStr">
        <x:is>
          <x:t xml:space="preserve">10 21 24 04 30</x:t>
        </x:is>
      </x:c>
      <x:c r="K25" s="1" t="inlineStr">
        <x:is>
          <x:t xml:space="preserve">ICE</x:t>
        </x:is>
      </x:c>
      <x:c r="L25" s="1" t="inlineStr">
        <x:is>
          <x:t xml:space="preserve">~5.5</x:t>
        </x:is>
      </x:c>
      <x:c r="M25" s="1" t="inlineStr">
        <x:is>
          <x:t xml:space="preserve">When ICE was on, values decreased slightly, when ICE off, they increased…</x:t>
        </x:is>
      </x:c>
      <x:c r="N25" s="1" t="inlineStr">
        <x:is>
          <x:t xml:space="preserve">OBSERVED ONLY</x:t>
        </x:is>
      </x:c>
      <x:c r="O25" s="1" t="inlineStr">
        <x:is>
          <x:t xml:space="preserve"/>
        </x:is>
      </x:c>
    </x:row>
    <x:row r="26">
      <x:c r="A26" s="1" t="inlineStr">
        <x:is>
          <x:t xml:space="preserve">00000423</x:t>
        </x:is>
      </x:c>
      <x:c r="B26" s="1" t="inlineStr">
        <x:is>
          <x:t xml:space="preserve">0x423</x:t>
        </x:is>
      </x:c>
      <x:c r="C26" s="1" t="inlineStr">
        <x:is>
          <x:t xml:space="preserve">STD</x:t>
        </x:is>
      </x:c>
      <x:c r="D26" s="1" t="n">
        <x:v>238</x:v>
      </x:c>
      <x:c r="E26" s="1" t="n">
        <x:v>0.0589628484506149</x:v>
      </x:c>
      <x:c r="F26" s="1" t="inlineStr">
        <x:is>
          <x:t xml:space="preserve">1</x:t>
        </x:is>
      </x:c>
      <x:c r="G26" s="1" t="n">
        <x:v>1009.228902953586</x:v>
      </x:c>
      <x:c r="H26" s="1" t="n">
        <x:v>0.9908554908340641</x:v>
      </x:c>
      <x:c r="I26" s="1" t="inlineStr">
        <x:is>
          <x:t xml:space="preserve">00</x:t>
        </x:is>
      </x:c>
      <x:c r="J26" s="1" t="inlineStr">
        <x:is>
          <x:t xml:space="preserve">00</x:t>
        </x:is>
      </x:c>
      <x:c r="K26" s="1" t="inlineStr">
        <x:is>
          <x:t xml:space="preserve">const?</x:t>
        </x:is>
      </x:c>
      <x:c r="L26" s="1" t="inlineStr">
        <x:is>
          <x:t xml:space="preserve">0.6~0.7</x:t>
        </x:is>
      </x:c>
      <x:c r="M26" s="1" t="inlineStr">
        <x:is>
          <x:t xml:space="preserve"/>
        </x:is>
      </x:c>
      <x:c r="N26" s="1" t="inlineStr">
        <x:is>
          <x:t xml:space="preserve">OBSERVED ONLY</x:t>
        </x:is>
      </x:c>
      <x:c r="O26" s="1" t="inlineStr">
        <x:is>
          <x:t xml:space="preserve"/>
        </x:is>
      </x:c>
    </x:row>
    <x:row r="27">
      <x:c r="A27" s="1" t="inlineStr">
        <x:is>
          <x:t xml:space="preserve">00000484</x:t>
        </x:is>
      </x:c>
      <x:c r="B27" s="1" t="inlineStr">
        <x:is>
          <x:t xml:space="preserve">0x484</x:t>
        </x:is>
      </x:c>
      <x:c r="C27" s="1" t="inlineStr">
        <x:is>
          <x:t xml:space="preserve">STD</x:t>
        </x:is>
      </x:c>
      <x:c r="D27" s="1" t="n">
        <x:v>240</x:v>
      </x:c>
      <x:c r="E27" s="1" t="n">
        <x:v>0.05945833457204864</x:v>
      </x:c>
      <x:c r="F27" s="1" t="inlineStr">
        <x:is>
          <x:t xml:space="preserve">5</x:t>
        </x:is>
      </x:c>
      <x:c r="G27" s="1" t="n">
        <x:v>1000.456937238494</x:v>
      </x:c>
      <x:c r="H27" s="1" t="n">
        <x:v>0.9995432714577852</x:v>
      </x:c>
      <x:c r="I27" s="1" t="inlineStr">
        <x:is>
          <x:t xml:space="preserve">00 2C 00 09 44</x:t>
        </x:is>
      </x:c>
      <x:c r="J27" s="1" t="inlineStr">
        <x:is>
          <x:t xml:space="preserve">00 4C 00 0A 50</x:t>
        </x:is>
      </x:c>
      <x:c r="K27" s="1" t="inlineStr">
        <x:is>
          <x:t xml:space="preserve"/>
        </x:is>
      </x:c>
      <x:c r="L27" s="1" t="inlineStr">
        <x:is>
          <x:t xml:space="preserve"/>
        </x:is>
      </x:c>
      <x:c r="M27" s="1" t="inlineStr">
        <x:is>
          <x:t xml:space="preserve"/>
        </x:is>
      </x:c>
      <x:c r="N27" s="1" t="inlineStr">
        <x:is>
          <x:t xml:space="preserve">OBSERVED ONLY</x:t>
        </x:is>
      </x:c>
      <x:c r="O27" s="1" t="inlineStr">
        <x:is>
          <x:t xml:space="preserve"/>
        </x:is>
      </x:c>
    </x:row>
    <x:row r="28">
      <x:c r="A28" s="1" t="inlineStr">
        <x:is>
          <x:t xml:space="preserve">000004C1</x:t>
        </x:is>
      </x:c>
      <x:c r="B28" s="1" t="inlineStr">
        <x:is>
          <x:t xml:space="preserve">0x4C1</x:t>
        </x:is>
      </x:c>
      <x:c r="C28" s="1" t="inlineStr">
        <x:is>
          <x:t xml:space="preserve">STD</x:t>
        </x:is>
      </x:c>
      <x:c r="D28" s="1" t="n">
        <x:v>264</x:v>
      </x:c>
      <x:c r="E28" s="1" t="n">
        <x:v>0.0654041680292535</x:v>
      </x:c>
      <x:c r="F28" s="1" t="inlineStr">
        <x:is>
          <x:t xml:space="preserve">8</x:t>
        </x:is>
      </x:c>
      <x:c r="G28" s="1" t="n">
        <x:v>910.3430760456274</x:v>
      </x:c>
      <x:c r="H28" s="1" t="n">
        <x:v>1.098486962018569</x:v>
      </x:c>
      <x:c r="I28" s="1" t="inlineStr">
        <x:is>
          <x:t xml:space="preserve">01 00 09 00 00 00 00 00</x:t>
        </x:is>
      </x:c>
      <x:c r="J28" s="1" t="inlineStr">
        <x:is>
          <x:t xml:space="preserve">01 00 09 00 00 00 00 00</x:t>
        </x:is>
      </x:c>
      <x:c r="K28" s="1" t="inlineStr">
        <x:is>
          <x:t xml:space="preserve">const?</x:t>
        </x:is>
      </x:c>
      <x:c r="L28" s="1" t="inlineStr">
        <x:is>
          <x:t xml:space="preserve">0.8</x:t>
        </x:is>
      </x:c>
      <x:c r="M28" s="1" t="inlineStr">
        <x:is>
          <x:t xml:space="preserve"/>
        </x:is>
      </x:c>
      <x:c r="N28" s="1" t="inlineStr">
        <x:is>
          <x:t xml:space="preserve">OBSERVED ONLY</x:t>
        </x:is>
      </x:c>
      <x:c r="O28" s="1" t="inlineStr">
        <x:is>
          <x:t xml:space="preserve"/>
        </x:is>
      </x:c>
    </x:row>
    <x:row r="29">
      <x:c r="A29" s="1" t="inlineStr">
        <x:is>
          <x:t xml:space="preserve">000004C3</x:t>
        </x:is>
      </x:c>
      <x:c r="B29" s="1" t="inlineStr">
        <x:is>
          <x:t xml:space="preserve">0x4C3</x:t>
        </x:is>
      </x:c>
      <x:c r="C29" s="1" t="inlineStr">
        <x:is>
          <x:t xml:space="preserve">STD</x:t>
        </x:is>
      </x:c>
      <x:c r="D29" s="1" t="n">
        <x:v>256</x:v>
      </x:c>
      <x:c r="E29" s="1" t="n">
        <x:v>0.06342222354351855</x:v>
      </x:c>
      <x:c r="F29" s="1" t="inlineStr">
        <x:is>
          <x:t xml:space="preserve">8</x:t>
        </x:is>
      </x:c>
      <x:c r="G29" s="1" t="n">
        <x:v>936.9366901960784</x:v>
      </x:c>
      <x:c r="H29" s="1" t="n">
        <x:v>1.067307973381557</x:v>
      </x:c>
      <x:c r="I29" s="1" t="inlineStr">
        <x:is>
          <x:t xml:space="preserve">03 00 03 00 00 00 00 00</x:t>
        </x:is>
      </x:c>
      <x:c r="J29" s="1" t="inlineStr">
        <x:is>
          <x:t xml:space="preserve">03 00 03 00 00 00 00 00</x:t>
        </x:is>
      </x:c>
      <x:c r="K29" s="1" t="inlineStr">
        <x:is>
          <x:t xml:space="preserve">const?</x:t>
        </x:is>
      </x:c>
      <x:c r="L29" s="1" t="inlineStr">
        <x:is>
          <x:t xml:space="preserve">0.4</x:t>
        </x:is>
      </x:c>
      <x:c r="M29" s="1" t="inlineStr">
        <x:is>
          <x:t xml:space="preserve"/>
        </x:is>
      </x:c>
      <x:c r="N29" s="1" t="inlineStr">
        <x:is>
          <x:t xml:space="preserve">OBSERVED ONLY</x:t>
        </x:is>
      </x:c>
      <x:c r="O29" s="1" t="inlineStr">
        <x:is>
          <x:t xml:space="preserve"/>
        </x:is>
      </x:c>
    </x:row>
    <x:row r="30">
      <x:c r="A30" s="1" t="inlineStr">
        <x:is>
          <x:t xml:space="preserve">000004C6</x:t>
        </x:is>
      </x:c>
      <x:c r="B30" s="1" t="inlineStr">
        <x:is>
          <x:t xml:space="preserve">0x4C6</x:t>
        </x:is>
      </x:c>
      <x:c r="C30" s="1" t="inlineStr">
        <x:is>
          <x:t xml:space="preserve">STD</x:t>
        </x:is>
      </x:c>
      <x:c r="D30" s="1" t="n">
        <x:v>250</x:v>
      </x:c>
      <x:c r="E30" s="1" t="n">
        <x:v>0.06193576517921733</x:v>
      </x:c>
      <x:c r="F30" s="1" t="inlineStr">
        <x:is>
          <x:t xml:space="preserve">8</x:t>
        </x:is>
      </x:c>
      <x:c r="G30" s="1" t="n">
        <x:v>961.1855341365462</x:v>
      </x:c>
      <x:c r="H30" s="1" t="n">
        <x:v>1.040381866439887</x:v>
      </x:c>
      <x:c r="I30" s="1" t="inlineStr">
        <x:is>
          <x:t xml:space="preserve">07 00 01 00 00 00 00 00</x:t>
        </x:is>
      </x:c>
      <x:c r="J30" s="1" t="inlineStr">
        <x:is>
          <x:t xml:space="preserve">07 00 01 00 00 00 00 00</x:t>
        </x:is>
      </x:c>
      <x:c r="K30" s="1" t="inlineStr">
        <x:is>
          <x:t xml:space="preserve">const?</x:t>
        </x:is>
      </x:c>
      <x:c r="L30" s="1" t="inlineStr">
        <x:is>
          <x:t xml:space="preserve">0.7</x:t>
        </x:is>
      </x:c>
      <x:c r="M30" s="1" t="inlineStr">
        <x:is>
          <x:t xml:space="preserve"/>
        </x:is>
      </x:c>
      <x:c r="N30" s="1" t="inlineStr">
        <x:is>
          <x:t xml:space="preserve">OBSERVED ONLY</x:t>
        </x:is>
      </x:c>
      <x:c r="O30" s="1" t="inlineStr">
        <x:is>
          <x:t xml:space="preserve"/>
        </x:is>
      </x:c>
    </x:row>
    <x:row r="31">
      <x:c r="A31" s="1" t="inlineStr">
        <x:is>
          <x:t xml:space="preserve">000004C7</x:t>
        </x:is>
      </x:c>
      <x:c r="B31" s="1" t="inlineStr">
        <x:is>
          <x:t xml:space="preserve">0x4C7</x:t>
        </x:is>
      </x:c>
      <x:c r="C31" s="1" t="inlineStr">
        <x:is>
          <x:t xml:space="preserve">STD</x:t>
        </x:is>
      </x:c>
      <x:c r="D31" s="1" t="n">
        <x:v>248</x:v>
      </x:c>
      <x:c r="E31" s="1" t="n">
        <x:v>0.0614402790577836</x:v>
      </x:c>
      <x:c r="F31" s="1" t="inlineStr">
        <x:is>
          <x:t xml:space="preserve">8</x:t>
        </x:is>
      </x:c>
      <x:c r="G31" s="1" t="n">
        <x:v>969.5017125506073</x:v>
      </x:c>
      <x:c r="H31" s="1" t="n">
        <x:v>1.031457693219702</x:v>
      </x:c>
      <x:c r="I31" s="1" t="inlineStr">
        <x:is>
          <x:t xml:space="preserve">08 00 01 00 00 00 00 00</x:t>
        </x:is>
      </x:c>
      <x:c r="J31" s="1" t="inlineStr">
        <x:is>
          <x:t xml:space="preserve">08 00 01 00 00 00 00 00</x:t>
        </x:is>
      </x:c>
      <x:c r="K31" s="1" t="inlineStr">
        <x:is>
          <x:t xml:space="preserve">const?</x:t>
        </x:is>
      </x:c>
      <x:c r="L31" s="1" t="inlineStr">
        <x:is>
          <x:t xml:space="preserve">0.7~0.8</x:t>
        </x:is>
      </x:c>
      <x:c r="M31" s="1" t="inlineStr">
        <x:is>
          <x:t xml:space="preserve"/>
        </x:is>
      </x:c>
      <x:c r="N31" s="1" t="inlineStr">
        <x:is>
          <x:t xml:space="preserve">OBSERVED ONLY</x:t>
        </x:is>
      </x:c>
      <x:c r="O31" s="1" t="inlineStr">
        <x:is>
          <x:t xml:space="preserve"/>
        </x:is>
      </x:c>
    </x:row>
    <x:row r="32">
      <x:c r="A32" s="1" t="inlineStr">
        <x:is>
          <x:t xml:space="preserve">000004C8</x:t>
        </x:is>
      </x:c>
      <x:c r="B32" s="1" t="inlineStr">
        <x:is>
          <x:t xml:space="preserve">0x4C8</x:t>
        </x:is>
      </x:c>
      <x:c r="C32" s="1" t="inlineStr">
        <x:is>
          <x:t xml:space="preserve">STD</x:t>
        </x:is>
      </x:c>
      <x:c r="D32" s="1" t="n">
        <x:v>245</x:v>
      </x:c>
      <x:c r="E32" s="1" t="n">
        <x:v>0.06069704987563299</x:v>
      </x:c>
      <x:c r="F32" s="1" t="inlineStr">
        <x:is>
          <x:t xml:space="preserve">8</x:t>
        </x:is>
      </x:c>
      <x:c r="G32" s="1" t="n">
        <x:v>978.7410778688525</x:v>
      </x:c>
      <x:c r="H32" s="1" t="n">
        <x:v>1.021720680384068</x:v>
      </x:c>
      <x:c r="I32" s="1" t="inlineStr">
        <x:is>
          <x:t xml:space="preserve">09 00 05 01 00 00 00 00</x:t>
        </x:is>
      </x:c>
      <x:c r="J32" s="1" t="inlineStr">
        <x:is>
          <x:t xml:space="preserve">09 00 05 01 00 00 00 00</x:t>
        </x:is>
      </x:c>
      <x:c r="K32" s="1" t="inlineStr">
        <x:is>
          <x:t xml:space="preserve">const?</x:t>
        </x:is>
      </x:c>
      <x:c r="L32" s="1" t="inlineStr">
        <x:is>
          <x:t xml:space="preserve">0.7~0.8</x:t>
        </x:is>
      </x:c>
      <x:c r="M32" s="1" t="inlineStr">
        <x:is>
          <x:t xml:space="preserve"/>
        </x:is>
      </x:c>
      <x:c r="N32" s="1" t="inlineStr">
        <x:is>
          <x:t xml:space="preserve">OBSERVED ONLY</x:t>
        </x:is>
      </x:c>
      <x:c r="O32" s="1" t="inlineStr">
        <x:is>
          <x:t xml:space="preserve"/>
        </x:is>
      </x:c>
    </x:row>
    <x:row r="33">
      <x:c r="A33" s="1" t="inlineStr">
        <x:is>
          <x:t xml:space="preserve">000004CE</x:t>
        </x:is>
      </x:c>
      <x:c r="B33" s="1" t="inlineStr">
        <x:is>
          <x:t xml:space="preserve">0x4CE</x:t>
        </x:is>
      </x:c>
      <x:c r="C33" s="1" t="inlineStr">
        <x:is>
          <x:t xml:space="preserve">STD</x:t>
        </x:is>
      </x:c>
      <x:c r="D33" s="1" t="n">
        <x:v>232</x:v>
      </x:c>
      <x:c r="E33" s="1" t="n">
        <x:v>0.05747639008631369</x:v>
      </x:c>
      <x:c r="F33" s="1" t="inlineStr">
        <x:is>
          <x:t xml:space="preserve">8</x:t>
        </x:is>
      </x:c>
      <x:c r="G33" s="1" t="n">
        <x:v>1035.802268398268</x:v>
      </x:c>
      <x:c r="H33" s="1" t="n">
        <x:v>0.9654352288167588</x:v>
      </x:c>
      <x:c r="I33" s="1" t="inlineStr">
        <x:is>
          <x:t xml:space="preserve">0F 00 01 01 00 00 00 00</x:t>
        </x:is>
      </x:c>
      <x:c r="J33" s="1" t="inlineStr">
        <x:is>
          <x:t xml:space="preserve">0F 00 01 01 00 00 00 00</x:t>
        </x:is>
      </x:c>
      <x:c r="K33" s="1" t="inlineStr">
        <x:is>
          <x:t xml:space="preserve">const?</x:t>
        </x:is>
      </x:c>
      <x:c r="L33" s="1" t="inlineStr">
        <x:is>
          <x:t xml:space="preserve">0.7</x:t>
        </x:is>
      </x:c>
      <x:c r="M33" s="1" t="inlineStr">
        <x:is>
          <x:t xml:space="preserve"/>
        </x:is>
      </x:c>
      <x:c r="N33" s="1" t="inlineStr">
        <x:is>
          <x:t xml:space="preserve">OBSERVED ONLY</x:t>
        </x:is>
      </x:c>
      <x:c r="O33" s="1" t="inlineStr">
        <x:is>
          <x:t xml:space="preserve"/>
        </x:is>
      </x:c>
    </x:row>
    <x:row r="34">
      <x:c r="A34" s="1" t="inlineStr">
        <x:is>
          <x:t xml:space="preserve">000004D0</x:t>
        </x:is>
      </x:c>
      <x:c r="B34" s="1" t="inlineStr">
        <x:is>
          <x:t xml:space="preserve">0x4D0</x:t>
        </x:is>
      </x:c>
      <x:c r="C34" s="1" t="inlineStr">
        <x:is>
          <x:t xml:space="preserve">STD</x:t>
        </x:is>
      </x:c>
      <x:c r="D34" s="1" t="n">
        <x:v>230</x:v>
      </x:c>
      <x:c r="E34" s="1" t="n">
        <x:v>0.05698090396487995</x:v>
      </x:c>
      <x:c r="F34" s="1" t="inlineStr">
        <x:is>
          <x:t xml:space="preserve">8</x:t>
        </x:is>
      </x:c>
      <x:c r="G34" s="1" t="n">
        <x:v>1050.569995633188</x:v>
      </x:c>
      <x:c r="H34" s="1" t="n">
        <x:v>0.9518642300433215</x:v>
      </x:c>
      <x:c r="I34" s="1" t="inlineStr">
        <x:is>
          <x:t xml:space="preserve">10 00 02 01 00 00 00 00</x:t>
        </x:is>
      </x:c>
      <x:c r="J34" s="1" t="inlineStr">
        <x:is>
          <x:t xml:space="preserve">10 00 02 01 00 00 00 00</x:t>
        </x:is>
      </x:c>
      <x:c r="K34" s="1" t="inlineStr">
        <x:is>
          <x:t xml:space="preserve">HECU -&gt; Batt</x:t>
        </x:is>
      </x:c>
      <x:c r="L34" s="1" t="inlineStr">
        <x:is>
          <x:t xml:space="preserve">0.6</x:t>
        </x:is>
      </x:c>
      <x:c r="M34" s="1" t="inlineStr">
        <x:is>
          <x:t xml:space="preserve"/>
        </x:is>
      </x:c>
      <x:c r="N34" s="1" t="inlineStr">
        <x:is>
          <x:t xml:space="preserve">OBSERVED ONLY</x:t>
        </x:is>
      </x:c>
      <x:c r="O34" s="1" t="inlineStr">
        <x:is>
          <x:t xml:space="preserve"/>
        </x:is>
      </x:c>
    </x:row>
    <x:row r="35">
      <x:c r="A35" s="1" t="inlineStr">
        <x:is>
          <x:t xml:space="preserve">000004D1</x:t>
        </x:is>
      </x:c>
      <x:c r="B35" s="1" t="inlineStr">
        <x:is>
          <x:t xml:space="preserve">0x4D1</x:t>
        </x:is>
      </x:c>
      <x:c r="C35" s="1" t="inlineStr">
        <x:is>
          <x:t xml:space="preserve">STD</x:t>
        </x:is>
      </x:c>
      <x:c r="D35" s="1" t="n">
        <x:v>229</x:v>
      </x:c>
      <x:c r="E35" s="1" t="n">
        <x:v>0.05673316090416308</x:v>
      </x:c>
      <x:c r="F35" s="1" t="inlineStr">
        <x:is>
          <x:t xml:space="preserve">8</x:t>
        </x:is>
      </x:c>
      <x:c r="G35" s="1" t="n">
        <x:v>1060.080671052632</x:v>
      </x:c>
      <x:c r="H35" s="1" t="n">
        <x:v>0.9433244349291142</x:v>
      </x:c>
      <x:c r="I35" s="1" t="inlineStr">
        <x:is>
          <x:t xml:space="preserve">11 00 01 02 00 00 00 00</x:t>
        </x:is>
      </x:c>
      <x:c r="J35" s="1" t="inlineStr">
        <x:is>
          <x:t xml:space="preserve">11 00 01 02 00 00 00 00</x:t>
        </x:is>
      </x:c>
      <x:c r="K35" s="1" t="inlineStr">
        <x:is>
          <x:t xml:space="preserve">Batt -&gt; HECU</x:t>
        </x:is>
      </x:c>
      <x:c r="L35" s="1" t="inlineStr">
        <x:is>
          <x:t xml:space="preserve">0.6</x:t>
        </x:is>
      </x:c>
      <x:c r="M35" s="1" t="inlineStr">
        <x:is>
          <x:t xml:space="preserve"/>
        </x:is>
      </x:c>
      <x:c r="N35" s="1" t="inlineStr">
        <x:is>
          <x:t xml:space="preserve">OBSERVED ONLY</x:t>
        </x:is>
      </x:c>
      <x:c r="O35" s="1" t="inlineStr">
        <x:is>
          <x:t xml:space="preserve"/>
        </x:is>
      </x:c>
    </x:row>
    <x:row r="36">
      <x:c r="A36" s="1" t="inlineStr">
        <x:is>
          <x:t xml:space="preserve">00000520</x:t>
        </x:is>
      </x:c>
      <x:c r="B36" s="1" t="inlineStr">
        <x:is>
          <x:t xml:space="preserve">0x520</x:t>
        </x:is>
      </x:c>
      <x:c r="C36" s="1" t="inlineStr">
        <x:is>
          <x:t xml:space="preserve">STD</x:t>
        </x:is>
      </x:c>
      <x:c r="D36" s="1" t="n">
        <x:v>103</x:v>
      </x:c>
      <x:c r="E36" s="1" t="n">
        <x:v>0.02551753525383754</x:v>
      </x:c>
      <x:c r="F36" s="1" t="inlineStr">
        <x:is>
          <x:t xml:space="preserve">3</x:t>
        </x:is>
      </x:c>
      <x:c r="G36" s="1" t="n">
        <x:v>921.9568823529412</x:v>
      </x:c>
      <x:c r="H36" s="1" t="n">
        <x:v>1.084649422484795</x:v>
      </x:c>
      <x:c r="I36" s="1" t="inlineStr">
        <x:is>
          <x:t xml:space="preserve">A4 04 1D</x:t>
        </x:is>
      </x:c>
      <x:c r="J36" s="1" t="inlineStr">
        <x:is>
          <x:t xml:space="preserve">A4 01 F9</x:t>
        </x:is>
      </x:c>
      <x:c r="K36" s="1" t="inlineStr">
        <x:is>
          <x:t xml:space="preserve">Fuel Injector</x:t>
        </x:is>
      </x:c>
      <x:c r="L36" s="1" t="inlineStr">
        <x:is>
          <x:t xml:space="preserve">0.4~0.5</x:t>
        </x:is>
      </x:c>
      <x:c r="M36" s="1" t="inlineStr">
        <x:is>
          <x:t xml:space="preserve">no activity when EV</x:t>
        </x:is>
      </x:c>
      <x:c r="N36" s="1" t="inlineStr">
        <x:is>
          <x:t xml:space="preserve">OBSERVED ONLY</x:t>
        </x:is>
      </x:c>
      <x:c r="O36" s="1" t="inlineStr">
        <x:is>
          <x:t xml:space="preserve"/>
        </x:is>
      </x:c>
    </x:row>
    <x:row r="37">
      <x:c r="A37" s="1" t="inlineStr">
        <x:is>
          <x:t xml:space="preserve">00000521</x:t>
        </x:is>
      </x:c>
      <x:c r="B37" s="1" t="inlineStr">
        <x:is>
          <x:t xml:space="preserve">0x521</x:t>
        </x:is>
      </x:c>
      <x:c r="C37" s="1" t="inlineStr">
        <x:is>
          <x:t xml:space="preserve">STD</x:t>
        </x:is>
      </x:c>
      <x:c r="D37" s="1" t="n">
        <x:v>800</x:v>
      </x:c>
      <x:c r="E37" s="1" t="n">
        <x:v>0.1981944485734955</x:v>
      </x:c>
      <x:c r="F37" s="1" t="inlineStr">
        <x:is>
          <x:t xml:space="preserve">2</x:t>
        </x:is>
      </x:c>
      <x:c r="G37" s="1" t="n">
        <x:v>299.6135193992491</x:v>
      </x:c>
      <x:c r="H37" s="1" t="n">
        <x:v>3.337633101487163</x:v>
      </x:c>
      <x:c r="I37" s="1" t="inlineStr">
        <x:is>
          <x:t xml:space="preserve">23 00</x:t>
        </x:is>
      </x:c>
      <x:c r="J37" s="1" t="inlineStr">
        <x:is>
          <x:t xml:space="preserve">23 00</x:t>
        </x:is>
      </x:c>
      <x:c r="K37" s="1" t="inlineStr">
        <x:is>
          <x:t xml:space="preserve">const?</x:t>
        </x:is>
      </x:c>
      <x:c r="L37" s="1" t="inlineStr">
        <x:is>
          <x:t xml:space="preserve">2.1</x:t>
        </x:is>
      </x:c>
      <x:c r="M37" s="1" t="inlineStr">
        <x:is>
          <x:t xml:space="preserve">no activity when EV</x:t>
        </x:is>
      </x:c>
      <x:c r="N37" s="1" t="inlineStr">
        <x:is>
          <x:t xml:space="preserve">OBSERVED ONLY</x:t>
        </x:is>
      </x:c>
      <x:c r="O37" s="1" t="inlineStr">
        <x:is>
          <x:t xml:space="preserve"/>
        </x:is>
      </x:c>
    </x:row>
    <x:row r="38">
      <x:c r="A38" s="1" t="inlineStr">
        <x:is>
          <x:t xml:space="preserve">00000526</x:t>
        </x:is>
      </x:c>
      <x:c r="B38" s="1" t="inlineStr">
        <x:is>
          <x:t xml:space="preserve">0x526</x:t>
        </x:is>
      </x:c>
      <x:c r="C38" s="1" t="inlineStr">
        <x:is>
          <x:t xml:space="preserve">STD</x:t>
        </x:is>
      </x:c>
      <x:c r="D38" s="1" t="n">
        <x:v>479</x:v>
      </x:c>
      <x:c r="E38" s="1" t="n">
        <x:v>0.1186689260833804</x:v>
      </x:c>
      <x:c r="F38" s="1" t="inlineStr">
        <x:is>
          <x:t xml:space="preserve">3</x:t>
        </x:is>
      </x:c>
      <x:c r="G38" s="1" t="n">
        <x:v>499.71639958159</x:v>
      </x:c>
      <x:c r="H38" s="1" t="n">
        <x:v>2.001135045472382</x:v>
      </x:c>
      <x:c r="I38" s="1" t="inlineStr">
        <x:is>
          <x:t xml:space="preserve">24 00 00</x:t>
        </x:is>
      </x:c>
      <x:c r="J38" s="1" t="inlineStr">
        <x:is>
          <x:t xml:space="preserve">24 00 00</x:t>
        </x:is>
      </x:c>
      <x:c r="K38" s="1" t="inlineStr">
        <x:is>
          <x:t xml:space="preserve">Timing</x:t>
        </x:is>
      </x:c>
      <x:c r="L38" s="1" t="inlineStr">
        <x:is>
          <x:t xml:space="preserve">1.3~1.4</x:t>
        </x:is>
      </x:c>
      <x:c r="M38" s="1" t="inlineStr">
        <x:is>
          <x:t xml:space="preserve">no activity when EV</x:t>
        </x:is>
      </x:c>
      <x:c r="N38" s="1" t="inlineStr">
        <x:is>
          <x:t xml:space="preserve">OBSERVED ONLY</x:t>
        </x:is>
      </x:c>
      <x:c r="O38" s="1" t="inlineStr">
        <x:is>
          <x:t xml:space="preserve"/>
        </x:is>
      </x:c>
    </x:row>
    <x:row r="39">
      <x:c r="A39" s="1" t="inlineStr">
        <x:is>
          <x:t xml:space="preserve">00000527</x:t>
        </x:is>
      </x:c>
      <x:c r="B39" s="1" t="inlineStr">
        <x:is>
          <x:t xml:space="preserve">0x527</x:t>
        </x:is>
      </x:c>
      <x:c r="C39" s="1" t="inlineStr">
        <x:is>
          <x:t xml:space="preserve">STD</x:t>
        </x:is>
      </x:c>
      <x:c r="D39" s="1" t="n">
        <x:v>243</x:v>
      </x:c>
      <x:c r="E39" s="1" t="n">
        <x:v>0.06020156375419924</x:v>
      </x:c>
      <x:c r="F39" s="1" t="inlineStr">
        <x:is>
          <x:t xml:space="preserve">3</x:t>
        </x:is>
      </x:c>
      <x:c r="G39" s="1" t="n">
        <x:v>996.5548925619835</x:v>
      </x:c>
      <x:c r="H39" s="1" t="n">
        <x:v>1.003457017233802</x:v>
      </x:c>
      <x:c r="I39" s="1" t="inlineStr">
        <x:is>
          <x:t xml:space="preserve">24 00 00</x:t>
        </x:is>
      </x:c>
      <x:c r="J39" s="1" t="inlineStr">
        <x:is>
          <x:t xml:space="preserve">24 00 00</x:t>
        </x:is>
      </x:c>
      <x:c r="K39" s="1" t="inlineStr">
        <x:is>
          <x:t xml:space="preserve">const?</x:t>
        </x:is>
      </x:c>
      <x:c r="L39" s="1" t="inlineStr">
        <x:is>
          <x:t xml:space="preserve">0.5~0.6</x:t>
        </x:is>
      </x:c>
      <x:c r="M39" s="1" t="inlineStr">
        <x:is>
          <x:t xml:space="preserve"/>
        </x:is>
      </x:c>
      <x:c r="N39" s="1" t="inlineStr">
        <x:is>
          <x:t xml:space="preserve">OBSERVED ONLY</x:t>
        </x:is>
      </x:c>
      <x:c r="O39" s="1" t="inlineStr">
        <x:is>
          <x:t xml:space="preserve"/>
        </x:is>
      </x:c>
    </x:row>
    <x:row r="40">
      <x:c r="A40" s="1" t="inlineStr">
        <x:is>
          <x:t xml:space="preserve">00000528</x:t>
        </x:is>
      </x:c>
      <x:c r="B40" s="1" t="inlineStr">
        <x:is>
          <x:t xml:space="preserve">0x528</x:t>
        </x:is>
      </x:c>
      <x:c r="C40" s="1" t="inlineStr">
        <x:is>
          <x:t xml:space="preserve">STD</x:t>
        </x:is>
      </x:c>
      <x:c r="D40" s="1" t="n">
        <x:v>484</x:v>
      </x:c>
      <x:c r="E40" s="1" t="n">
        <x:v>0.1199076413869647</x:v>
      </x:c>
      <x:c r="F40" s="1" t="inlineStr">
        <x:is>
          <x:t xml:space="preserve">4</x:t>
        </x:is>
      </x:c>
      <x:c r="G40" s="1" t="n">
        <x:v>499.6452443064182</x:v>
      </x:c>
      <x:c r="H40" s="1" t="n">
        <x:v>2.001420030301996</x:v>
      </x:c>
      <x:c r="I40" s="1" t="inlineStr">
        <x:is>
          <x:t xml:space="preserve">25 00 00 00</x:t>
        </x:is>
      </x:c>
      <x:c r="J40" s="1" t="inlineStr">
        <x:is>
          <x:t xml:space="preserve">25 00 00 00</x:t>
        </x:is>
      </x:c>
      <x:c r="K40" s="1" t="inlineStr">
        <x:is>
          <x:t xml:space="preserve">const?</x:t>
        </x:is>
      </x:c>
      <x:c r="L40" s="1" t="inlineStr">
        <x:is>
          <x:t xml:space="preserve">1.3~1.4</x:t>
        </x:is>
      </x:c>
      <x:c r="M40" s="1" t="inlineStr">
        <x:is>
          <x:t xml:space="preserve"/>
        </x:is>
      </x:c>
      <x:c r="N40" s="1" t="inlineStr">
        <x:is>
          <x:t xml:space="preserve">OBSERVED ONLY</x:t>
        </x:is>
      </x:c>
      <x:c r="O40" s="1" t="inlineStr">
        <x:is>
          <x:t xml:space="preserve"/>
        </x:is>
      </x:c>
    </x:row>
    <x:row r="41">
      <x:c r="A41" s="1" t="inlineStr">
        <x:is>
          <x:t xml:space="preserve">00000529</x:t>
        </x:is>
      </x:c>
      <x:c r="B41" s="1" t="inlineStr">
        <x:is>
          <x:t xml:space="preserve">0x529</x:t>
        </x:is>
      </x:c>
      <x:c r="C41" s="1" t="inlineStr">
        <x:is>
          <x:t xml:space="preserve">STD</x:t>
        </x:is>
      </x:c>
      <x:c r="D41" s="1" t="n">
        <x:v>249</x:v>
      </x:c>
      <x:c r="E41" s="1" t="n">
        <x:v>0.06168802211850047</x:v>
      </x:c>
      <x:c r="F41" s="1" t="inlineStr">
        <x:is>
          <x:t xml:space="preserve">6</x:t>
        </x:is>
      </x:c>
      <x:c r="G41" s="1" t="n">
        <x:v>971.9141774193548</x:v>
      </x:c>
      <x:c r="H41" s="1" t="n">
        <x:v>1.0288974306921</x:v>
      </x:c>
      <x:c r="I41" s="1" t="inlineStr">
        <x:is>
          <x:t xml:space="preserve">A7 00 00 05 00 00</x:t>
        </x:is>
      </x:c>
      <x:c r="J41" s="1" t="inlineStr">
        <x:is>
          <x:t xml:space="preserve">27 00 00 03 00 00</x:t>
        </x:is>
      </x:c>
      <x:c r="K41" s="1" t="inlineStr">
        <x:is>
          <x:t xml:space="preserve">( Interlock ) / EV MODE (*)</x:t>
        </x:is>
      </x:c>
      <x:c r="L41" s="1" t="inlineStr">
        <x:is>
          <x:t xml:space="preserve">0.6</x:t>
        </x:is>
      </x:c>
      <x:c r="M41" s="1" t="inlineStr">
        <x:is>
          <x:t xml:space="preserve"/>
        </x:is>
      </x:c>
      <x:c r="N41" s="1" t="inlineStr">
        <x:is>
          <x:t xml:space="preserve">CANDIDATE</x:t>
        </x:is>
      </x:c>
      <x:c r="O41" s="1" t="inlineStr">
        <x:is>
          <x:t xml:space="preserve">Vass 3rd-gen reference only; must validate on target vehicle</x:t>
        </x:is>
      </x:c>
    </x:row>
    <x:row r="42">
      <x:c r="A42" s="1" t="inlineStr">
        <x:is>
          <x:t xml:space="preserve">0000052C</x:t>
        </x:is>
      </x:c>
      <x:c r="B42" s="1" t="inlineStr">
        <x:is>
          <x:t xml:space="preserve">0x52C</x:t>
        </x:is>
      </x:c>
      <x:c r="C42" s="1" t="inlineStr">
        <x:is>
          <x:t xml:space="preserve">STD</x:t>
        </x:is>
      </x:c>
      <x:c r="D42" s="1" t="n">
        <x:v>240</x:v>
      </x:c>
      <x:c r="E42" s="1" t="n">
        <x:v>0.05945833457204864</x:v>
      </x:c>
      <x:c r="F42" s="1" t="inlineStr">
        <x:is>
          <x:t xml:space="preserve">2</x:t>
        </x:is>
      </x:c>
      <x:c r="G42" s="1" t="n">
        <x:v>1000.396510460251</x:v>
      </x:c>
      <x:c r="H42" s="1" t="n">
        <x:v>0.9996036466979792</x:v>
      </x:c>
      <x:c r="I42" s="1" t="inlineStr">
        <x:is>
          <x:t xml:space="preserve">23 38</x:t>
        </x:is>
      </x:c>
      <x:c r="J42" s="1" t="inlineStr">
        <x:is>
          <x:t xml:space="preserve">23 5F</x:t>
        </x:is>
      </x:c>
      <x:c r="K42" s="1" t="inlineStr">
        <x:is>
          <x:t xml:space="preserve">Engine coolant temp (*)</x:t>
        </x:is>
      </x:c>
      <x:c r="L42" s="1" t="inlineStr">
        <x:is>
          <x:t xml:space="preserve">0.6</x:t>
        </x:is>
      </x:c>
      <x:c r="M42" s="1" t="inlineStr">
        <x:is>
          <x:t xml:space="preserve"/>
        </x:is>
      </x:c>
      <x:c r="N42" s="1" t="inlineStr">
        <x:is>
          <x:t xml:space="preserve">CANDIDATE</x:t>
        </x:is>
      </x:c>
      <x:c r="O42" s="1" t="inlineStr">
        <x:is>
          <x:t xml:space="preserve">Vass 3rd-gen reference only; must validate on target vehicle</x:t>
        </x:is>
      </x:c>
    </x:row>
    <x:row r="43">
      <x:c r="A43" s="1" t="inlineStr">
        <x:is>
          <x:t xml:space="preserve">00000540</x:t>
        </x:is>
      </x:c>
      <x:c r="B43" s="1" t="inlineStr">
        <x:is>
          <x:t xml:space="preserve">0x540</x:t>
        </x:is>
      </x:c>
      <x:c r="C43" s="1" t="inlineStr">
        <x:is>
          <x:t xml:space="preserve">STD</x:t>
        </x:is>
      </x:c>
      <x:c r="D43" s="1" t="n">
        <x:v>243</x:v>
      </x:c>
      <x:c r="E43" s="1" t="n">
        <x:v>0.06020156375419924</x:v>
      </x:c>
      <x:c r="F43" s="1" t="inlineStr">
        <x:is>
          <x:t xml:space="preserve">4</x:t>
        </x:is>
      </x:c>
      <x:c r="G43" s="1" t="n">
        <x:v>997.1731115702479</x:v>
      </x:c>
      <x:c r="H43" s="1" t="n">
        <x:v>1.002834902382497</x:v>
      </x:c>
      <x:c r="I43" s="1" t="inlineStr">
        <x:is>
          <x:t xml:space="preserve">25 00 00 00</x:t>
        </x:is>
      </x:c>
      <x:c r="J43" s="1" t="inlineStr">
        <x:is>
          <x:t xml:space="preserve">25 80 00 00</x:t>
        </x:is>
      </x:c>
      <x:c r="K43" s="1" t="inlineStr">
        <x:is>
          <x:t xml:space="preserve">Shift lever</x:t>
        </x:is>
      </x:c>
      <x:c r="L43" s="1" t="inlineStr">
        <x:is>
          <x:t xml:space="preserve">0.5</x:t>
        </x:is>
      </x:c>
      <x:c r="M43" s="1" t="inlineStr">
        <x:is>
          <x:t xml:space="preserve"/>
        </x:is>
      </x:c>
      <x:c r="N43" s="1" t="inlineStr">
        <x:is>
          <x:t xml:space="preserve">CANDIDATE</x:t>
        </x:is>
      </x:c>
      <x:c r="O43" s="1" t="inlineStr">
        <x:is>
          <x:t xml:space="preserve">Vass 3rd-gen reference only; must validate on target vehicle</x:t>
        </x:is>
      </x:c>
    </x:row>
    <x:row r="44">
      <x:c r="A44" s="1" t="inlineStr">
        <x:is>
          <x:t xml:space="preserve">00000553</x:t>
        </x:is>
      </x:c>
      <x:c r="B44" s="1" t="inlineStr">
        <x:is>
          <x:t xml:space="preserve">0x553</x:t>
        </x:is>
      </x:c>
      <x:c r="C44" s="1" t="inlineStr">
        <x:is>
          <x:t xml:space="preserve">STD</x:t>
        </x:is>
      </x:c>
      <x:c r="D44" s="1" t="n">
        <x:v>240</x:v>
      </x:c>
      <x:c r="E44" s="1" t="n">
        <x:v>0.05945833457204864</x:v>
      </x:c>
      <x:c r="F44" s="1" t="inlineStr">
        <x:is>
          <x:t xml:space="preserve">7</x:t>
        </x:is>
      </x:c>
      <x:c r="G44" s="1" t="n">
        <x:v>997.3133598326359</x:v>
      </x:c>
      <x:c r="H44" s="1" t="n">
        <x:v>1.002693877647257</x:v>
      </x:c>
      <x:c r="I44" s="1" t="inlineStr">
        <x:is>
          <x:t xml:space="preserve">58 49 00 08 00 00 01</x:t>
        </x:is>
      </x:c>
      <x:c r="J44" s="1" t="inlineStr">
        <x:is>
          <x:t xml:space="preserve">58 49 00 08 00 00 01</x:t>
        </x:is>
      </x:c>
      <x:c r="K44" s="1" t="inlineStr">
        <x:is>
          <x:t xml:space="preserve">const?</x:t>
        </x:is>
      </x:c>
      <x:c r="L44" s="1" t="inlineStr">
        <x:is>
          <x:t xml:space="preserve">0.7</x:t>
        </x:is>
      </x:c>
      <x:c r="M44" s="1" t="inlineStr">
        <x:is>
          <x:t xml:space="preserve"/>
        </x:is>
      </x:c>
      <x:c r="N44" s="1" t="inlineStr">
        <x:is>
          <x:t xml:space="preserve">OBSERVED ONLY</x:t>
        </x:is>
      </x:c>
      <x:c r="O44" s="1" t="inlineStr">
        <x:is>
          <x:t xml:space="preserve"/>
        </x:is>
      </x:c>
    </x:row>
    <x:row r="45">
      <x:c r="A45" s="1" t="inlineStr">
        <x:is>
          <x:t xml:space="preserve">00000554</x:t>
        </x:is>
      </x:c>
      <x:c r="B45" s="1" t="inlineStr">
        <x:is>
          <x:t xml:space="preserve">0x554</x:t>
        </x:is>
      </x:c>
      <x:c r="C45" s="1" t="inlineStr">
        <x:is>
          <x:t xml:space="preserve">STD</x:t>
        </x:is>
      </x:c>
      <x:c r="D45" s="1" t="n">
        <x:v>240</x:v>
      </x:c>
      <x:c r="E45" s="1" t="n">
        <x:v>0.05945833457204864</x:v>
      </x:c>
      <x:c r="F45" s="1" t="inlineStr">
        <x:is>
          <x:t xml:space="preserve">7</x:t>
        </x:is>
      </x:c>
      <x:c r="G45" s="1" t="n">
        <x:v>997.3553849372386</x:v>
      </x:c>
      <x:c r="H45" s="1" t="n">
        <x:v>1.002651627597045</x:v>
      </x:c>
      <x:c r="I45" s="1" t="inlineStr">
        <x:is>
          <x:t xml:space="preserve">58 41 42 4C 41 45 4E</x:t>
        </x:is>
      </x:c>
      <x:c r="J45" s="1" t="inlineStr">
        <x:is>
          <x:t xml:space="preserve">58 41 42 4C 41 45 4E</x:t>
        </x:is>
      </x:c>
      <x:c r="K45" s="1" t="inlineStr">
        <x:is>
          <x:t xml:space="preserve">const?</x:t>
        </x:is>
      </x:c>
      <x:c r="L45" s="1" t="inlineStr">
        <x:is>
          <x:t xml:space="preserve">0.7</x:t>
        </x:is>
      </x:c>
      <x:c r="M45" s="1" t="inlineStr">
        <x:is>
          <x:t xml:space="preserve"/>
        </x:is>
      </x:c>
      <x:c r="N45" s="1" t="inlineStr">
        <x:is>
          <x:t xml:space="preserve">OBSERVED ONLY</x:t>
        </x:is>
      </x:c>
      <x:c r="O45" s="1" t="inlineStr">
        <x:is>
          <x:t xml:space="preserve"/>
        </x:is>
      </x:c>
    </x:row>
    <x:row r="46">
      <x:c r="A46" s="1" t="inlineStr">
        <x:is>
          <x:t xml:space="preserve">0000056D</x:t>
        </x:is>
      </x:c>
      <x:c r="B46" s="1" t="inlineStr">
        <x:is>
          <x:t xml:space="preserve">0x56D</x:t>
        </x:is>
      </x:c>
      <x:c r="C46" s="1" t="inlineStr">
        <x:is>
          <x:t xml:space="preserve">STD</x:t>
        </x:is>
      </x:c>
      <x:c r="D46" s="1" t="n">
        <x:v>241</x:v>
      </x:c>
      <x:c r="E46" s="1" t="n">
        <x:v>0.05970607763276551</x:v>
      </x:c>
      <x:c r="F46" s="1" t="inlineStr">
        <x:is>
          <x:t xml:space="preserve">4</x:t>
        </x:is>
      </x:c>
      <x:c r="G46" s="1" t="n">
        <x:v>994.6098166666667</x:v>
      </x:c>
      <x:c r="H46" s="1" t="n">
        <x:v>1.005419394865213</x:v>
      </x:c>
      <x:c r="I46" s="1" t="inlineStr">
        <x:is>
          <x:t xml:space="preserve">65 A1 00 FF</x:t>
        </x:is>
      </x:c>
      <x:c r="J46" s="1" t="inlineStr">
        <x:is>
          <x:t xml:space="preserve">65 9D 60 9F</x:t>
        </x:is>
      </x:c>
      <x:c r="K46" s="1" t="inlineStr">
        <x:is>
          <x:t xml:space="preserve">EV ?</x:t>
        </x:is>
      </x:c>
      <x:c r="L46" s="1" t="inlineStr">
        <x:is>
          <x:t xml:space="preserve">0.7</x:t>
        </x:is>
      </x:c>
      <x:c r="M46" s="1" t="inlineStr">
        <x:is>
          <x:t xml:space="preserve"/>
        </x:is>
      </x:c>
      <x:c r="N46" s="1" t="inlineStr">
        <x:is>
          <x:t xml:space="preserve">OBSERVED ONLY</x:t>
        </x:is>
      </x:c>
      <x:c r="O46" s="1" t="inlineStr">
        <x:is>
          <x:t xml:space="preserve"/>
        </x:is>
      </x:c>
    </x:row>
    <x:row r="47">
      <x:c r="A47" s="1" t="inlineStr">
        <x:is>
          <x:t xml:space="preserve">0000057F</x:t>
        </x:is>
      </x:c>
      <x:c r="B47" s="1" t="inlineStr">
        <x:is>
          <x:t xml:space="preserve">0x57F</x:t>
        </x:is>
      </x:c>
      <x:c r="C47" s="1" t="inlineStr">
        <x:is>
          <x:t xml:space="preserve">STD</x:t>
        </x:is>
      </x:c>
      <x:c r="D47" s="1" t="n">
        <x:v>242</x:v>
      </x:c>
      <x:c r="E47" s="1" t="n">
        <x:v>0.05995382069348237</x:v>
      </x:c>
      <x:c r="F47" s="1" t="inlineStr">
        <x:is>
          <x:t xml:space="preserve">7</x:t>
        </x:is>
      </x:c>
      <x:c r="G47" s="1" t="n">
        <x:v>994.4189917012449</x:v>
      </x:c>
      <x:c r="H47" s="1" t="n">
        <x:v>1.005612330763321</x:v>
      </x:c>
      <x:c r="I47" s="1" t="inlineStr">
        <x:is>
          <x:t xml:space="preserve">68 00 10 80 00 00 00</x:t>
        </x:is>
      </x:c>
      <x:c r="J47" s="1" t="inlineStr">
        <x:is>
          <x:t xml:space="preserve">68 00 10 80 00 00 00</x:t>
        </x:is>
      </x:c>
      <x:c r="K47" s="1" t="inlineStr">
        <x:is>
          <x:t xml:space="preserve">Lights (*)</x:t>
        </x:is>
      </x:c>
      <x:c r="L47" s="1" t="inlineStr">
        <x:is>
          <x:t xml:space="preserve">0.7</x:t>
        </x:is>
      </x:c>
      <x:c r="M47" s="1" t="inlineStr">
        <x:is>
          <x:t xml:space="preserve"/>
        </x:is>
      </x:c>
      <x:c r="N47" s="1" t="inlineStr">
        <x:is>
          <x:t xml:space="preserve">CANDIDATE</x:t>
        </x:is>
      </x:c>
      <x:c r="O47" s="1" t="inlineStr">
        <x:is>
          <x:t xml:space="preserve">Vass 3rd-gen reference only; must validate on target vehicle</x:t>
        </x:is>
      </x:c>
    </x:row>
    <x:row r="48">
      <x:c r="A48" s="1" t="inlineStr">
        <x:is>
          <x:t xml:space="preserve">00000591</x:t>
        </x:is>
      </x:c>
      <x:c r="B48" s="1" t="inlineStr">
        <x:is>
          <x:t xml:space="preserve">0x591</x:t>
        </x:is>
      </x:c>
      <x:c r="C48" s="1" t="inlineStr">
        <x:is>
          <x:t xml:space="preserve">STD</x:t>
        </x:is>
      </x:c>
      <x:c r="D48" s="1" t="n">
        <x:v>793</x:v>
      </x:c>
      <x:c r="E48" s="1" t="n">
        <x:v>0.1964602471484774</x:v>
      </x:c>
      <x:c r="F48" s="1" t="inlineStr">
        <x:is>
          <x:t xml:space="preserve">4</x:t>
        </x:is>
      </x:c>
      <x:c r="G48" s="1" t="n">
        <x:v>302.2191287878788</x:v>
      </x:c>
      <x:c r="H48" s="1" t="n">
        <x:v>3.308857397646324</x:v>
      </x:c>
      <x:c r="I48" s="1" t="inlineStr">
        <x:is>
          <x:t xml:space="preserve">A5 A0 1F 06</x:t>
        </x:is>
      </x:c>
      <x:c r="J48" s="1" t="inlineStr">
        <x:is>
          <x:t xml:space="preserve">25 00 00 00</x:t>
        </x:is>
      </x:c>
      <x:c r="K48" s="1" t="inlineStr">
        <x:is>
          <x:t xml:space="preserve">const?</x:t>
        </x:is>
      </x:c>
      <x:c r="L48" s="1" t="inlineStr">
        <x:is>
          <x:t xml:space="preserve">0.7~1.4</x:t>
        </x:is>
      </x:c>
      <x:c r="M48" s="1" t="inlineStr">
        <x:is>
          <x:t xml:space="preserve"/>
        </x:is>
      </x:c>
      <x:c r="N48" s="1" t="inlineStr">
        <x:is>
          <x:t xml:space="preserve">OBSERVED ONLY</x:t>
        </x:is>
      </x:c>
      <x:c r="O48" s="1" t="inlineStr">
        <x:is>
          <x:t xml:space="preserve"/>
        </x:is>
      </x:c>
    </x:row>
    <x:row r="49">
      <x:c r="A49" s="1" t="inlineStr">
        <x:is>
          <x:t xml:space="preserve">000005A4</x:t>
        </x:is>
      </x:c>
      <x:c r="B49" s="1" t="inlineStr">
        <x:is>
          <x:t xml:space="preserve">0x5A4</x:t>
        </x:is>
      </x:c>
      <x:c r="C49" s="1" t="inlineStr">
        <x:is>
          <x:t xml:space="preserve">STD</x:t>
        </x:is>
      </x:c>
      <x:c r="D49" s="1" t="n">
        <x:v>75</x:v>
      </x:c>
      <x:c r="E49" s="1" t="n">
        <x:v>0.0185807295537652</x:v>
      </x:c>
      <x:c r="F49" s="1" t="inlineStr">
        <x:is>
          <x:t xml:space="preserve">2</x:t>
        </x:is>
      </x:c>
      <x:c r="G49" s="1" t="n">
        <x:v>3198.688094594595</x:v>
      </x:c>
      <x:c r="H49" s="1" t="n">
        <x:v>0.3126281683074639</x:v>
      </x:c>
      <x:c r="I49" s="1" t="inlineStr">
        <x:is>
          <x:t xml:space="preserve">63 15</x:t>
        </x:is>
      </x:c>
      <x:c r="J49" s="1" t="inlineStr">
        <x:is>
          <x:t xml:space="preserve">63 17</x:t>
        </x:is>
      </x:c>
      <x:c r="K49" s="1" t="inlineStr">
        <x:is>
          <x:t xml:space="preserve">Gas Gauge (*)</x:t>
        </x:is>
      </x:c>
      <x:c r="L49" s="1" t="inlineStr">
        <x:is>
          <x:t xml:space="preserve">0.2</x:t>
        </x:is>
      </x:c>
      <x:c r="M49" s="1" t="inlineStr">
        <x:is>
          <x:t xml:space="preserve"/>
        </x:is>
      </x:c>
      <x:c r="N49" s="1" t="inlineStr">
        <x:is>
          <x:t xml:space="preserve">OBSERVED ONLY</x:t>
        </x:is>
      </x:c>
      <x:c r="O49" s="1" t="inlineStr">
        <x:is>
          <x:t xml:space="preserve"/>
        </x:is>
      </x:c>
    </x:row>
    <x:row r="50">
      <x:c r="A50" s="1" t="inlineStr">
        <x:is>
          <x:t xml:space="preserve">000005B2</x:t>
        </x:is>
      </x:c>
      <x:c r="B50" s="1" t="inlineStr">
        <x:is>
          <x:t xml:space="preserve">0x5B2</x:t>
        </x:is>
      </x:c>
      <x:c r="C50" s="1" t="inlineStr">
        <x:is>
          <x:t xml:space="preserve">STD</x:t>
        </x:is>
      </x:c>
      <x:c r="D50" s="1" t="n">
        <x:v>49</x:v>
      </x:c>
      <x:c r="E50" s="1" t="n">
        <x:v>0.0121394099751266</x:v>
      </x:c>
      <x:c r="F50" s="1" t="inlineStr">
        <x:is>
          <x:t xml:space="preserve">4</x:t>
        </x:is>
      </x:c>
      <x:c r="G50" s="1" t="n">
        <x:v>4961.539458333333</x:v>
      </x:c>
      <x:c r="H50" s="1" t="n">
        <x:v>0.2015503471045492</x:v>
      </x:c>
      <x:c r="I50" s="1" t="inlineStr">
        <x:is>
          <x:t xml:space="preserve">25 00 00 00</x:t>
        </x:is>
      </x:c>
      <x:c r="J50" s="1" t="inlineStr">
        <x:is>
          <x:t xml:space="preserve">25 00 04 00</x:t>
        </x:is>
      </x:c>
      <x:c r="K50" s="1" t="inlineStr">
        <x:is>
          <x:t xml:space="preserve">const?</x:t>
        </x:is>
      </x:c>
      <x:c r="L50" s="1" t="inlineStr">
        <x:is>
          <x:t xml:space="preserve">0.1</x:t>
        </x:is>
      </x:c>
      <x:c r="M50" s="1" t="inlineStr">
        <x:is>
          <x:t xml:space="preserve"/>
        </x:is>
      </x:c>
      <x:c r="N50" s="1" t="inlineStr">
        <x:is>
          <x:t xml:space="preserve">OBSERVED ONLY</x:t>
        </x:is>
      </x:c>
      <x:c r="O50" s="1" t="inlineStr">
        <x:is>
          <x:t xml:space="preserve"/>
        </x:is>
      </x:c>
    </x:row>
    <x:row r="51">
      <x:c r="A51" s="1" t="inlineStr">
        <x:is>
          <x:t xml:space="preserve">000005B6</x:t>
        </x:is>
      </x:c>
      <x:c r="B51" s="1" t="inlineStr">
        <x:is>
          <x:t xml:space="preserve">0x5B6</x:t>
        </x:is>
      </x:c>
      <x:c r="C51" s="1" t="inlineStr">
        <x:is>
          <x:t xml:space="preserve">STD</x:t>
        </x:is>
      </x:c>
      <x:c r="D51" s="1" t="n">
        <x:v>240</x:v>
      </x:c>
      <x:c r="E51" s="1" t="n">
        <x:v>0.05945833457204864</x:v>
      </x:c>
      <x:c r="F51" s="1" t="inlineStr">
        <x:is>
          <x:t xml:space="preserve">3</x:t>
        </x:is>
      </x:c>
      <x:c r="G51" s="1" t="n">
        <x:v>997.2796652719665</x:v>
      </x:c>
      <x:c r="H51" s="1" t="n">
        <x:v>1.002727755135057</x:v>
      </x:c>
      <x:c r="I51" s="1" t="inlineStr">
        <x:is>
          <x:t xml:space="preserve">64 C5 80</x:t>
        </x:is>
      </x:c>
      <x:c r="J51" s="1" t="inlineStr">
        <x:is>
          <x:t xml:space="preserve">64 C5 80</x:t>
        </x:is>
      </x:c>
      <x:c r="K51" s="1" t="inlineStr">
        <x:is>
          <x:t xml:space="preserve">Doors (*)</x:t>
        </x:is>
      </x:c>
      <x:c r="L51" s="1" t="inlineStr">
        <x:is>
          <x:t xml:space="preserve">0.6~0.7</x:t>
        </x:is>
      </x:c>
      <x:c r="M51" s="1" t="inlineStr">
        <x:is>
          <x:t xml:space="preserve"/>
        </x:is>
      </x:c>
      <x:c r="N51" s="1" t="inlineStr">
        <x:is>
          <x:t xml:space="preserve">CANDIDATE</x:t>
        </x:is>
      </x:c>
      <x:c r="O51" s="1" t="inlineStr">
        <x:is>
          <x:t xml:space="preserve">Vass 3rd-gen reference only; must validate on target vehicle</x:t>
        </x:is>
      </x:c>
    </x:row>
    <x:row r="52">
      <x:c r="A52" s="1" t="inlineStr">
        <x:is>
          <x:t xml:space="preserve">000005C8</x:t>
        </x:is>
      </x:c>
      <x:c r="B52" s="1" t="inlineStr">
        <x:is>
          <x:t xml:space="preserve">0x5C8</x:t>
        </x:is>
      </x:c>
      <x:c r="C52" s="1" t="inlineStr">
        <x:is>
          <x:t xml:space="preserve">STD</x:t>
        </x:is>
      </x:c>
      <x:c r="D52" s="1" t="n">
        <x:v>242</x:v>
      </x:c>
      <x:c r="E52" s="1" t="n">
        <x:v>0.05995382069348237</x:v>
      </x:c>
      <x:c r="F52" s="1" t="inlineStr">
        <x:is>
          <x:t xml:space="preserve">3</x:t>
        </x:is>
      </x:c>
      <x:c r="G52" s="1" t="n">
        <x:v>999.3708257261411</x:v>
      </x:c>
      <x:c r="H52" s="1" t="n">
        <x:v>1.000629570383348</x:v>
      </x:c>
      <x:c r="I52" s="1" t="inlineStr">
        <x:is>
          <x:t xml:space="preserve">24 00 00</x:t>
        </x:is>
      </x:c>
      <x:c r="J52" s="1" t="inlineStr">
        <x:is>
          <x:t xml:space="preserve">24 00 00</x:t>
        </x:is>
      </x:c>
      <x:c r="K52" s="1" t="inlineStr">
        <x:is>
          <x:t xml:space="preserve">Cruise</x:t>
        </x:is>
      </x:c>
      <x:c r="L52" s="1" t="inlineStr">
        <x:is>
          <x:t xml:space="preserve">0.5</x:t>
        </x:is>
      </x:c>
      <x:c r="M52" s="1" t="inlineStr">
        <x:is>
          <x:t xml:space="preserve"/>
        </x:is>
      </x:c>
      <x:c r="N52" s="1" t="inlineStr">
        <x:is>
          <x:t xml:space="preserve">OBSERVED ONLY</x:t>
        </x:is>
      </x:c>
      <x:c r="O52" s="1" t="inlineStr">
        <x:is>
          <x:t xml:space="preserve"/>
        </x:is>
      </x:c>
    </x:row>
    <x:row r="53">
      <x:c r="A53" s="1" t="inlineStr">
        <x:is>
          <x:t xml:space="preserve">000005CC</x:t>
        </x:is>
      </x:c>
      <x:c r="B53" s="1" t="inlineStr">
        <x:is>
          <x:t xml:space="preserve">0x5CC</x:t>
        </x:is>
      </x:c>
      <x:c r="C53" s="1" t="inlineStr">
        <x:is>
          <x:t xml:space="preserve">STD</x:t>
        </x:is>
      </x:c>
      <x:c r="D53" s="1" t="n">
        <x:v>934</x:v>
      </x:c>
      <x:c r="E53" s="1" t="n">
        <x:v>0.231392018709556</x:v>
      </x:c>
      <x:c r="F53" s="1" t="inlineStr">
        <x:is>
          <x:t xml:space="preserve">3</x:t>
        </x:is>
      </x:c>
      <x:c r="G53" s="1" t="n">
        <x:v>256.2779710610932</x:v>
      </x:c>
      <x:c r="H53" s="1" t="n">
        <x:v>3.902013098744306</x:v>
      </x:c>
      <x:c r="I53" s="1" t="inlineStr">
        <x:is>
          <x:t xml:space="preserve">24 01 68</x:t>
        </x:is>
      </x:c>
      <x:c r="J53" s="1" t="inlineStr">
        <x:is>
          <x:t xml:space="preserve">24 01 5A</x:t>
        </x:is>
      </x:c>
      <x:c r="K53" s="1" t="inlineStr">
        <x:is>
          <x:t xml:space="preserve">const?</x:t>
        </x:is>
      </x:c>
      <x:c r="L53" s="1" t="inlineStr">
        <x:is>
          <x:t xml:space="preserve">2.6</x:t>
        </x:is>
      </x:c>
      <x:c r="M53" s="1" t="inlineStr">
        <x:is>
          <x:t xml:space="preserve"/>
        </x:is>
      </x:c>
      <x:c r="N53" s="1" t="inlineStr">
        <x:is>
          <x:t xml:space="preserve">OBSERVED ONLY</x:t>
        </x:is>
      </x:c>
      <x:c r="O53" s="1" t="inlineStr">
        <x:is>
          <x:t xml:space="preserve"/>
        </x:is>
      </x:c>
    </x:row>
    <x:row r="54">
      <x:c r="A54" s="1" t="inlineStr">
        <x:is>
          <x:t xml:space="preserve">000005D4</x:t>
        </x:is>
      </x:c>
      <x:c r="B54" s="1" t="inlineStr">
        <x:is>
          <x:t xml:space="preserve">0x5D4</x:t>
        </x:is>
      </x:c>
      <x:c r="C54" s="1" t="inlineStr">
        <x:is>
          <x:t xml:space="preserve">STD</x:t>
        </x:is>
      </x:c>
      <x:c r="D54" s="1" t="n">
        <x:v>240</x:v>
      </x:c>
      <x:c r="E54" s="1" t="n">
        <x:v>0.05945833457204864</x:v>
      </x:c>
      <x:c r="F54" s="1" t="inlineStr">
        <x:is>
          <x:t xml:space="preserve">2</x:t>
        </x:is>
      </x:c>
      <x:c r="G54" s="1" t="n">
        <x:v>1000.426410041841</x:v>
      </x:c>
      <x:c r="H54" s="1" t="n">
        <x:v>0.9995737717061836</x:v>
      </x:c>
      <x:c r="I54" s="1" t="inlineStr">
        <x:is>
          <x:t xml:space="preserve">23 00</x:t>
        </x:is>
      </x:c>
      <x:c r="J54" s="1" t="inlineStr">
        <x:is>
          <x:t xml:space="preserve">23 00</x:t>
        </x:is>
      </x:c>
      <x:c r="K54" s="1" t="inlineStr">
        <x:is>
          <x:t xml:space="preserve">const?</x:t>
        </x:is>
      </x:c>
      <x:c r="L54" s="1" t="inlineStr">
        <x:is>
          <x:t xml:space="preserve">0.7</x:t>
        </x:is>
      </x:c>
      <x:c r="M54" s="1" t="inlineStr">
        <x:is>
          <x:t xml:space="preserve"/>
        </x:is>
      </x:c>
      <x:c r="N54" s="1" t="inlineStr">
        <x:is>
          <x:t xml:space="preserve">OBSERVED ONLY</x:t>
        </x:is>
      </x:c>
      <x:c r="O54" s="1" t="inlineStr">
        <x:is>
          <x:t xml:space="preserve"/>
        </x:is>
      </x:c>
    </x:row>
    <x:row r="55">
      <x:c r="A55" s="1" t="inlineStr">
        <x:is>
          <x:t xml:space="preserve">000005EC</x:t>
        </x:is>
      </x:c>
      <x:c r="B55" s="1" t="inlineStr">
        <x:is>
          <x:t xml:space="preserve">0x5EC</x:t>
        </x:is>
      </x:c>
      <x:c r="C55" s="1" t="inlineStr">
        <x:is>
          <x:t xml:space="preserve">STD</x:t>
        </x:is>
      </x:c>
      <x:c r="D55" s="1" t="n">
        <x:v>484</x:v>
      </x:c>
      <x:c r="E55" s="1" t="n">
        <x:v>0.1199076413869647</x:v>
      </x:c>
      <x:c r="F55" s="1" t="inlineStr">
        <x:is>
          <x:t xml:space="preserve">7</x:t>
        </x:is>
      </x:c>
      <x:c r="G55" s="1" t="n">
        <x:v>499.646784679089</x:v>
      </x:c>
      <x:c r="H55" s="1" t="n">
        <x:v>2.001413860077726</x:v>
      </x:c>
      <x:c r="I55" s="1" t="inlineStr">
        <x:is>
          <x:t xml:space="preserve">28 00 00 00 00 00 00</x:t>
        </x:is>
      </x:c>
      <x:c r="J55" s="1" t="inlineStr">
        <x:is>
          <x:t xml:space="preserve">28 0F B6 2C 44 22 35</x:t>
        </x:is>
      </x:c>
      <x:c r="K55" s="1" t="inlineStr">
        <x:is>
          <x:t xml:space="preserve">const?</x:t>
        </x:is>
      </x:c>
      <x:c r="L55" s="1" t="inlineStr">
        <x:is>
          <x:t xml:space="preserve">1</x:t>
        </x:is>
      </x:c>
      <x:c r="M55" s="1" t="inlineStr">
        <x:is>
          <x:t xml:space="preserve"/>
        </x:is>
      </x:c>
      <x:c r="N55" s="1" t="inlineStr">
        <x:is>
          <x:t xml:space="preserve">OBSERVED ONLY</x:t>
        </x:is>
      </x:c>
      <x:c r="O55" s="1" t="inlineStr">
        <x:is>
          <x:t xml:space="preserve"/>
        </x:is>
      </x:c>
    </x:row>
    <x:row r="56">
      <x:c r="A56" s="1" t="inlineStr">
        <x:is>
          <x:t xml:space="preserve">000005ED</x:t>
        </x:is>
      </x:c>
      <x:c r="B56" s="1" t="inlineStr">
        <x:is>
          <x:t xml:space="preserve">0x5ED</x:t>
        </x:is>
      </x:c>
      <x:c r="C56" s="1" t="inlineStr">
        <x:is>
          <x:t xml:space="preserve">STD</x:t>
        </x:is>
      </x:c>
      <x:c r="D56" s="1" t="n">
        <x:v>242</x:v>
      </x:c>
      <x:c r="E56" s="1" t="n">
        <x:v>0.05995382069348237</x:v>
      </x:c>
      <x:c r="F56" s="1" t="inlineStr">
        <x:is>
          <x:t xml:space="preserve">6</x:t>
        </x:is>
      </x:c>
      <x:c r="G56" s="1" t="n">
        <x:v>990.3203651452283</x:v>
      </x:c>
      <x:c r="H56" s="1" t="n">
        <x:v>1.009774245986906</x:v>
      </x:c>
      <x:c r="I56" s="1" t="inlineStr">
        <x:is>
          <x:t xml:space="preserve">67 00 00 FF 00 00</x:t>
        </x:is>
      </x:c>
      <x:c r="J56" s="1" t="inlineStr">
        <x:is>
          <x:t xml:space="preserve">67 6A 00 FF 0F B5</x:t>
        </x:is>
      </x:c>
      <x:c r="K56" s="1" t="inlineStr">
        <x:is>
          <x:t xml:space="preserve">const?</x:t>
        </x:is>
      </x:c>
      <x:c r="L56" s="1" t="inlineStr">
        <x:is>
          <x:t xml:space="preserve">0.7</x:t>
        </x:is>
      </x:c>
      <x:c r="M56" s="1" t="inlineStr">
        <x:is>
          <x:t xml:space="preserve"/>
        </x:is>
      </x:c>
      <x:c r="N56" s="1" t="inlineStr">
        <x:is>
          <x:t xml:space="preserve">OBSERVED ONLY</x:t>
        </x:is>
      </x:c>
      <x:c r="O56" s="1" t="inlineStr">
        <x:is>
          <x:t xml:space="preserve"/>
        </x:is>
      </x:c>
    </x:row>
    <x:row r="57">
      <x:c r="A57" s="1" t="inlineStr">
        <x:is>
          <x:t xml:space="preserve">000005F8</x:t>
        </x:is>
      </x:c>
      <x:c r="B57" s="1" t="inlineStr">
        <x:is>
          <x:t xml:space="preserve">0x5F8</x:t>
        </x:is>
      </x:c>
      <x:c r="C57" s="1" t="inlineStr">
        <x:is>
          <x:t xml:space="preserve">STD</x:t>
        </x:is>
      </x:c>
      <x:c r="D57" s="1" t="n">
        <x:v>240</x:v>
      </x:c>
      <x:c r="E57" s="1" t="n">
        <x:v>0.05945833457204864</x:v>
      </x:c>
      <x:c r="F57" s="1" t="inlineStr">
        <x:is>
          <x:t xml:space="preserve">2</x:t>
        </x:is>
      </x:c>
      <x:c r="G57" s="1" t="n">
        <x:v>1000.452</x:v>
      </x:c>
      <x:c r="H57" s="1" t="n">
        <x:v>0.9995482042116963</x:v>
      </x:c>
      <x:c r="I57" s="1" t="inlineStr">
        <x:is>
          <x:t xml:space="preserve">A3 04</x:t>
        </x:is>
      </x:c>
      <x:c r="J57" s="1" t="inlineStr">
        <x:is>
          <x:t xml:space="preserve">23 04</x:t>
        </x:is>
      </x:c>
      <x:c r="K57" s="1" t="inlineStr">
        <x:is>
          <x:t xml:space="preserve">const?</x:t>
        </x:is>
      </x:c>
      <x:c r="L57" s="1" t="inlineStr">
        <x:is>
          <x:t xml:space="preserve">0.6~0.7</x:t>
        </x:is>
      </x:c>
      <x:c r="M57" s="1" t="inlineStr">
        <x:is>
          <x:t xml:space="preserve"/>
        </x:is>
      </x:c>
      <x:c r="N57" s="1" t="inlineStr">
        <x:is>
          <x:t xml:space="preserve">OBSERVED ONLY</x:t>
        </x:is>
      </x:c>
      <x:c r="O57" s="1" t="inlineStr">
        <x:is>
          <x:t xml:space="preserve"/>
        </x:is>
      </x:c>
    </x:row>
    <x:row r="58">
      <x:c r="A58" s="1" t="inlineStr">
        <x:is>
          <x:t xml:space="preserve">00000602</x:t>
        </x:is>
      </x:c>
      <x:c r="B58" s="1" t="inlineStr">
        <x:is>
          <x:t xml:space="preserve">0x602</x:t>
        </x:is>
      </x:c>
      <x:c r="C58" s="1" t="inlineStr">
        <x:is>
          <x:t xml:space="preserve">STD</x:t>
        </x:is>
      </x:c>
      <x:c r="D58" s="1" t="n">
        <x:v>5</x:v>
      </x:c>
      <x:c r="E58" s="1" t="n">
        <x:v>0.001238715303584347</x:v>
      </x:c>
      <x:c r="F58" s="1" t="inlineStr">
        <x:is>
          <x:t xml:space="preserve">2</x:t>
        </x:is>
      </x:c>
      <x:c r="G58" s="1" t="n">
        <x:v>59996.57675</x:v>
      </x:c>
      <x:c r="H58" s="1" t="n">
        <x:v>0.01666761762370051</x:v>
      </x:c>
      <x:c r="I58" s="1" t="inlineStr">
        <x:is>
          <x:t xml:space="preserve">03 00</x:t>
        </x:is>
      </x:c>
      <x:c r="J58" s="1" t="inlineStr">
        <x:is>
          <x:t xml:space="preserve">03 00</x:t>
        </x:is>
      </x:c>
      <x:c r="K58" s="1" t="inlineStr">
        <x:is>
          <x:t xml:space="preserve">const?</x:t>
        </x:is>
      </x:c>
      <x:c r="L58" s="1" t="inlineStr">
        <x:is>
          <x:t xml:space="preserve">&lt;&lt;1</x:t>
        </x:is>
      </x:c>
      <x:c r="M58" s="1" t="inlineStr">
        <x:is>
          <x:t xml:space="preserve"/>
        </x:is>
      </x:c>
      <x:c r="N58" s="1" t="inlineStr">
        <x:is>
          <x:t xml:space="preserve">OBSERVED ONLY</x:t>
        </x:is>
      </x:c>
      <x:c r="O58" s="1" t="inlineStr">
        <x:is>
          <x:t xml:space="preserve"/>
        </x:is>
      </x:c>
    </x:row>
    <x:row r="59">
      <x:c r="A59" s="1" t="inlineStr">
        <x:is>
          <x:t xml:space="preserve">09F10262</x:t>
        </x:is>
      </x:c>
      <x:c r="B59" s="1" t="inlineStr">
        <x:is>
          <x:t xml:space="preserve">0x9F10262</x:t>
        </x:is>
      </x:c>
      <x:c r="C59" s="1" t="inlineStr">
        <x:is>
          <x:t xml:space="preserve">EXT</x:t>
        </x:is>
      </x:c>
      <x:c r="D59" s="1" t="n">
        <x:v>1</x:v>
      </x:c>
      <x:c r="E59" s="1" t="n">
        <x:v>0.0002477430607168693</x:v>
      </x:c>
      <x:c r="F59" s="1" t="inlineStr">
        <x:is>
          <x:t xml:space="preserve">14</x:t>
        </x:is>
      </x:c>
      <x:c r="G59" s="1" t="n"/>
      <x:c r="H59" s="1" t="n"/>
      <x:c r="I59" s="1" t="inlineStr">
        <x:is>
          <x:t xml:space="preserve">AD F1 00 5D 16 75 07 3A</x:t>
        </x:is>
      </x:c>
      <x:c r="J59" s="1" t="inlineStr">
        <x:is>
          <x:t xml:space="preserve">AD F1 00 5D 16 75 07 3A</x:t>
        </x:is>
      </x:c>
      <x:c r="K59" s="1" t="inlineStr">
        <x:is>
          <x:t xml:space="preserve"/>
        </x:is>
      </x:c>
      <x:c r="L59" s="1" t="inlineStr">
        <x:is>
          <x:t xml:space="preserve"/>
        </x:is>
      </x:c>
      <x:c r="M59" s="1" t="inlineStr">
        <x:is>
          <x:t xml:space="preserve"/>
        </x:is>
      </x:c>
      <x:c r="N59" s="1" t="inlineStr">
        <x:is>
          <x:t xml:space="preserve">OBSERVED ONLY</x:t>
        </x:is>
      </x:c>
      <x:c r="O59" s="1" t="inlineStr">
        <x:is>
          <x:t xml:space="preserve"/>
        </x:is>
      </x:c>
    </x:row>
  </x:sheetData>
  <x:pageMargins left="0.7" right="0.7" top="0.75" bottom="0.75" header="0.3" footer="0.3"/>
  <x:tableParts count="1">
    <x:tablePart xmlns:r="http://schemas.openxmlformats.org/officeDocument/2006/relationships" r:id="Re0697ad294d943ca"/>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6" customWidth="1"/>
    <x:col min="2" max="2" width="10" customWidth="1"/>
    <x:col min="3" max="3" width="10" customWidth="1"/>
    <x:col min="4" max="4" width="21" customWidth="1"/>
    <x:col min="5" max="5" width="39" customWidth="1"/>
    <x:col min="6" max="6" width="42" customWidth="1"/>
    <x:col min="7" max="7" width="11" customWidth="1"/>
    <x:col min="8" max="8" width="42" customWidth="1"/>
    <x:col min="9" max="9" width="12" customWidth="1"/>
    <x:col min="10" max="10" width="18" customWidth="1"/>
    <x:col min="11" max="11" width="34" customWidth="1"/>
    <x:col min="12" max="12" width="18" customWidth="1"/>
    <x:col min="13" max="13" width="42" customWidth="1"/>
  </x:cols>
  <x:sheetData>
    <x:row r="1">
      <x:c r="A1" s="2" t="inlineStr">
        <x:is>
          <x:t xml:space="preserve">Vehicle Profile</x:t>
        </x:is>
      </x:c>
      <x:c r="B1" s="2" t="inlineStr">
        <x:is>
          <x:t xml:space="preserve">Bus</x:t>
        </x:is>
      </x:c>
      <x:c r="C1" s="2" t="inlineStr">
        <x:is>
          <x:t xml:space="preserve">CAN ID</x:t>
        </x:is>
      </x:c>
      <x:c r="D1" s="2" t="inlineStr">
        <x:is>
          <x:t xml:space="preserve">Subsystem</x:t>
        </x:is>
      </x:c>
      <x:c r="E1" s="2" t="inlineStr">
        <x:is>
          <x:t xml:space="preserve">Signal</x:t>
        </x:is>
      </x:c>
      <x:c r="F1" s="2" t="inlineStr">
        <x:is>
          <x:t xml:space="preserve">Interpretation / Note</x:t>
        </x:is>
      </x:c>
      <x:c r="G1" s="2" t="inlineStr">
        <x:is>
          <x:t xml:space="preserve">Unit</x:t>
        </x:is>
      </x:c>
      <x:c r="H1" s="2" t="inlineStr">
        <x:is>
          <x:t xml:space="preserve">Scale</x:t>
        </x:is>
      </x:c>
      <x:c r="I1" s="2" t="inlineStr">
        <x:is>
          <x:t xml:space="preserve">Signedness</x:t>
        </x:is>
      </x:c>
      <x:c r="J1" s="2" t="inlineStr">
        <x:is>
          <x:t xml:space="preserve">Bit Layout</x:t>
        </x:is>
      </x:c>
      <x:c r="K1" s="2" t="inlineStr">
        <x:is>
          <x:t xml:space="preserve">Acquisition</x:t>
        </x:is>
      </x:c>
      <x:c r="L1" s="2" t="inlineStr">
        <x:is>
          <x:t xml:space="preserve">Confidence</x:t>
        </x:is>
      </x:c>
      <x:c r="M1" s="2" t="inlineStr">
        <x:is>
          <x:t xml:space="preserve">Source</x:t>
        </x:is>
      </x:c>
    </x:row>
    <x:row r="2">
      <x:c r="A2" s="1" t="inlineStr">
        <x:is>
          <x:t xml:space="preserve">PRIUS_GEN2_2004</x:t>
        </x:is>
      </x:c>
      <x:c r="B2" s="1" t="inlineStr">
        <x:is>
          <x:t xml:space="preserve">HS-CAN</x:t>
        </x:is>
      </x:c>
      <x:c r="C2" s="1" t="inlineStr">
        <x:is>
          <x:t xml:space="preserve">0x03B</x:t>
        </x:is>
      </x:c>
      <x:c r="D2" s="1" t="inlineStr">
        <x:is>
          <x:t xml:space="preserve">HV Battery</x:t>
        </x:is>
      </x:c>
      <x:c r="E2" s="1" t="inlineStr">
        <x:is>
          <x:t xml:space="preserve">Battery pack voltage</x:t>
        </x:is>
      </x:c>
      <x:c r="F2" s="1" t="inlineStr">
        <x:is>
          <x:t xml:space="preserve">Published Gen 2 interpretation; validate against raw capture</x:t>
        </x:is>
      </x:c>
      <x:c r="G2" s="1" t="inlineStr">
        <x:is>
          <x:t xml:space="preserve">V</x:t>
        </x:is>
      </x:c>
      <x:c r="H2" s="1" t="inlineStr">
        <x:is>
          <x:t xml:space="preserve">1 V/count</x:t>
        </x:is>
      </x:c>
      <x:c r="I2" s="1" t="inlineStr">
        <x:is>
          <x:t xml:space="preserve">TBD</x:t>
        </x:is>
      </x:c>
      <x:c r="J2" s="1" t="inlineStr">
        <x:is>
          <x:t xml:space="preserve">TBD</x:t>
        </x:is>
      </x:c>
      <x:c r="K2" s="1" t="inlineStr">
        <x:is>
          <x:t xml:space="preserve">Passive broadcast</x:t>
        </x:is>
      </x:c>
      <x:c r="L2" s="1" t="inlineStr">
        <x:is>
          <x:t xml:space="preserve">CONFIRMED / HIGH</x:t>
        </x:is>
      </x:c>
      <x:c r="M2" s="1" t="inlineStr">
        <x:is>
          <x:t xml:space="preserve">Your capture + Gen 2 documentation</x:t>
        </x:is>
      </x:c>
    </x:row>
    <x:row r="3">
      <x:c r="A3" s="1" t="inlineStr">
        <x:is>
          <x:t xml:space="preserve">PRIUS_GEN2_2004</x:t>
        </x:is>
      </x:c>
      <x:c r="B3" s="1" t="inlineStr">
        <x:is>
          <x:t xml:space="preserve">HS-CAN</x:t>
        </x:is>
      </x:c>
      <x:c r="C3" s="1" t="inlineStr">
        <x:is>
          <x:t xml:space="preserve">0x03B</x:t>
        </x:is>
      </x:c>
      <x:c r="D3" s="1" t="inlineStr">
        <x:is>
          <x:t xml:space="preserve">HV Battery</x:t>
        </x:is>
      </x:c>
      <x:c r="E3" s="1" t="inlineStr">
        <x:is>
          <x:t xml:space="preserve">Battery current</x:t>
        </x:is>
      </x:c>
      <x:c r="F3" s="1" t="inlineStr">
        <x:is>
          <x:t xml:space="preserve">Published Gen 2 interpretation; signed current; exact byte/bit extraction to be formalized</x:t>
        </x:is>
      </x:c>
      <x:c r="G3" s="1" t="inlineStr">
        <x:is>
          <x:t xml:space="preserve">A</x:t>
        </x:is>
      </x:c>
      <x:c r="H3" s="1" t="inlineStr">
        <x:is>
          <x:t xml:space="preserve">0.1 A/count</x:t>
        </x:is>
      </x:c>
      <x:c r="I3" s="1" t="inlineStr">
        <x:is>
          <x:t xml:space="preserve">Signed</x:t>
        </x:is>
      </x:c>
      <x:c r="J3" s="1" t="inlineStr">
        <x:is>
          <x:t xml:space="preserve">TBD</x:t>
        </x:is>
      </x:c>
      <x:c r="K3" s="1" t="inlineStr">
        <x:is>
          <x:t xml:space="preserve">Passive broadcast</x:t>
        </x:is>
      </x:c>
      <x:c r="L3" s="1" t="inlineStr">
        <x:is>
          <x:t xml:space="preserve">HIGH</x:t>
        </x:is>
      </x:c>
      <x:c r="M3" s="1" t="inlineStr">
        <x:is>
          <x:t xml:space="preserve">Your capture + Gen 2 documentation</x:t>
        </x:is>
      </x:c>
    </x:row>
    <x:row r="4">
      <x:c r="A4" s="1" t="inlineStr">
        <x:is>
          <x:t xml:space="preserve">PRIUS_GEN2_2004</x:t>
        </x:is>
      </x:c>
      <x:c r="B4" s="1" t="inlineStr">
        <x:is>
          <x:t xml:space="preserve">HS-CAN</x:t>
        </x:is>
      </x:c>
      <x:c r="C4" s="1" t="inlineStr">
        <x:is>
          <x:t xml:space="preserve">0x03CB</x:t>
        </x:is>
      </x:c>
      <x:c r="D4" s="1" t="inlineStr">
        <x:is>
          <x:t xml:space="preserve">HV Battery</x:t>
        </x:is>
      </x:c>
      <x:c r="E4" s="1" t="inlineStr">
        <x:is>
          <x:t xml:space="preserve">HV battery SOC</x:t>
        </x:is>
      </x:c>
      <x:c r="F4" s="1" t="inlineStr">
        <x:is>
          <x:t xml:space="preserve">Published Gen 2 interpretation; 0.5%/count</x:t>
        </x:is>
      </x:c>
      <x:c r="G4" s="1" t="inlineStr">
        <x:is>
          <x:t xml:space="preserve">%</x:t>
        </x:is>
      </x:c>
      <x:c r="H4" s="1" t="inlineStr">
        <x:is>
          <x:t xml:space="preserve">0.5 %/count</x:t>
        </x:is>
      </x:c>
      <x:c r="I4" s="1" t="inlineStr">
        <x:is>
          <x:t xml:space="preserve">Unsigned</x:t>
        </x:is>
      </x:c>
      <x:c r="J4" s="1" t="inlineStr">
        <x:is>
          <x:t xml:space="preserve">TBD</x:t>
        </x:is>
      </x:c>
      <x:c r="K4" s="1" t="inlineStr">
        <x:is>
          <x:t xml:space="preserve">Passive broadcast</x:t>
        </x:is>
      </x:c>
      <x:c r="L4" s="1" t="inlineStr">
        <x:is>
          <x:t xml:space="preserve">CONFIRMED / HIGH</x:t>
        </x:is>
      </x:c>
      <x:c r="M4" s="1" t="inlineStr">
        <x:is>
          <x:t xml:space="preserve">Your capture + Gen 2 documentation</x:t>
        </x:is>
      </x:c>
    </x:row>
    <x:row r="5">
      <x:c r="A5" s="1" t="inlineStr">
        <x:is>
          <x:t xml:space="preserve">PRIUS_GEN2_2004</x:t>
        </x:is>
      </x:c>
      <x:c r="B5" s="1" t="inlineStr">
        <x:is>
          <x:t xml:space="preserve">HS-CAN</x:t>
        </x:is>
      </x:c>
      <x:c r="C5" s="1" t="inlineStr">
        <x:is>
          <x:t xml:space="preserve">0x03CB</x:t>
        </x:is>
      </x:c>
      <x:c r="D5" s="1" t="inlineStr">
        <x:is>
          <x:t xml:space="preserve">HV Battery</x:t>
        </x:is>
      </x:c>
      <x:c r="E5" s="1" t="inlineStr">
        <x:is>
          <x:t xml:space="preserve">Maximum discharge current</x:t>
        </x:is>
      </x:c>
      <x:c r="F5" s="1" t="inlineStr">
        <x:is>
          <x:t xml:space="preserve">Published interpretation</x:t>
        </x:is>
      </x:c>
      <x:c r="G5" s="1" t="inlineStr">
        <x:is>
          <x:t xml:space="preserve">A</x:t>
        </x:is>
      </x:c>
      <x:c r="H5" s="1" t="inlineStr">
        <x:is>
          <x:t xml:space="preserve">1 A/count</x:t>
        </x:is>
      </x:c>
      <x:c r="I5" s="1" t="inlineStr">
        <x:is>
          <x:t xml:space="preserve">Unsigned</x:t>
        </x:is>
      </x:c>
      <x:c r="J5" s="1" t="inlineStr">
        <x:is>
          <x:t xml:space="preserve">TBD</x:t>
        </x:is>
      </x:c>
      <x:c r="K5" s="1" t="inlineStr">
        <x:is>
          <x:t xml:space="preserve">Passive broadcast</x:t>
        </x:is>
      </x:c>
      <x:c r="L5" s="1" t="inlineStr">
        <x:is>
          <x:t xml:space="preserve">HIGH</x:t>
        </x:is>
      </x:c>
      <x:c r="M5" s="1" t="inlineStr">
        <x:is>
          <x:t xml:space="preserve">Your capture + Gen 2 documentation</x:t>
        </x:is>
      </x:c>
    </x:row>
    <x:row r="6">
      <x:c r="A6" s="1" t="inlineStr">
        <x:is>
          <x:t xml:space="preserve">PRIUS_GEN2_2004</x:t>
        </x:is>
      </x:c>
      <x:c r="B6" s="1" t="inlineStr">
        <x:is>
          <x:t xml:space="preserve">HS-CAN</x:t>
        </x:is>
      </x:c>
      <x:c r="C6" s="1" t="inlineStr">
        <x:is>
          <x:t xml:space="preserve">0x03CB</x:t>
        </x:is>
      </x:c>
      <x:c r="D6" s="1" t="inlineStr">
        <x:is>
          <x:t xml:space="preserve">HV Battery</x:t>
        </x:is>
      </x:c>
      <x:c r="E6" s="1" t="inlineStr">
        <x:is>
          <x:t xml:space="preserve">Maximum charge current</x:t>
        </x:is>
      </x:c>
      <x:c r="F6" s="1" t="inlineStr">
        <x:is>
          <x:t xml:space="preserve">Published interpretation</x:t>
        </x:is>
      </x:c>
      <x:c r="G6" s="1" t="inlineStr">
        <x:is>
          <x:t xml:space="preserve">A</x:t>
        </x:is>
      </x:c>
      <x:c r="H6" s="1" t="inlineStr">
        <x:is>
          <x:t xml:space="preserve">1 A/count</x:t>
        </x:is>
      </x:c>
      <x:c r="I6" s="1" t="inlineStr">
        <x:is>
          <x:t xml:space="preserve">Unsigned</x:t>
        </x:is>
      </x:c>
      <x:c r="J6" s="1" t="inlineStr">
        <x:is>
          <x:t xml:space="preserve">TBD</x:t>
        </x:is>
      </x:c>
      <x:c r="K6" s="1" t="inlineStr">
        <x:is>
          <x:t xml:space="preserve">Passive broadcast</x:t>
        </x:is>
      </x:c>
      <x:c r="L6" s="1" t="inlineStr">
        <x:is>
          <x:t xml:space="preserve">HIGH</x:t>
        </x:is>
      </x:c>
      <x:c r="M6" s="1" t="inlineStr">
        <x:is>
          <x:t xml:space="preserve">Your capture + Gen 2 documentation</x:t>
        </x:is>
      </x:c>
    </x:row>
    <x:row r="7">
      <x:c r="A7" s="1" t="inlineStr">
        <x:is>
          <x:t xml:space="preserve">PRIUS_GEN2_2004</x:t>
        </x:is>
      </x:c>
      <x:c r="B7" s="1" t="inlineStr">
        <x:is>
          <x:t xml:space="preserve">HS-CAN</x:t>
        </x:is>
      </x:c>
      <x:c r="C7" s="1" t="inlineStr">
        <x:is>
          <x:t xml:space="preserve">0x03CB</x:t>
        </x:is>
      </x:c>
      <x:c r="D7" s="1" t="inlineStr">
        <x:is>
          <x:t xml:space="preserve">HV Battery</x:t>
        </x:is>
      </x:c>
      <x:c r="E7" s="1" t="inlineStr">
        <x:is>
          <x:t xml:space="preserve">Battery temperature minimum</x:t>
        </x:is>
      </x:c>
      <x:c r="F7" s="1" t="inlineStr">
        <x:is>
          <x:t xml:space="preserve">Published interpretation</x:t>
        </x:is>
      </x:c>
      <x:c r="G7" s="1" t="inlineStr">
        <x:is>
          <x:t xml:space="preserve">°C</x:t>
        </x:is>
      </x:c>
      <x:c r="H7" s="1" t="inlineStr">
        <x:is>
          <x:t xml:space="preserve">1 °C/count (per reference; verify offset/encoding)</x:t>
        </x:is>
      </x:c>
      <x:c r="I7" s="1" t="inlineStr">
        <x:is>
          <x:t xml:space="preserve">Unsigned</x:t>
        </x:is>
      </x:c>
      <x:c r="J7" s="1" t="inlineStr">
        <x:is>
          <x:t xml:space="preserve">TBD</x:t>
        </x:is>
      </x:c>
      <x:c r="K7" s="1" t="inlineStr">
        <x:is>
          <x:t xml:space="preserve">Passive broadcast</x:t>
        </x:is>
      </x:c>
      <x:c r="L7" s="1" t="inlineStr">
        <x:is>
          <x:t xml:space="preserve">HIGH</x:t>
        </x:is>
      </x:c>
      <x:c r="M7" s="1" t="inlineStr">
        <x:is>
          <x:t xml:space="preserve">Your capture + Gen 2 documentation</x:t>
        </x:is>
      </x:c>
    </x:row>
    <x:row r="8">
      <x:c r="A8" s="1" t="inlineStr">
        <x:is>
          <x:t xml:space="preserve">PRIUS_GEN2_2004</x:t>
        </x:is>
      </x:c>
      <x:c r="B8" s="1" t="inlineStr">
        <x:is>
          <x:t xml:space="preserve">HS-CAN</x:t>
        </x:is>
      </x:c>
      <x:c r="C8" s="1" t="inlineStr">
        <x:is>
          <x:t xml:space="preserve">0x03CB</x:t>
        </x:is>
      </x:c>
      <x:c r="D8" s="1" t="inlineStr">
        <x:is>
          <x:t xml:space="preserve">HV Battery</x:t>
        </x:is>
      </x:c>
      <x:c r="E8" s="1" t="inlineStr">
        <x:is>
          <x:t xml:space="preserve">Battery temperature maximum</x:t>
        </x:is>
      </x:c>
      <x:c r="F8" s="1" t="inlineStr">
        <x:is>
          <x:t xml:space="preserve">Published interpretation</x:t>
        </x:is>
      </x:c>
      <x:c r="G8" s="1" t="inlineStr">
        <x:is>
          <x:t xml:space="preserve">°C</x:t>
        </x:is>
      </x:c>
      <x:c r="H8" s="1" t="inlineStr">
        <x:is>
          <x:t xml:space="preserve">1 °C/count (per reference; verify offset/encoding)</x:t>
        </x:is>
      </x:c>
      <x:c r="I8" s="1" t="inlineStr">
        <x:is>
          <x:t xml:space="preserve">Unsigned</x:t>
        </x:is>
      </x:c>
      <x:c r="J8" s="1" t="inlineStr">
        <x:is>
          <x:t xml:space="preserve">TBD</x:t>
        </x:is>
      </x:c>
      <x:c r="K8" s="1" t="inlineStr">
        <x:is>
          <x:t xml:space="preserve">Passive broadcast</x:t>
        </x:is>
      </x:c>
      <x:c r="L8" s="1" t="inlineStr">
        <x:is>
          <x:t xml:space="preserve">HIGH</x:t>
        </x:is>
      </x:c>
      <x:c r="M8" s="1" t="inlineStr">
        <x:is>
          <x:t xml:space="preserve">Your capture + Gen 2 documentation</x:t>
        </x:is>
      </x:c>
    </x:row>
    <x:row r="9">
      <x:c r="A9" s="1" t="inlineStr">
        <x:is>
          <x:t xml:space="preserve">PRIUS_GEN2_2004</x:t>
        </x:is>
      </x:c>
      <x:c r="B9" s="1" t="inlineStr">
        <x:is>
          <x:t xml:space="preserve">HS-CAN</x:t>
        </x:is>
      </x:c>
      <x:c r="C9" s="1" t="inlineStr">
        <x:is>
          <x:t xml:space="preserve">0x03CD</x:t>
        </x:is>
      </x:c>
      <x:c r="D9" s="1" t="inlineStr">
        <x:is>
          <x:t xml:space="preserve">HV Battery</x:t>
        </x:is>
      </x:c>
      <x:c r="E9" s="1" t="inlineStr">
        <x:is>
          <x:t xml:space="preserve">HV battery pack voltage / fault data</x:t>
        </x:is>
      </x:c>
      <x:c r="F9" s="1" t="inlineStr">
        <x:is>
          <x:t xml:space="preserve">Published interpretation; message includes fault bytes and pack voltage</x:t>
        </x:is>
      </x:c>
      <x:c r="G9" s="1" t="inlineStr">
        <x:is>
          <x:t xml:space="preserve">V / code</x:t>
        </x:is>
      </x:c>
      <x:c r="H9" s="1" t="inlineStr">
        <x:is>
          <x:t xml:space="preserve">TBD</x:t>
        </x:is>
      </x:c>
      <x:c r="I9" s="1" t="inlineStr">
        <x:is>
          <x:t xml:space="preserve">Mixed</x:t>
        </x:is>
      </x:c>
      <x:c r="J9" s="1" t="inlineStr">
        <x:is>
          <x:t xml:space="preserve">TBD</x:t>
        </x:is>
      </x:c>
      <x:c r="K9" s="1" t="inlineStr">
        <x:is>
          <x:t xml:space="preserve">Passive broadcast</x:t>
        </x:is>
      </x:c>
      <x:c r="L9" s="1" t="inlineStr">
        <x:is>
          <x:t xml:space="preserve">HIGH</x:t>
        </x:is>
      </x:c>
      <x:c r="M9" s="1" t="inlineStr">
        <x:is>
          <x:t xml:space="preserve">Your capture + Gen 2 documentation</x:t>
        </x:is>
      </x:c>
    </x:row>
    <x:row r="10">
      <x:c r="A10" s="1" t="inlineStr">
        <x:is>
          <x:t xml:space="preserve">PRIUS_GEN2_2004</x:t>
        </x:is>
      </x:c>
      <x:c r="B10" s="1" t="inlineStr">
        <x:is>
          <x:t xml:space="preserve">HS-CAN</x:t>
        </x:is>
      </x:c>
      <x:c r="C10" s="1" t="inlineStr">
        <x:is>
          <x:t xml:space="preserve">0x0348</x:t>
        </x:is>
      </x:c>
      <x:c r="D10" s="1" t="inlineStr">
        <x:is>
          <x:t xml:space="preserve">Powertrain / HCU</x:t>
        </x:is>
      </x:c>
      <x:c r="E10" s="1" t="inlineStr">
        <x:is>
          <x:t xml:space="preserve">ICE request / requested RPM candidate</x:t>
        </x:is>
      </x:c>
      <x:c r="F10" s="1" t="inlineStr">
        <x:is>
          <x:t xml:space="preserve">Vass identifies ICE/throttle-related content; PriusChat discusses engine/HV request behavior</x:t>
        </x:is>
      </x:c>
      <x:c r="G10" s="1" t="inlineStr">
        <x:is>
          <x:t xml:space="preserve">candidate</x:t>
        </x:is>
      </x:c>
      <x:c r="H10" s="1" t="inlineStr">
        <x:is>
          <x:t xml:space="preserve">TBD</x:t>
        </x:is>
      </x:c>
      <x:c r="I10" s="1" t="inlineStr">
        <x:is>
          <x:t xml:space="preserve">TBD</x:t>
        </x:is>
      </x:c>
      <x:c r="J10" s="1" t="inlineStr">
        <x:is>
          <x:t xml:space="preserve">TBD</x:t>
        </x:is>
      </x:c>
      <x:c r="K10" s="1" t="inlineStr">
        <x:is>
          <x:t xml:space="preserve">Passive broadcast</x:t>
        </x:is>
      </x:c>
      <x:c r="L10" s="1" t="inlineStr">
        <x:is>
          <x:t xml:space="preserve">HIGH CANDIDATE</x:t>
        </x:is>
      </x:c>
      <x:c r="M10" s="1" t="inlineStr">
        <x:is>
          <x:t xml:space="preserve">Your capture + Vass + PriusChat</x:t>
        </x:is>
      </x:c>
    </x:row>
    <x:row r="11">
      <x:c r="A11" s="1" t="inlineStr">
        <x:is>
          <x:t xml:space="preserve">PRIUS_GEN2_2004</x:t>
        </x:is>
      </x:c>
      <x:c r="B11" s="1" t="inlineStr">
        <x:is>
          <x:t xml:space="preserve">HS-CAN</x:t>
        </x:is>
      </x:c>
      <x:c r="C11" s="1" t="inlineStr">
        <x:is>
          <x:t xml:space="preserve">0x03C8</x:t>
        </x:is>
      </x:c>
      <x:c r="D11" s="1" t="inlineStr">
        <x:is>
          <x:t xml:space="preserve">Engine / HCU</x:t>
        </x:is>
      </x:c>
      <x:c r="E11" s="1" t="inlineStr">
        <x:is>
          <x:t xml:space="preserve">ICE RPM / target RPM candidate</x:t>
        </x:is>
      </x:c>
      <x:c r="F11" s="1" t="inlineStr">
        <x:is>
          <x:t xml:space="preserve">Vass identifies target RPM in bytes 2-3; PriusChat discusses 0x3C8 engine ECU message</x:t>
        </x:is>
      </x:c>
      <x:c r="G11" s="1" t="inlineStr">
        <x:is>
          <x:t xml:space="preserve">rpm</x:t>
        </x:is>
      </x:c>
      <x:c r="H11" s="1" t="inlineStr">
        <x:is>
          <x:t xml:space="preserve">Reference suggests 32 rpm/count for target RPM field</x:t>
        </x:is>
      </x:c>
      <x:c r="I11" s="1" t="inlineStr">
        <x:is>
          <x:t xml:space="preserve">Unsigned</x:t>
        </x:is>
      </x:c>
      <x:c r="J11" s="1" t="inlineStr">
        <x:is>
          <x:t xml:space="preserve">TBD</x:t>
        </x:is>
      </x:c>
      <x:c r="K11" s="1" t="inlineStr">
        <x:is>
          <x:t xml:space="preserve">Passive broadcast</x:t>
        </x:is>
      </x:c>
      <x:c r="L11" s="1" t="inlineStr">
        <x:is>
          <x:t xml:space="preserve">HIGH CANDIDATE</x:t>
        </x:is>
      </x:c>
      <x:c r="M11" s="1" t="inlineStr">
        <x:is>
          <x:t xml:space="preserve">Your capture + Vass + PriusChat</x:t>
        </x:is>
      </x:c>
    </x:row>
    <x:row r="12">
      <x:c r="A12" s="1" t="inlineStr">
        <x:is>
          <x:t xml:space="preserve">PRIUS_GEN2_2004</x:t>
        </x:is>
      </x:c>
      <x:c r="B12" s="1" t="inlineStr">
        <x:is>
          <x:t xml:space="preserve">HS-CAN</x:t>
        </x:is>
      </x:c>
      <x:c r="C12" s="1" t="inlineStr">
        <x:is>
          <x:t xml:space="preserve">0x03C9</x:t>
        </x:is>
      </x:c>
      <x:c r="D12" s="1" t="inlineStr">
        <x:is>
          <x:t xml:space="preserve">HV Battery</x:t>
        </x:is>
      </x:c>
      <x:c r="E12" s="1" t="inlineStr">
        <x:is>
          <x:t xml:space="preserve">Battery ECU periodic data</x:t>
        </x:is>
      </x:c>
      <x:c r="F12" s="1" t="inlineStr">
        <x:is>
          <x:t xml:space="preserve">Known battery ECU broadcast; exact signal mapping needs formal extraction</x:t>
        </x:is>
      </x:c>
      <x:c r="G12" s="1" t="inlineStr">
        <x:is>
          <x:t xml:space="preserve">various</x:t>
        </x:is>
      </x:c>
      <x:c r="H12" s="1" t="inlineStr">
        <x:is>
          <x:t xml:space="preserve">TBD</x:t>
        </x:is>
      </x:c>
      <x:c r="I12" s="1" t="inlineStr">
        <x:is>
          <x:t xml:space="preserve">TBD</x:t>
        </x:is>
      </x:c>
      <x:c r="J12" s="1" t="inlineStr">
        <x:is>
          <x:t xml:space="preserve">TBD</x:t>
        </x:is>
      </x:c>
      <x:c r="K12" s="1" t="inlineStr">
        <x:is>
          <x:t xml:space="preserve">Passive broadcast</x:t>
        </x:is>
      </x:c>
      <x:c r="L12" s="1" t="inlineStr">
        <x:is>
          <x:t xml:space="preserve">HIGH CANDIDATE</x:t>
        </x:is>
      </x:c>
      <x:c r="M12" s="1" t="inlineStr">
        <x:is>
          <x:t xml:space="preserve">Your capture + Gen 2 references</x:t>
        </x:is>
      </x:c>
    </x:row>
    <x:row r="13">
      <x:c r="A13" s="1" t="inlineStr">
        <x:is>
          <x:t xml:space="preserve">PRIUS_GEN2_2004</x:t>
        </x:is>
      </x:c>
      <x:c r="B13" s="1" t="inlineStr">
        <x:is>
          <x:t xml:space="preserve">HS-CAN</x:t>
        </x:is>
      </x:c>
      <x:c r="C13" s="1" t="inlineStr">
        <x:is>
          <x:t xml:space="preserve">0x052C</x:t>
        </x:is>
      </x:c>
      <x:c r="D13" s="1" t="inlineStr">
        <x:is>
          <x:t xml:space="preserve">Engine</x:t>
        </x:is>
      </x:c>
      <x:c r="E13" s="1" t="inlineStr">
        <x:is>
          <x:t xml:space="preserve">Engine coolant temperature candidate</x:t>
        </x:is>
      </x:c>
      <x:c r="F13" s="1" t="inlineStr">
        <x:is>
          <x:t xml:space="preserve">Vass 3rd-gen reference: 2-byte value, 0.5°C/count; not yet validated on Gen 2</x:t>
        </x:is>
      </x:c>
      <x:c r="G13" s="1" t="inlineStr">
        <x:is>
          <x:t xml:space="preserve">°C</x:t>
        </x:is>
      </x:c>
      <x:c r="H13" s="1" t="inlineStr">
        <x:is>
          <x:t xml:space="preserve">0.5 °C/count (Vass; verify offset)</x:t>
        </x:is>
      </x:c>
      <x:c r="I13" s="1" t="inlineStr">
        <x:is>
          <x:t xml:space="preserve">Unsigned</x:t>
        </x:is>
      </x:c>
      <x:c r="J13" s="1" t="inlineStr">
        <x:is>
          <x:t xml:space="preserve">TBD</x:t>
        </x:is>
      </x:c>
      <x:c r="K13" s="1" t="inlineStr">
        <x:is>
          <x:t xml:space="preserve">Passive broadcast</x:t>
        </x:is>
      </x:c>
      <x:c r="L13" s="1" t="inlineStr">
        <x:is>
          <x:t xml:space="preserve">CANDIDATE</x:t>
        </x:is>
      </x:c>
      <x:c r="M13" s="1" t="inlineStr">
        <x:is>
          <x:t xml:space="preserve">Vass only until validated</x:t>
        </x:is>
      </x:c>
    </x:row>
    <x:row r="14">
      <x:c r="A14" s="1" t="inlineStr">
        <x:is>
          <x:t xml:space="preserve">PRIUS_GEN2_2004</x:t>
        </x:is>
      </x:c>
      <x:c r="B14" s="1" t="inlineStr">
        <x:is>
          <x:t xml:space="preserve">HS-CAN</x:t>
        </x:is>
      </x:c>
      <x:c r="C14" s="1" t="inlineStr">
        <x:is>
          <x:t xml:space="preserve">0x0529</x:t>
        </x:is>
      </x:c>
      <x:c r="D14" s="1" t="inlineStr">
        <x:is>
          <x:t xml:space="preserve">Hybrid / EV</x:t>
        </x:is>
      </x:c>
      <x:c r="E14" s="1" t="inlineStr">
        <x:is>
          <x:t xml:space="preserve">EV mode / interlock candidate</x:t>
        </x:is>
      </x:c>
      <x:c r="F14" s="1" t="inlineStr">
        <x:is>
          <x:t xml:space="preserve">Vass 3rd-gen reference only</x:t>
        </x:is>
      </x:c>
      <x:c r="G14" s="1" t="inlineStr">
        <x:is>
          <x:t xml:space="preserve">state</x:t>
        </x:is>
      </x:c>
      <x:c r="H14" s="1" t="inlineStr">
        <x:is>
          <x:t xml:space="preserve">Bit/byte mapping per Vass; verify</x:t>
        </x:is>
      </x:c>
      <x:c r="I14" s="1" t="inlineStr">
        <x:is>
          <x:t xml:space="preserve">Mixed</x:t>
        </x:is>
      </x:c>
      <x:c r="J14" s="1" t="inlineStr">
        <x:is>
          <x:t xml:space="preserve">TBD</x:t>
        </x:is>
      </x:c>
      <x:c r="K14" s="1" t="inlineStr">
        <x:is>
          <x:t xml:space="preserve">Passive broadcast</x:t>
        </x:is>
      </x:c>
      <x:c r="L14" s="1" t="inlineStr">
        <x:is>
          <x:t xml:space="preserve">CANDIDATE</x:t>
        </x:is>
      </x:c>
      <x:c r="M14" s="1" t="inlineStr">
        <x:is>
          <x:t xml:space="preserve">Vass only until validated</x:t>
        </x:is>
      </x:c>
    </x:row>
    <x:row r="15">
      <x:c r="A15" s="1" t="inlineStr">
        <x:is>
          <x:t xml:space="preserve">PRIUS_GEN2_2004</x:t>
        </x:is>
      </x:c>
      <x:c r="B15" s="1" t="inlineStr">
        <x:is>
          <x:t xml:space="preserve">HS-CAN</x:t>
        </x:is>
      </x:c>
      <x:c r="C15" s="1" t="inlineStr">
        <x:is>
          <x:t xml:space="preserve">0x0540</x:t>
        </x:is>
      </x:c>
      <x:c r="D15" s="1" t="inlineStr">
        <x:is>
          <x:t xml:space="preserve">Hybrid / Gear</x:t>
        </x:is>
      </x:c>
      <x:c r="E15" s="1" t="inlineStr">
        <x:is>
          <x:t xml:space="preserve">Shift lever candidate</x:t>
        </x:is>
      </x:c>
      <x:c r="F15" s="1" t="inlineStr">
        <x:is>
          <x:t xml:space="preserve">Vass 3rd-gen reference only</x:t>
        </x:is>
      </x:c>
      <x:c r="G15" s="1" t="inlineStr">
        <x:is>
          <x:t xml:space="preserve">state</x:t>
        </x:is>
      </x:c>
      <x:c r="H15" s="1" t="inlineStr">
        <x:is>
          <x:t xml:space="preserve">P/R/N/D/B mapping per Vass; verify</x:t>
        </x:is>
      </x:c>
      <x:c r="I15" s="1" t="inlineStr">
        <x:is>
          <x:t xml:space="preserve">Mixed</x:t>
        </x:is>
      </x:c>
      <x:c r="J15" s="1" t="inlineStr">
        <x:is>
          <x:t xml:space="preserve">TBD</x:t>
        </x:is>
      </x:c>
      <x:c r="K15" s="1" t="inlineStr">
        <x:is>
          <x:t xml:space="preserve">Passive broadcast</x:t>
        </x:is>
      </x:c>
      <x:c r="L15" s="1" t="inlineStr">
        <x:is>
          <x:t xml:space="preserve">CANDIDATE</x:t>
        </x:is>
      </x:c>
      <x:c r="M15" s="1" t="inlineStr">
        <x:is>
          <x:t xml:space="preserve">Vass only until validated</x:t>
        </x:is>
      </x:c>
    </x:row>
    <x:row r="16">
      <x:c r="A16" s="1" t="inlineStr">
        <x:is>
          <x:t xml:space="preserve">PRIUS_GEN3_2010</x:t>
        </x:is>
      </x:c>
      <x:c r="B16" s="1" t="inlineStr">
        <x:is>
          <x:t xml:space="preserve">HS-CAN</x:t>
        </x:is>
      </x:c>
      <x:c r="C16" s="1" t="inlineStr">
        <x:is>
          <x:t xml:space="preserve">0x01A6</x:t>
        </x:is>
      </x:c>
      <x:c r="D16" s="1" t="inlineStr">
        <x:is>
          <x:t xml:space="preserve">Brake</x:t>
        </x:is>
      </x:c>
      <x:c r="E16" s="1" t="inlineStr">
        <x:is>
          <x:t xml:space="preserve">Brake amount / pedal</x:t>
        </x:is>
      </x:c>
      <x:c r="F16" s="1" t="inlineStr">
        <x:is>
          <x:t xml:space="preserve">OpenDBC 2010 Prius PT DBC</x:t>
        </x:is>
      </x:c>
      <x:c r="G16" s="1" t="inlineStr">
        <x:is>
          <x:t xml:space="preserve">raw</x:t>
        </x:is>
      </x:c>
      <x:c r="H16" s="1" t="inlineStr">
        <x:is>
          <x:t xml:space="preserve">Brake amount 8-bit; brake pedal 8-bit</x:t>
        </x:is>
      </x:c>
      <x:c r="I16" s="1" t="inlineStr">
        <x:is>
          <x:t xml:space="preserve">Unsigned</x:t>
        </x:is>
      </x:c>
      <x:c r="J16" s="1" t="inlineStr">
        <x:is>
          <x:t xml:space="preserve">Specified in DBC</x:t>
        </x:is>
      </x:c>
      <x:c r="K16" s="1" t="inlineStr">
        <x:is>
          <x:t xml:space="preserve">Passive broadcast</x:t>
        </x:is>
      </x:c>
      <x:c r="L16" s="1" t="inlineStr">
        <x:is>
          <x:t xml:space="preserve">REFERENCE</x:t>
        </x:is>
      </x:c>
      <x:c r="M16" s="1" t="inlineStr">
        <x:is>
          <x:t xml:space="preserve">OpenDBC</x:t>
        </x:is>
      </x:c>
    </x:row>
    <x:row r="17">
      <x:c r="A17" s="1" t="inlineStr">
        <x:is>
          <x:t xml:space="preserve">PRIUS_GEN3_2010</x:t>
        </x:is>
      </x:c>
      <x:c r="B17" s="1" t="inlineStr">
        <x:is>
          <x:t xml:space="preserve">HS-CAN</x:t>
        </x:is>
      </x:c>
      <x:c r="C17" s="1" t="inlineStr">
        <x:is>
          <x:t xml:space="preserve">0x01AA</x:t>
        </x:is>
      </x:c>
      <x:c r="D17" s="1" t="inlineStr">
        <x:is>
          <x:t xml:space="preserve">Wheel speed</x:t>
        </x:is>
      </x:c>
      <x:c r="E17" s="1" t="inlineStr">
        <x:is>
          <x:t xml:space="preserve">Four wheel speeds</x:t>
        </x:is>
      </x:c>
      <x:c r="F17" s="1" t="inlineStr">
        <x:is>
          <x:t xml:space="preserve">OpenDBC 2010 Prius PT DBC</x:t>
        </x:is>
      </x:c>
      <x:c r="G17" s="1" t="inlineStr">
        <x:is>
          <x:t xml:space="preserve">mph</x:t>
        </x:is>
      </x:c>
      <x:c r="H17" s="1" t="inlineStr">
        <x:is>
          <x:t xml:space="preserve">0.0062 mph/count, -67.67 offset</x:t>
        </x:is>
      </x:c>
      <x:c r="I17" s="1" t="inlineStr">
        <x:is>
          <x:t xml:space="preserve">Unsigned</x:t>
        </x:is>
      </x:c>
      <x:c r="J17" s="1" t="inlineStr">
        <x:is>
          <x:t xml:space="preserve">Specified in DBC</x:t>
        </x:is>
      </x:c>
      <x:c r="K17" s="1" t="inlineStr">
        <x:is>
          <x:t xml:space="preserve">Passive broadcast</x:t>
        </x:is>
      </x:c>
      <x:c r="L17" s="1" t="inlineStr">
        <x:is>
          <x:t xml:space="preserve">REFERENCE</x:t>
        </x:is>
      </x:c>
      <x:c r="M17" s="1" t="inlineStr">
        <x:is>
          <x:t xml:space="preserve">OpenDBC</x:t>
        </x:is>
      </x:c>
    </x:row>
    <x:row r="18">
      <x:c r="A18" s="1" t="inlineStr">
        <x:is>
          <x:t xml:space="preserve">PRIUS_GEN3_2010</x:t>
        </x:is>
      </x:c>
      <x:c r="B18" s="1" t="inlineStr">
        <x:is>
          <x:t xml:space="preserve">HS-CAN</x:t>
        </x:is>
      </x:c>
      <x:c r="C18" s="1" t="inlineStr">
        <x:is>
          <x:t xml:space="preserve">0x01D4</x:t>
        </x:is>
      </x:c>
      <x:c r="D18" s="1" t="inlineStr">
        <x:is>
          <x:t xml:space="preserve">Powertrain</x:t>
        </x:is>
      </x:c>
      <x:c r="E18" s="1" t="inlineStr">
        <x:is>
          <x:t xml:space="preserve">Engine RPM</x:t>
        </x:is>
      </x:c>
      <x:c r="F18" s="1" t="inlineStr">
        <x:is>
          <x:t xml:space="preserve">OpenDBC 2010 Prius PT DBC</x:t>
        </x:is>
      </x:c>
      <x:c r="G18" s="1" t="inlineStr">
        <x:is>
          <x:t xml:space="preserve">rpm</x:t>
        </x:is>
      </x:c>
      <x:c r="H18" s="1" t="inlineStr">
        <x:is>
          <x:t xml:space="preserve">1 rpm/count</x:t>
        </x:is>
      </x:c>
      <x:c r="I18" s="1" t="inlineStr">
        <x:is>
          <x:t xml:space="preserve">Unsigned</x:t>
        </x:is>
      </x:c>
      <x:c r="J18" s="1" t="inlineStr">
        <x:is>
          <x:t xml:space="preserve">Specified in DBC</x:t>
        </x:is>
      </x:c>
      <x:c r="K18" s="1" t="inlineStr">
        <x:is>
          <x:t xml:space="preserve">Passive broadcast</x:t>
        </x:is>
      </x:c>
      <x:c r="L18" s="1" t="inlineStr">
        <x:is>
          <x:t xml:space="preserve">REFERENCE</x:t>
        </x:is>
      </x:c>
      <x:c r="M18" s="1" t="inlineStr">
        <x:is>
          <x:t xml:space="preserve">OpenDBC</x:t>
        </x:is>
      </x:c>
    </x:row>
    <x:row r="19">
      <x:c r="A19" s="1" t="inlineStr">
        <x:is>
          <x:t xml:space="preserve">PRIUS_GEN3_2010</x:t>
        </x:is>
      </x:c>
      <x:c r="B19" s="1" t="inlineStr">
        <x:is>
          <x:t xml:space="preserve">HS-CAN</x:t>
        </x:is>
      </x:c>
      <x:c r="C19" s="1" t="inlineStr">
        <x:is>
          <x:t xml:space="preserve">0x0120</x:t>
        </x:is>
      </x:c>
      <x:c r="D19" s="1" t="inlineStr">
        <x:is>
          <x:t xml:space="preserve">Powertrain / Hybrid</x:t>
        </x:is>
      </x:c>
      <x:c r="E19" s="1" t="inlineStr">
        <x:is>
          <x:t xml:space="preserve">Cross-reference only</x:t>
        </x:is>
      </x:c>
      <x:c r="F19" s="1" t="inlineStr">
        <x:is>
          <x:t xml:space="preserve">Vass uses 0x120 for drive mode on 3rd-gen; OpenDBC may use different/other message sets; verify per vehicle</x:t>
        </x:is>
      </x:c>
      <x:c r="G19" s="1" t="inlineStr">
        <x:is>
          <x:t xml:space="preserve">state</x:t>
        </x:is>
      </x:c>
      <x:c r="H19" s="1" t="inlineStr">
        <x:is>
          <x:t xml:space="preserve">TBD</x:t>
        </x:is>
      </x:c>
      <x:c r="I19" s="1" t="inlineStr">
        <x:is>
          <x:t xml:space="preserve">TBD</x:t>
        </x:is>
      </x:c>
      <x:c r="J19" s="1" t="inlineStr">
        <x:is>
          <x:t xml:space="preserve">TBD</x:t>
        </x:is>
      </x:c>
      <x:c r="K19" s="1" t="inlineStr">
        <x:is>
          <x:t xml:space="preserve">Passive broadcast</x:t>
        </x:is>
      </x:c>
      <x:c r="L19" s="1" t="inlineStr">
        <x:is>
          <x:t xml:space="preserve">CANDIDATE</x:t>
        </x:is>
      </x:c>
      <x:c r="M19" s="1" t="inlineStr">
        <x:is>
          <x:t xml:space="preserve">Vass + OpenDBC cross-reference</x:t>
        </x:is>
      </x:c>
    </x:row>
    <x:row r="20">
      <x:c r="A20" s="1" t="inlineStr">
        <x:is>
          <x:t xml:space="preserve">PRIUS_PHV_GEN1_2012_2015</x:t>
        </x:is>
      </x:c>
      <x:c r="B20" s="1" t="inlineStr">
        <x:is>
          <x:t xml:space="preserve">HS-CAN</x:t>
        </x:is>
      </x:c>
      <x:c r="C20" s="1" t="inlineStr">
        <x:is>
          <x:t xml:space="preserve">TBD</x:t>
        </x:is>
      </x:c>
      <x:c r="D20" s="1" t="inlineStr">
        <x:is>
          <x:t xml:space="preserve">MG1/MG2 / Inverter</x:t>
        </x:is>
      </x:c>
      <x:c r="E20" s="1" t="inlineStr">
        <x:is>
          <x:t xml:space="preserve">MG1 inverter temperature</x:t>
        </x:is>
      </x:c>
      <x:c r="F20" s="1" t="inlineStr">
        <x:is>
          <x:t xml:space="preserve">Diagnostic candidate; source references indicate separate MG1/MG2 inverter temperatures</x:t>
        </x:is>
      </x:c>
      <x:c r="G20" s="1" t="inlineStr">
        <x:is>
          <x:t xml:space="preserve">°C</x:t>
        </x:is>
      </x:c>
      <x:c r="H20" s="1" t="inlineStr">
        <x:is>
          <x:t xml:space="preserve">TBD</x:t>
        </x:is>
      </x:c>
      <x:c r="I20" s="1" t="inlineStr">
        <x:is>
          <x:t xml:space="preserve">TBD</x:t>
        </x:is>
      </x:c>
      <x:c r="J20" s="1" t="inlineStr">
        <x:is>
          <x:t xml:space="preserve">TBD</x:t>
        </x:is>
      </x:c>
      <x:c r="K20" s="1" t="inlineStr">
        <x:is>
          <x:t xml:space="preserve">Diagnostic / solicited candidate</x:t>
        </x:is>
      </x:c>
      <x:c r="L20" s="1" t="inlineStr">
        <x:is>
          <x:t xml:space="preserve">CANDIDATE</x:t>
        </x:is>
      </x:c>
      <x:c r="M20" s="1" t="inlineStr">
        <x:is>
          <x:t xml:space="preserve">Toyota diagnostic references; validate on actual PHV</x:t>
        </x:is>
      </x:c>
    </x:row>
    <x:row r="21">
      <x:c r="A21" s="1" t="inlineStr">
        <x:is>
          <x:t xml:space="preserve">PRIUS_PHV_GEN1_2012_2015</x:t>
        </x:is>
      </x:c>
      <x:c r="B21" s="1" t="inlineStr">
        <x:is>
          <x:t xml:space="preserve">HS-CAN</x:t>
        </x:is>
      </x:c>
      <x:c r="C21" s="1" t="inlineStr">
        <x:is>
          <x:t xml:space="preserve">TBD</x:t>
        </x:is>
      </x:c>
      <x:c r="D21" s="1" t="inlineStr">
        <x:is>
          <x:t xml:space="preserve">MG1/MG2</x:t>
        </x:is>
      </x:c>
      <x:c r="E21" s="1" t="inlineStr">
        <x:is>
          <x:t xml:space="preserve">MG1 motor temperature</x:t>
        </x:is>
      </x:c>
      <x:c r="F21" s="1" t="inlineStr">
        <x:is>
          <x:t xml:space="preserve">Diagnostic candidate</x:t>
        </x:is>
      </x:c>
      <x:c r="G21" s="1" t="inlineStr">
        <x:is>
          <x:t xml:space="preserve">°C</x:t>
        </x:is>
      </x:c>
      <x:c r="H21" s="1" t="inlineStr">
        <x:is>
          <x:t xml:space="preserve">TBD</x:t>
        </x:is>
      </x:c>
      <x:c r="I21" s="1" t="inlineStr">
        <x:is>
          <x:t xml:space="preserve">TBD</x:t>
        </x:is>
      </x:c>
      <x:c r="J21" s="1" t="inlineStr">
        <x:is>
          <x:t xml:space="preserve">TBD</x:t>
        </x:is>
      </x:c>
      <x:c r="K21" s="1" t="inlineStr">
        <x:is>
          <x:t xml:space="preserve">Diagnostic / solicited candidate</x:t>
        </x:is>
      </x:c>
      <x:c r="L21" s="1" t="inlineStr">
        <x:is>
          <x:t xml:space="preserve">CANDIDATE</x:t>
        </x:is>
      </x:c>
      <x:c r="M21" s="1" t="inlineStr">
        <x:is>
          <x:t xml:space="preserve">Toyota diagnostic references; validate on actual PHV</x:t>
        </x:is>
      </x:c>
    </x:row>
    <x:row r="22">
      <x:c r="A22" s="1" t="inlineStr">
        <x:is>
          <x:t xml:space="preserve">PRIUS_PHV_GEN1_2012_2015</x:t>
        </x:is>
      </x:c>
      <x:c r="B22" s="1" t="inlineStr">
        <x:is>
          <x:t xml:space="preserve">HS-CAN</x:t>
        </x:is>
      </x:c>
      <x:c r="C22" s="1" t="inlineStr">
        <x:is>
          <x:t xml:space="preserve">TBD</x:t>
        </x:is>
      </x:c>
      <x:c r="D22" s="1" t="inlineStr">
        <x:is>
          <x:t xml:space="preserve">MG1/MG2</x:t>
        </x:is>
      </x:c>
      <x:c r="E22" s="1" t="inlineStr">
        <x:is>
          <x:t xml:space="preserve">MG2 inverter temperature</x:t>
        </x:is>
      </x:c>
      <x:c r="F22" s="1" t="inlineStr">
        <x:is>
          <x:t xml:space="preserve">Diagnostic candidate</x:t>
        </x:is>
      </x:c>
      <x:c r="G22" s="1" t="inlineStr">
        <x:is>
          <x:t xml:space="preserve">°C</x:t>
        </x:is>
      </x:c>
      <x:c r="H22" s="1" t="inlineStr">
        <x:is>
          <x:t xml:space="preserve">TBD</x:t>
        </x:is>
      </x:c>
      <x:c r="I22" s="1" t="inlineStr">
        <x:is>
          <x:t xml:space="preserve">TBD</x:t>
        </x:is>
      </x:c>
      <x:c r="J22" s="1" t="inlineStr">
        <x:is>
          <x:t xml:space="preserve">TBD</x:t>
        </x:is>
      </x:c>
      <x:c r="K22" s="1" t="inlineStr">
        <x:is>
          <x:t xml:space="preserve">Diagnostic / solicited candidate</x:t>
        </x:is>
      </x:c>
      <x:c r="L22" s="1" t="inlineStr">
        <x:is>
          <x:t xml:space="preserve">CANDIDATE</x:t>
        </x:is>
      </x:c>
      <x:c r="M22" s="1" t="inlineStr">
        <x:is>
          <x:t xml:space="preserve">Toyota diagnostic references; validate on actual PHV</x:t>
        </x:is>
      </x:c>
    </x:row>
    <x:row r="23">
      <x:c r="A23" s="1" t="inlineStr">
        <x:is>
          <x:t xml:space="preserve">PRIUS_PHV_GEN1_2012_2015</x:t>
        </x:is>
      </x:c>
      <x:c r="B23" s="1" t="inlineStr">
        <x:is>
          <x:t xml:space="preserve">HS-CAN</x:t>
        </x:is>
      </x:c>
      <x:c r="C23" s="1" t="inlineStr">
        <x:is>
          <x:t xml:space="preserve">TBD</x:t>
        </x:is>
      </x:c>
      <x:c r="D23" s="1" t="inlineStr">
        <x:is>
          <x:t xml:space="preserve">MG1/MG2</x:t>
        </x:is>
      </x:c>
      <x:c r="E23" s="1" t="inlineStr">
        <x:is>
          <x:t xml:space="preserve">MG2 motor temperature</x:t>
        </x:is>
      </x:c>
      <x:c r="F23" s="1" t="inlineStr">
        <x:is>
          <x:t xml:space="preserve">Diagnostic candidate</x:t>
        </x:is>
      </x:c>
      <x:c r="G23" s="1" t="inlineStr">
        <x:is>
          <x:t xml:space="preserve">°C</x:t>
        </x:is>
      </x:c>
      <x:c r="H23" s="1" t="inlineStr">
        <x:is>
          <x:t xml:space="preserve">TBD</x:t>
        </x:is>
      </x:c>
      <x:c r="I23" s="1" t="inlineStr">
        <x:is>
          <x:t xml:space="preserve">TBD</x:t>
        </x:is>
      </x:c>
      <x:c r="J23" s="1" t="inlineStr">
        <x:is>
          <x:t xml:space="preserve">TBD</x:t>
        </x:is>
      </x:c>
      <x:c r="K23" s="1" t="inlineStr">
        <x:is>
          <x:t xml:space="preserve">Diagnostic / solicited candidate</x:t>
        </x:is>
      </x:c>
      <x:c r="L23" s="1" t="inlineStr">
        <x:is>
          <x:t xml:space="preserve">CANDIDATE</x:t>
        </x:is>
      </x:c>
      <x:c r="M23" s="1" t="inlineStr">
        <x:is>
          <x:t xml:space="preserve">Toyota diagnostic references; validate on actual PHV</x:t>
        </x:is>
      </x:c>
    </x:row>
    <x:row r="24">
      <x:c r="A24" s="1" t="inlineStr">
        <x:is>
          <x:t xml:space="preserve">TOYOTA_ALL</x:t>
        </x:is>
      </x:c>
      <x:c r="B24" s="1" t="inlineStr">
        <x:is>
          <x:t xml:space="preserve">TBD</x:t>
        </x:is>
      </x:c>
      <x:c r="C24" s="1" t="inlineStr">
        <x:is>
          <x:t xml:space="preserve">TBD</x:t>
        </x:is>
      </x:c>
      <x:c r="D24" s="1" t="inlineStr">
        <x:is>
          <x:t xml:space="preserve">Cabin / HVAC</x:t>
        </x:is>
      </x:c>
      <x:c r="E24" s="1" t="inlineStr">
        <x:is>
          <x:t xml:space="preserve">Cabin temperature</x:t>
        </x:is>
      </x:c>
      <x:c r="F24" s="1" t="inlineStr">
        <x:is>
          <x:t xml:space="preserve">Vehicle-specific; must identify actual sensor signal or diagnostic PID</x:t>
        </x:is>
      </x:c>
      <x:c r="G24" s="1" t="inlineStr">
        <x:is>
          <x:t xml:space="preserve">°C</x:t>
        </x:is>
      </x:c>
      <x:c r="H24" s="1" t="inlineStr">
        <x:is>
          <x:t xml:space="preserve">TBD</x:t>
        </x:is>
      </x:c>
      <x:c r="I24" s="1" t="inlineStr">
        <x:is>
          <x:t xml:space="preserve">TBD</x:t>
        </x:is>
      </x:c>
      <x:c r="J24" s="1" t="inlineStr">
        <x:is>
          <x:t xml:space="preserve">TBD</x:t>
        </x:is>
      </x:c>
      <x:c r="K24" s="1" t="inlineStr">
        <x:is>
          <x:t xml:space="preserve">Passive or diagnostic</x:t>
        </x:is>
      </x:c>
      <x:c r="L24" s="1" t="inlineStr">
        <x:is>
          <x:t xml:space="preserve">UNKNOWN</x:t>
        </x:is>
      </x:c>
      <x:c r="M24" s="1" t="inlineStr">
        <x:is>
          <x:t xml:space="preserve">Targeted capture required</x:t>
        </x:is>
      </x:c>
    </x:row>
    <x:row r="25">
      <x:c r="A25" s="1" t="inlineStr">
        <x:is>
          <x:t xml:space="preserve">TOYOTA_ALL</x:t>
        </x:is>
      </x:c>
      <x:c r="B25" s="1" t="inlineStr">
        <x:is>
          <x:t xml:space="preserve">TBD</x:t>
        </x:is>
      </x:c>
      <x:c r="C25" s="1" t="inlineStr">
        <x:is>
          <x:t xml:space="preserve">TBD</x:t>
        </x:is>
      </x:c>
      <x:c r="D25" s="1" t="inlineStr">
        <x:is>
          <x:t xml:space="preserve">Cabin / HVAC</x:t>
        </x:is>
      </x:c>
      <x:c r="E25" s="1" t="inlineStr">
        <x:is>
          <x:t xml:space="preserve">Cabin humidity</x:t>
        </x:is>
      </x:c>
      <x:c r="F25" s="1" t="inlineStr">
        <x:is>
          <x:t xml:space="preserve">Vehicle-specific; do not infer if no sensor/data source</x:t>
        </x:is>
      </x:c>
      <x:c r="G25" s="1" t="inlineStr">
        <x:is>
          <x:t xml:space="preserve">%RH</x:t>
        </x:is>
      </x:c>
      <x:c r="H25" s="1" t="inlineStr">
        <x:is>
          <x:t xml:space="preserve">TBD</x:t>
        </x:is>
      </x:c>
      <x:c r="I25" s="1" t="inlineStr">
        <x:is>
          <x:t xml:space="preserve">TBD</x:t>
        </x:is>
      </x:c>
      <x:c r="J25" s="1" t="inlineStr">
        <x:is>
          <x:t xml:space="preserve">TBD</x:t>
        </x:is>
      </x:c>
      <x:c r="K25" s="1" t="inlineStr">
        <x:is>
          <x:t xml:space="preserve">Passive or diagnostic</x:t>
        </x:is>
      </x:c>
      <x:c r="L25" s="1" t="inlineStr">
        <x:is>
          <x:t xml:space="preserve">UNKNOWN</x:t>
        </x:is>
      </x:c>
      <x:c r="M25" s="1" t="inlineStr">
        <x:is>
          <x:t xml:space="preserve">Targeted capture required</x:t>
        </x:is>
      </x:c>
    </x:row>
    <x:row r="26">
      <x:c r="A26" s="1" t="inlineStr">
        <x:is>
          <x:t xml:space="preserve">TOYOTA_ALL</x:t>
        </x:is>
      </x:c>
      <x:c r="B26" s="1" t="inlineStr">
        <x:is>
          <x:t xml:space="preserve">TBD</x:t>
        </x:is>
      </x:c>
      <x:c r="C26" s="1" t="inlineStr">
        <x:is>
          <x:t xml:space="preserve">TBD</x:t>
        </x:is>
      </x:c>
      <x:c r="D26" s="1" t="inlineStr">
        <x:is>
          <x:t xml:space="preserve">12V System</x:t>
        </x:is>
      </x:c>
      <x:c r="E26" s="1" t="inlineStr">
        <x:is>
          <x:t xml:space="preserve">12V battery voltage</x:t>
        </x:is>
      </x:c>
      <x:c r="F26" s="1" t="inlineStr">
        <x:is>
          <x:t xml:space="preserve">Likely available via diagnostics or vehicle CAN depending on model</x:t>
        </x:is>
      </x:c>
      <x:c r="G26" s="1" t="inlineStr">
        <x:is>
          <x:t xml:space="preserve">V</x:t>
        </x:is>
      </x:c>
      <x:c r="H26" s="1" t="inlineStr">
        <x:is>
          <x:t xml:space="preserve">TBD</x:t>
        </x:is>
      </x:c>
      <x:c r="I26" s="1" t="inlineStr">
        <x:is>
          <x:t xml:space="preserve">TBD</x:t>
        </x:is>
      </x:c>
      <x:c r="J26" s="1" t="inlineStr">
        <x:is>
          <x:t xml:space="preserve">TBD</x:t>
        </x:is>
      </x:c>
      <x:c r="K26" s="1" t="inlineStr">
        <x:is>
          <x:t xml:space="preserve">Passive or diagnostic</x:t>
        </x:is>
      </x:c>
      <x:c r="L26" s="1" t="inlineStr">
        <x:is>
          <x:t xml:space="preserve">CANDIDATE</x:t>
        </x:is>
      </x:c>
      <x:c r="M26" s="1" t="inlineStr">
        <x:is>
          <x:t xml:space="preserve">Validate with multimeter + Autel/Techstream</x:t>
        </x:is>
      </x:c>
    </x:row>
    <x:row r="27">
      <x:c r="A27" s="1" t="inlineStr">
        <x:is>
          <x:t xml:space="preserve">TOYOTA_ALL</x:t>
        </x:is>
      </x:c>
      <x:c r="B27" s="1" t="inlineStr">
        <x:is>
          <x:t xml:space="preserve">TBD</x:t>
        </x:is>
      </x:c>
      <x:c r="C27" s="1" t="inlineStr">
        <x:is>
          <x:t xml:space="preserve">TBD</x:t>
        </x:is>
      </x:c>
      <x:c r="D27" s="1" t="inlineStr">
        <x:is>
          <x:t xml:space="preserve">HV Battery</x:t>
        </x:is>
      </x:c>
      <x:c r="E27" s="1" t="inlineStr">
        <x:is>
          <x:t xml:space="preserve">Battery temperature array</x:t>
        </x:is>
      </x:c>
      <x:c r="F27" s="1" t="inlineStr">
        <x:is>
          <x:t xml:space="preserve">Number of sensors differs by platform; preserve individual channels</x:t>
        </x:is>
      </x:c>
      <x:c r="G27" s="1" t="inlineStr">
        <x:is>
          <x:t xml:space="preserve">°C</x:t>
        </x:is>
      </x:c>
      <x:c r="H27" s="1" t="inlineStr">
        <x:is>
          <x:t xml:space="preserve">TBD</x:t>
        </x:is>
      </x:c>
      <x:c r="I27" s="1" t="inlineStr">
        <x:is>
          <x:t xml:space="preserve">TBD</x:t>
        </x:is>
      </x:c>
      <x:c r="J27" s="1" t="inlineStr">
        <x:is>
          <x:t xml:space="preserve">TBD</x:t>
        </x:is>
      </x:c>
      <x:c r="K27" s="1" t="inlineStr">
        <x:is>
          <x:t xml:space="preserve">Passive or diagnostic</x:t>
        </x:is>
      </x:c>
      <x:c r="L27" s="1" t="inlineStr">
        <x:is>
          <x:t xml:space="preserve">CANDIDATE</x:t>
        </x:is>
      </x:c>
      <x:c r="M27" s="1" t="inlineStr">
        <x:is>
          <x:t xml:space="preserve">Vehicle-specific validation</x:t>
        </x:is>
      </x:c>
    </x:row>
  </x:sheetData>
  <x:pageMargins left="0.7" right="0.7" top="0.75" bottom="0.75" header="0.3" footer="0.3"/>
  <x:tableParts count="1">
    <x:tablePart xmlns:r="http://schemas.openxmlformats.org/officeDocument/2006/relationships" r:id="R2403afa1b00941e8"/>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customWidth="1"/>
    <x:col min="2" max="2" width="80" customWidth="1"/>
  </x:cols>
  <x:sheetData>
    <x:row r="1">
      <x:c r="A1" s="2" t="inlineStr">
        <x:is>
          <x:t xml:space="preserve">Field</x:t>
        </x:is>
      </x:c>
      <x:c r="B1" s="2" t="inlineStr">
        <x:is>
          <x:t xml:space="preserve">Value</x:t>
        </x:is>
      </x:c>
    </x:row>
    <x:row r="2">
      <x:c r="A2" s="1" t="inlineStr">
        <x:is>
          <x:t xml:space="preserve">Capture file</x:t>
        </x:is>
      </x:c>
      <x:c r="B2" s="1" t="inlineStr">
        <x:is>
          <x:t xml:space="preserve">PRIUS_2004_BAMA_POWER_OFF_TO_READY_01.csv</x:t>
        </x:is>
      </x:c>
    </x:row>
    <x:row r="3">
      <x:c r="A3" s="1" t="inlineStr">
        <x:is>
          <x:t xml:space="preserve">Vehicle</x:t>
        </x:is>
      </x:c>
      <x:c r="B3" s="1" t="inlineStr">
        <x:is>
          <x:t xml:space="preserve">2004 Toyota Prius Gen 2 / NHW20</x:t>
        </x:is>
      </x:c>
    </x:row>
    <x:row r="4">
      <x:c r="A4" s="1" t="inlineStr">
        <x:is>
          <x:t xml:space="preserve">Test sequence</x:t>
        </x:is>
      </x:c>
      <x:c r="B4" s="1" t="inlineStr">
        <x:is>
          <x:t xml:space="preserve">Vehicle OFF → ACC/IG-ON → READY</x:t>
        </x:is>
      </x:c>
    </x:row>
    <x:row r="5">
      <x:c r="A5" s="1" t="inlineStr">
        <x:is>
          <x:t xml:space="preserve">Frames</x:t>
        </x:is>
      </x:c>
      <x:c r="B5" s="1" t="inlineStr">
        <x:is>
          <x:t xml:space="preserve">403,644</x:t>
        </x:is>
      </x:c>
    </x:row>
    <x:row r="6">
      <x:c r="A6" s="1" t="inlineStr">
        <x:is>
          <x:t xml:space="preserve">Unique CAN IDs</x:t>
        </x:is>
      </x:c>
      <x:c r="B6" s="1" t="inlineStr">
        <x:is>
          <x:t xml:space="preserve">58</x:t>
        </x:is>
      </x:c>
    </x:row>
    <x:row r="7">
      <x:c r="A7" s="1" t="inlineStr">
        <x:is>
          <x:t xml:space="preserve">Standard IDs</x:t>
        </x:is>
      </x:c>
      <x:c r="B7" s="1" t="inlineStr">
        <x:is>
          <x:t xml:space="preserve">57</x:t>
        </x:is>
      </x:c>
    </x:row>
    <x:row r="8">
      <x:c r="A8" s="1" t="inlineStr">
        <x:is>
          <x:t xml:space="preserve">Extended IDs</x:t>
        </x:is>
      </x:c>
      <x:c r="B8" s="1" t="inlineStr">
        <x:is>
          <x:t xml:space="preserve">1 (0x09F10262 observed; investigate separately)</x:t>
        </x:is>
      </x:c>
    </x:row>
    <x:row r="9">
      <x:c r="A9" s="1" t="inlineStr">
        <x:is>
          <x:t xml:space="preserve">Duration (s)</x:t>
        </x:is>
      </x:c>
      <x:c r="B9" s="1" t="n">
        <x:v>242.854669</x:v>
      </x:c>
    </x:row>
    <x:row r="10">
      <x:c r="A10" s="1" t="inlineStr">
        <x:is>
          <x:t xml:space="preserve">Average frames/s</x:t>
        </x:is>
      </x:c>
      <x:c r="B10" s="1" t="n">
        <x:v>1662.080460145487</x:v>
      </x:c>
    </x:row>
    <x:row r="11">
      <x:c r="A11" s="1" t="inlineStr">
        <x:is>
          <x:t xml:space="preserve">CAN rate used</x:t>
        </x:is>
      </x:c>
      <x:c r="B11" s="1" t="inlineStr">
        <x:is>
          <x:t xml:space="preserve">500 kbit/s</x:t>
        </x:is>
      </x:c>
    </x:row>
    <x:row r="12">
      <x:c r="A12" s="1" t="inlineStr">
        <x:is>
          <x:t xml:space="preserve">ESP32 mode</x:t>
        </x:is>
      </x:c>
      <x:c r="B12" s="1" t="inlineStr">
        <x:is>
          <x:t xml:space="preserve">TWAI listen-only</x:t>
        </x:is>
      </x:c>
    </x:row>
    <x:row r="13">
      <x:c r="A13" s="1" t="inlineStr">
        <x:is>
          <x:t xml:space="preserve">Transceiver</x:t>
        </x:is>
      </x:c>
      <x:c r="B13" s="1" t="inlineStr">
        <x:is>
          <x:t xml:space="preserve">SN65HVD230 / VP230</x:t>
        </x:is>
      </x:c>
    </x:row>
    <x:row r="14">
      <x:c r="A14" s="1" t="inlineStr">
        <x:is>
          <x:t xml:space="preserve">CAN-H</x:t>
        </x:is>
      </x:c>
      <x:c r="B14" s="1" t="inlineStr">
        <x:is>
          <x:t xml:space="preserve">OBD-II pin 6</x:t>
        </x:is>
      </x:c>
    </x:row>
    <x:row r="15">
      <x:c r="A15" s="1" t="inlineStr">
        <x:is>
          <x:t xml:space="preserve">CAN-L</x:t>
        </x:is>
      </x:c>
      <x:c r="B15" s="1" t="inlineStr">
        <x:is>
          <x:t xml:space="preserve">OBD-II pin 14</x:t>
        </x:is>
      </x:c>
    </x:row>
    <x:row r="16">
      <x:c r="A16" s="1" t="inlineStr">
        <x:is>
          <x:t xml:space="preserve">Signal ground</x:t>
        </x:is>
      </x:c>
      <x:c r="B16" s="1" t="inlineStr">
        <x:is>
          <x:t xml:space="preserve">OBD-II pin 5 wire available; not connected to VP230 GND during baseline</x:t>
        </x:is>
      </x:c>
    </x:row>
    <x:row r="17">
      <x:c r="A17" s="1" t="inlineStr">
        <x:is>
          <x:t xml:space="preserve">VP230 termination</x:t>
        </x:is>
      </x:c>
      <x:c r="B17" s="1" t="inlineStr">
        <x:is>
          <x:t xml:space="preserve">120 Ω termination disabled</x:t>
        </x:is>
      </x:c>
    </x:row>
    <x:row r="18">
      <x:c r="A18" s="1" t="inlineStr">
        <x:is>
          <x:t xml:space="preserve">USB protocol</x:t>
        </x:is>
      </x:c>
      <x:c r="B18" s="1" t="inlineStr">
        <x:is>
          <x:t xml:space="preserve">GVRET Binary to SavvyCAN</x:t>
        </x:is>
      </x:c>
    </x:row>
    <x:row r="19">
      <x:c r="A19" s="1" t="inlineStr">
        <x:is>
          <x:t xml:space="preserve">Important correction</x:t>
        </x:is>
      </x:c>
      <x:c r="B19" s="1" t="inlineStr">
        <x:is>
          <x:t xml:space="preserve">Earlier assumption of zero extended frames is incorrect; this CSV contains one extended ID (0x09F10262).</x:t>
        </x:is>
      </x:c>
    </x:row>
  </x:sheetData>
  <x:pageMargins left="0.7" right="0.7" top="0.75" bottom="0.75" header="0.3" footer="0.3"/>
  <x:tableParts count="1">
    <x:tablePart xmlns:r="http://schemas.openxmlformats.org/officeDocument/2006/relationships" r:id="R4279f9f850ce4548"/>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14" customWidth="1"/>
    <x:col min="3" max="3" width="42" customWidth="1"/>
    <x:col min="4" max="4" width="17" customWidth="1"/>
    <x:col min="5" max="5" width="10" customWidth="1"/>
    <x:col min="6" max="6" width="42" customWidth="1"/>
  </x:cols>
  <x:sheetData>
    <x:row r="1">
      <x:c r="A1" s="2" t="inlineStr">
        <x:is>
          <x:t xml:space="preserve">ID</x:t>
        </x:is>
      </x:c>
      <x:c r="B1" s="2" t="inlineStr">
        <x:is>
          <x:t xml:space="preserve">Vehicle</x:t>
        </x:is>
      </x:c>
      <x:c r="C1" s="2" t="inlineStr">
        <x:is>
          <x:t xml:space="preserve">Task</x:t>
        </x:is>
      </x:c>
      <x:c r="D1" s="2" t="inlineStr">
        <x:is>
          <x:t xml:space="preserve">Area</x:t>
        </x:is>
      </x:c>
      <x:c r="E1" s="2" t="inlineStr">
        <x:is>
          <x:t xml:space="preserve">Priority</x:t>
        </x:is>
      </x:c>
      <x:c r="F1" s="2" t="inlineStr">
        <x:is>
          <x:t xml:space="preserve">Method / Acceptance</x:t>
        </x:is>
      </x:c>
    </x:row>
    <x:row r="2">
      <x:c r="A2" s="1" t="inlineStr">
        <x:is>
          <x:t xml:space="preserve">R001</x:t>
        </x:is>
      </x:c>
      <x:c r="B2" s="1" t="inlineStr">
        <x:is>
          <x:t xml:space="preserve">Gen 2</x:t>
        </x:is>
      </x:c>
      <x:c r="C2" s="1" t="inlineStr">
        <x:is>
          <x:t xml:space="preserve">Reproduce OFF→ACC→READY capture</x:t>
        </x:is>
      </x:c>
      <x:c r="D2" s="1" t="inlineStr">
        <x:is>
          <x:t xml:space="preserve">Capture</x:t>
        </x:is>
      </x:c>
      <x:c r="E2" s="1" t="inlineStr">
        <x:is>
          <x:t xml:space="preserve">High</x:t>
        </x:is>
      </x:c>
      <x:c r="F2" s="1" t="inlineStr">
        <x:is>
          <x:t xml:space="preserve">Repeat baseline with exact event timestamps</x:t>
        </x:is>
      </x:c>
    </x:row>
    <x:row r="3">
      <x:c r="A3" s="1" t="inlineStr">
        <x:is>
          <x:t xml:space="preserve">R002</x:t>
        </x:is>
      </x:c>
      <x:c r="B3" s="1" t="inlineStr">
        <x:is>
          <x:t xml:space="preserve">Gen 2</x:t>
        </x:is>
      </x:c>
      <x:c r="C3" s="1" t="inlineStr">
        <x:is>
          <x:t xml:space="preserve">Validate 0x03B voltage/current scaling</x:t>
        </x:is>
      </x:c>
      <x:c r="D3" s="1" t="inlineStr">
        <x:is>
          <x:t xml:space="preserve">HV Battery</x:t>
        </x:is>
      </x:c>
      <x:c r="E3" s="1" t="inlineStr">
        <x:is>
          <x:t xml:space="preserve">High</x:t>
        </x:is>
      </x:c>
      <x:c r="F3" s="1" t="inlineStr">
        <x:is>
          <x:t xml:space="preserve">Compare CAN-derived values with measured pack/diagnostic values</x:t>
        </x:is>
      </x:c>
    </x:row>
    <x:row r="4">
      <x:c r="A4" s="1" t="inlineStr">
        <x:is>
          <x:t xml:space="preserve">R003</x:t>
        </x:is>
      </x:c>
      <x:c r="B4" s="1" t="inlineStr">
        <x:is>
          <x:t xml:space="preserve">Gen 2</x:t>
        </x:is>
      </x:c>
      <x:c r="C4" s="1" t="inlineStr">
        <x:is>
          <x:t xml:space="preserve">Validate 0x03CB SOC and battery temperatures</x:t>
        </x:is>
      </x:c>
      <x:c r="D4" s="1" t="inlineStr">
        <x:is>
          <x:t xml:space="preserve">HV Battery</x:t>
        </x:is>
      </x:c>
      <x:c r="E4" s="1" t="inlineStr">
        <x:is>
          <x:t xml:space="preserve">High</x:t>
        </x:is>
      </x:c>
      <x:c r="F4" s="1" t="inlineStr">
        <x:is>
          <x:t xml:space="preserve">Compare with Dr. Prius / Techstream / Autel</x:t>
        </x:is>
      </x:c>
    </x:row>
    <x:row r="5">
      <x:c r="A5" s="1" t="inlineStr">
        <x:is>
          <x:t xml:space="preserve">R004</x:t>
        </x:is>
      </x:c>
      <x:c r="B5" s="1" t="inlineStr">
        <x:is>
          <x:t xml:space="preserve">Gen 2</x:t>
        </x:is>
      </x:c>
      <x:c r="C5" s="1" t="inlineStr">
        <x:is>
          <x:t xml:space="preserve">Identify all temperature-bearing frames</x:t>
        </x:is>
      </x:c>
      <x:c r="D5" s="1" t="inlineStr">
        <x:is>
          <x:t xml:space="preserve">Thermal</x:t>
        </x:is>
      </x:c>
      <x:c r="E5" s="1" t="inlineStr">
        <x:is>
          <x:t xml:space="preserve">High</x:t>
        </x:is>
      </x:c>
      <x:c r="F5" s="1" t="inlineStr">
        <x:is>
          <x:t xml:space="preserve">Use controlled warm-up and cooling captures</x:t>
        </x:is>
      </x:c>
    </x:row>
    <x:row r="6">
      <x:c r="A6" s="1" t="inlineStr">
        <x:is>
          <x:t xml:space="preserve">R005</x:t>
        </x:is>
      </x:c>
      <x:c r="B6" s="1" t="inlineStr">
        <x:is>
          <x:t xml:space="preserve">Gen 2</x:t>
        </x:is>
      </x:c>
      <x:c r="C6" s="1" t="inlineStr">
        <x:is>
          <x:t xml:space="preserve">Separate MG1 inverter vs MG2 inverter temperatures</x:t>
        </x:is>
      </x:c>
      <x:c r="D6" s="1" t="inlineStr">
        <x:is>
          <x:t xml:space="preserve">MG1/MG2</x:t>
        </x:is>
      </x:c>
      <x:c r="E6" s="1" t="inlineStr">
        <x:is>
          <x:t xml:space="preserve">High</x:t>
        </x:is>
      </x:c>
      <x:c r="F6" s="1" t="inlineStr">
        <x:is>
          <x:t xml:space="preserve">Locate passive broadcasts first; then diagnostic cross-check</x:t>
        </x:is>
      </x:c>
    </x:row>
    <x:row r="7">
      <x:c r="A7" s="1" t="inlineStr">
        <x:is>
          <x:t xml:space="preserve">R006</x:t>
        </x:is>
      </x:c>
      <x:c r="B7" s="1" t="inlineStr">
        <x:is>
          <x:t xml:space="preserve">Gen 2</x:t>
        </x:is>
      </x:c>
      <x:c r="C7" s="1" t="inlineStr">
        <x:is>
          <x:t xml:space="preserve">Separate MG1 motor vs MG2 motor temperatures</x:t>
        </x:is>
      </x:c>
      <x:c r="D7" s="1" t="inlineStr">
        <x:is>
          <x:t xml:space="preserve">MG1/MG2</x:t>
        </x:is>
      </x:c>
      <x:c r="E7" s="1" t="inlineStr">
        <x:is>
          <x:t xml:space="preserve">High</x:t>
        </x:is>
      </x:c>
      <x:c r="F7" s="1" t="inlineStr">
        <x:is>
          <x:t xml:space="preserve">Use diagnostic 21C3/21C4 references as candidates; validate</x:t>
        </x:is>
      </x:c>
    </x:row>
    <x:row r="8">
      <x:c r="A8" s="1" t="inlineStr">
        <x:is>
          <x:t xml:space="preserve">R007</x:t>
        </x:is>
      </x:c>
      <x:c r="B8" s="1" t="inlineStr">
        <x:is>
          <x:t xml:space="preserve">Gen 2</x:t>
        </x:is>
      </x:c>
      <x:c r="C8" s="1" t="inlineStr">
        <x:is>
          <x:t xml:space="preserve">Validate 0x348 and 0x3C8 engine behavior</x:t>
        </x:is>
      </x:c>
      <x:c r="D8" s="1" t="inlineStr">
        <x:is>
          <x:t xml:space="preserve">Engine/HCU</x:t>
        </x:is>
      </x:c>
      <x:c r="E8" s="1" t="inlineStr">
        <x:is>
          <x:t xml:space="preserve">High</x:t>
        </x:is>
      </x:c>
      <x:c r="F8" s="1" t="inlineStr">
        <x:is>
          <x:t xml:space="preserve">Capture engine start, warm-up, acceleration, EV operation</x:t>
        </x:is>
      </x:c>
    </x:row>
    <x:row r="9">
      <x:c r="A9" s="1" t="inlineStr">
        <x:is>
          <x:t xml:space="preserve">R008</x:t>
        </x:is>
      </x:c>
      <x:c r="B9" s="1" t="inlineStr">
        <x:is>
          <x:t xml:space="preserve">Gen 3</x:t>
        </x:is>
      </x:c>
      <x:c r="C9" s="1" t="inlineStr">
        <x:is>
          <x:t xml:space="preserve">Map 2010 OpenDBC messages against Vass and real capture</x:t>
        </x:is>
      </x:c>
      <x:c r="D9" s="1" t="inlineStr">
        <x:is>
          <x:t xml:space="preserve">Database</x:t>
        </x:is>
      </x:c>
      <x:c r="E9" s="1" t="inlineStr">
        <x:is>
          <x:t xml:space="preserve">High</x:t>
        </x:is>
      </x:c>
      <x:c r="F9" s="1" t="inlineStr">
        <x:is>
          <x:t xml:space="preserve">Do not assume ID equivalence across generations</x:t>
        </x:is>
      </x:c>
    </x:row>
    <x:row r="10">
      <x:c r="A10" s="1" t="inlineStr">
        <x:is>
          <x:t xml:space="preserve">R009</x:t>
        </x:is>
      </x:c>
      <x:c r="B10" s="1" t="inlineStr">
        <x:is>
          <x:t xml:space="preserve">Prius PHV</x:t>
        </x:is>
      </x:c>
      <x:c r="C10" s="1" t="inlineStr">
        <x:is>
          <x:t xml:space="preserve">Build PHV-specific profile</x:t>
        </x:is>
      </x:c>
      <x:c r="D10" s="1" t="inlineStr">
        <x:is>
          <x:t xml:space="preserve">Vehicle Profile</x:t>
        </x:is>
      </x:c>
      <x:c r="E10" s="1" t="inlineStr">
        <x:is>
          <x:t xml:space="preserve">Medium</x:t>
        </x:is>
      </x:c>
      <x:c r="F10" s="1" t="inlineStr">
        <x:is>
          <x:t xml:space="preserve">Collect passive and diagnostic captures</x:t>
        </x:is>
      </x:c>
    </x:row>
    <x:row r="11">
      <x:c r="A11" s="1" t="inlineStr">
        <x:is>
          <x:t xml:space="preserve">R010</x:t>
        </x:is>
      </x:c>
      <x:c r="B11" s="1" t="inlineStr">
        <x:is>
          <x:t xml:space="preserve">Camry Hybrid</x:t>
        </x:is>
      </x:c>
      <x:c r="C11" s="1" t="inlineStr">
        <x:is>
          <x:t xml:space="preserve">Map HS-CAN and MS-CAN</x:t>
        </x:is>
      </x:c>
      <x:c r="D11" s="1" t="inlineStr">
        <x:is>
          <x:t xml:space="preserve">Vehicle Profile</x:t>
        </x:is>
      </x:c>
      <x:c r="E11" s="1" t="inlineStr">
        <x:is>
          <x:t xml:space="preserve">High</x:t>
        </x:is>
      </x:c>
      <x:c r="F11" s="1" t="inlineStr">
        <x:is>
          <x:t xml:space="preserve">Determine gateway/network access and safe capture points</x:t>
        </x:is>
      </x:c>
    </x:row>
    <x:row r="12">
      <x:c r="A12" s="1" t="inlineStr">
        <x:is>
          <x:t xml:space="preserve">R011</x:t>
        </x:is>
      </x:c>
      <x:c r="B12" s="1" t="inlineStr">
        <x:is>
          <x:t xml:space="preserve">All</x:t>
        </x:is>
      </x:c>
      <x:c r="C12" s="1" t="inlineStr">
        <x:is>
          <x:t xml:space="preserve">Cabin temperature/humidity</x:t>
        </x:is>
      </x:c>
      <x:c r="D12" s="1" t="inlineStr">
        <x:is>
          <x:t xml:space="preserve">HVAC</x:t>
        </x:is>
      </x:c>
      <x:c r="E12" s="1" t="inlineStr">
        <x:is>
          <x:t xml:space="preserve">Medium</x:t>
        </x:is>
      </x:c>
      <x:c r="F12" s="1" t="inlineStr">
        <x:is>
          <x:t xml:space="preserve">Identify broadcast/diagnostic source; do not synthesize humidity</x:t>
        </x:is>
      </x:c>
    </x:row>
    <x:row r="13">
      <x:c r="A13" s="1" t="inlineStr">
        <x:is>
          <x:t xml:space="preserve">R012</x:t>
        </x:is>
      </x:c>
      <x:c r="B13" s="1" t="inlineStr">
        <x:is>
          <x:t xml:space="preserve">All</x:t>
        </x:is>
      </x:c>
      <x:c r="C13" s="1" t="inlineStr">
        <x:is>
          <x:t xml:space="preserve">12V voltage/current/temperature</x:t>
        </x:is>
      </x:c>
      <x:c r="D13" s="1" t="inlineStr">
        <x:is>
          <x:t xml:space="preserve">12V</x:t>
        </x:is>
      </x:c>
      <x:c r="E13" s="1" t="inlineStr">
        <x:is>
          <x:t xml:space="preserve">Medium</x:t>
        </x:is>
      </x:c>
      <x:c r="F13" s="1" t="inlineStr">
        <x:is>
          <x:t xml:space="preserve">Cross-check with multimeter and diagnostic tools</x:t>
        </x:is>
      </x:c>
    </x:row>
    <x:row r="14">
      <x:c r="A14" s="1" t="inlineStr">
        <x:is>
          <x:t xml:space="preserve">R013</x:t>
        </x:is>
      </x:c>
      <x:c r="B14" s="1" t="inlineStr">
        <x:is>
          <x:t xml:space="preserve">All</x:t>
        </x:is>
      </x:c>
      <x:c r="C14" s="1" t="inlineStr">
        <x:is>
          <x:t xml:space="preserve">Automatic vehicle fingerprinting</x:t>
        </x:is>
      </x:c>
      <x:c r="D14" s="1" t="inlineStr">
        <x:is>
          <x:t xml:space="preserve">Architecture</x:t>
        </x:is>
      </x:c>
      <x:c r="E14" s="1" t="inlineStr">
        <x:is>
          <x:t xml:space="preserve">Low</x:t>
        </x:is>
      </x:c>
      <x:c r="F14" s="1" t="inlineStr">
        <x:is>
          <x:t xml:space="preserve">Use message IDs/frequencies/ECU fingerprints after profiles mature</x:t>
        </x:is>
      </x:c>
    </x:row>
    <x:row r="15">
      <x:c r="A15" s="1" t="inlineStr">
        <x:is>
          <x:t xml:space="preserve">R014</x:t>
        </x:is>
      </x:c>
      <x:c r="B15" s="1" t="inlineStr">
        <x:is>
          <x:t xml:space="preserve">ESP32</x:t>
        </x:is>
      </x:c>
      <x:c r="C15" s="1" t="inlineStr">
        <x:is>
          <x:t xml:space="preserve">SD raw logger with RAM ring buffer</x:t>
        </x:is>
      </x:c>
      <x:c r="D15" s="1" t="inlineStr">
        <x:is>
          <x:t xml:space="preserve">Firmware</x:t>
        </x:is>
      </x:c>
      <x:c r="E15" s="1" t="inlineStr">
        <x:is>
          <x:t xml:space="preserve">High</x:t>
        </x:is>
      </x:c>
      <x:c r="F15" s="1" t="inlineStr">
        <x:is>
          <x:t xml:space="preserve">Block writes; never let SD I/O stall CAN capture</x:t>
        </x:is>
      </x:c>
    </x:row>
    <x:row r="16">
      <x:c r="A16" s="1" t="inlineStr">
        <x:is>
          <x:t xml:space="preserve">R015</x:t>
        </x:is>
      </x:c>
      <x:c r="B16" s="1" t="inlineStr">
        <x:is>
          <x:t xml:space="preserve">ESP32</x:t>
        </x:is>
      </x:c>
      <x:c r="C16" s="1" t="inlineStr">
        <x:is>
          <x:t xml:space="preserve">Boot menu: CAN Capture vs Hybrid Monitor</x:t>
        </x:is>
      </x:c>
      <x:c r="D16" s="1" t="inlineStr">
        <x:is>
          <x:t xml:space="preserve">Firmware</x:t>
        </x:is>
      </x:c>
      <x:c r="E16" s="1" t="inlineStr">
        <x:is>
          <x:t xml:space="preserve">Medium</x:t>
        </x:is>
      </x:c>
      <x:c r="F16" s="1" t="inlineStr">
        <x:is>
          <x:t xml:space="preserve">Shared CAN acquisition layer; separate UI/app layer</x:t>
        </x:is>
      </x:c>
    </x:row>
    <x:row r="17">
      <x:c r="A17" t="str">
        <x:v>R016</x:v>
      </x:c>
      <x:c r="B17" t="str">
        <x:v>Camry Gen1</x:v>
      </x:c>
      <x:c r="C17" t="str">
        <x:v>Correlate 61 Camry IDs against narrated drive events</x:v>
      </x:c>
      <x:c r="D17" t="str">
        <x:v>Database</x:v>
      </x:c>
      <x:c r="E17" t="str">
        <x:v>High</x:v>
      </x:c>
      <x:c r="F17" t="str">
        <x:v>Use differential analysis around READY, ICE, gear, braking, windows, HVAC</x:v>
      </x:c>
    </x:row>
    <x:row r="18">
      <x:c r="A18" t="str">
        <x:v>R017</x:v>
      </x:c>
      <x:c r="B18" t="str">
        <x:v>Prius Gen2</x:v>
      </x:c>
      <x:c r="C18" t="str">
        <x:v>Correlate Drive Capture 02 against narration</x:v>
      </x:c>
      <x:c r="D18" t="str">
        <x:v>Database</x:v>
      </x:c>
      <x:c r="E18" t="str">
        <x:v>High</x:v>
      </x:c>
      <x:c r="F18" t="str">
        <x:v>Use event sequence first; establish explicit sync marker in future captures</x:v>
      </x:c>
    </x:row>
    <x:row r="19">
      <x:c r="A19" t="str">
        <x:v>R018</x:v>
      </x:c>
      <x:c r="B19" t="str">
        <x:v>Prius/Camry</x:v>
      </x:c>
      <x:c r="C19" t="str">
        <x:v>Investigate 16 common CAN IDs</x:v>
      </x:c>
      <x:c r="D19" t="str">
        <x:v>Cross-platform</x:v>
      </x:c>
      <x:c r="E19" t="str">
        <x:v>High</x:v>
      </x:c>
      <x:c r="F19" t="str">
        <x:v>Compare DLC, frequency and payload dynamics; do not assume same signal meaning</x:v>
      </x:c>
    </x:row>
    <x:row r="20">
      <x:c r="A20" t="str">
        <x:v>R019</x:v>
      </x:c>
      <x:c r="B20" t="str">
        <x:v>Gen2 Prius</x:v>
      </x:c>
      <x:c r="C20" t="str">
        <x:v>Implement INF 22 05 CA parser in future diagnostic mode</x:v>
      </x:c>
      <x:c r="D20" t="str">
        <x:v>Diagnostics</x:v>
      </x:c>
      <x:c r="E20" t="str">
        <x:v>Medium</x:v>
      </x:c>
      <x:c r="F20" t="str">
        <x:v>Keep physically/software separated from passive listen-only capture</x:v>
      </x:c>
    </x:row>
    <x:row r="21">
      <x:c r="A21" t="str">
        <x:v>R020</x:v>
      </x:c>
      <x:c r="B21" t="str">
        <x:v>All</x:v>
      </x:c>
      <x:c r="C21" t="str">
        <x:v>Add audio/CAN synchronization cue to capture protocol</x:v>
      </x:c>
      <x:c r="D21" t="str">
        <x:v>Research method</x:v>
      </x:c>
      <x:c r="E21" t="str">
        <x:v>High</x:v>
      </x:c>
      <x:c r="F21" t="str">
        <x:v>Use a deliberate vehicle event at recording start and state exact timestamp</x:v>
      </x:c>
    </x:row>
    <x:row r="22">
      <x:c r="A22" t="str">
        <x:v>R021</x:v>
      </x:c>
      <x:c r="B22" t="str">
        <x:v>Camry Gen1</x:v>
      </x:c>
      <x:c r="C22" t="str">
        <x:v>Identify ICE state and gear messages</x:v>
      </x:c>
      <x:c r="D22" t="str">
        <x:v>Powertrain</x:v>
      </x:c>
      <x:c r="E22" t="str">
        <x:v>High</x:v>
      </x:c>
      <x:c r="F22" t="str">
        <x:v>Exploit narrated ICE start/stop and P/R/D/B transitions</x:v>
      </x:c>
    </x:row>
    <x:row r="23">
      <x:c r="A23" t="str">
        <x:v>R022</x:v>
      </x:c>
      <x:c r="B23" t="str">
        <x:v>Camry Gen1</x:v>
      </x:c>
      <x:c r="C23" t="str">
        <x:v>Identify body/HVAC message candidates</x:v>
      </x:c>
      <x:c r="D23" t="str">
        <x:v>Body/HVAC</x:v>
      </x:c>
      <x:c r="E23" t="str">
        <x:v>Medium</x:v>
      </x:c>
      <x:c r="F23" t="str">
        <x:v>Exploit window/door/A-C/fan events from narration</x:v>
      </x:c>
    </x:row>
    <x:row r="24">
      <x:c r="A24" t="str">
        <x:v>R023</x:v>
      </x:c>
      <x:c r="B24" t="str">
        <x:v>All</x:v>
      </x:c>
      <x:c r="C24" t="str">
        <x:v>Create normalized thermal signal model</x:v>
      </x:c>
      <x:c r="D24" t="str">
        <x:v>Thermal</x:v>
      </x:c>
      <x:c r="E24" t="str">
        <x:v>High</x:v>
      </x:c>
      <x:c r="F24" t="str">
        <x:v>Separate MG1 inverter, MG2 inverter, MG1 motor, MG2 motor, converter, engine, HV battery sensor array, cabin/ambient/humidity/12V temp where actually available</x:v>
      </x:c>
    </x:row>
    <x:row r="25">
      <x:c r="A25" t="str">
        <x:v>R024</x:v>
      </x:c>
      <x:c r="B25" t="str">
        <x:v>Camry Gen1</x:v>
      </x:c>
      <x:c r="C25" t="str">
        <x:v>Corroborate 0x2C4 absolute RPM scaling</x:v>
      </x:c>
      <x:c r="D25" t="str">
        <x:v>Engine</x:v>
      </x:c>
      <x:c r="E25" t="str">
        <x:v>High</x:v>
      </x:c>
      <x:c r="F25" t="str">
        <x:v>Compare raw 0x2C4 against AP200/Techstream/Veepeak live RPM</x:v>
      </x:c>
    </x:row>
    <x:row r="26">
      <x:c r="A26" t="str">
        <x:v>R025</x:v>
      </x:c>
      <x:c r="B26" t="str">
        <x:v>Camry Gen1</x:v>
      </x:c>
      <x:c r="C26" t="str">
        <x:v>Decode 0x380 HVAC bitfield</x:v>
      </x:c>
      <x:c r="D26" t="str">
        <x:v>HVAC</x:v>
      </x:c>
      <x:c r="E26" t="str">
        <x:v>Medium</x:v>
      </x:c>
      <x:c r="F26" t="str">
        <x:v>Use explicit A/C compressor/recirc/temp-mode experiments</x:v>
      </x:c>
    </x:row>
    <x:row r="27">
      <x:c r="A27" t="str">
        <x:v>R026</x:v>
      </x:c>
      <x:c r="B27" t="str">
        <x:v>Camry Gen1</x:v>
      </x:c>
      <x:c r="C27" t="str">
        <x:v>Identify accelerator-pedal signal</x:v>
      </x:c>
      <x:c r="D27" t="str">
        <x:v>Powertrain</x:v>
      </x:c>
      <x:c r="E27" t="str">
        <x:v>High</x:v>
      </x:c>
      <x:c r="F27" t="str">
        <x:v>Controlled pedal sweeps; conventional 0x2C1 absent in this capture</x:v>
      </x:c>
    </x:row>
    <x:row r="28">
      <x:c r="A28" t="str">
        <x:v>R027</x:v>
      </x:c>
      <x:c r="B28" t="str">
        <x:v>Camry Gen1</x:v>
      </x:c>
      <x:c r="C28" t="str">
        <x:v>Identify ICE/EV state signal</x:v>
      </x:c>
      <x:c r="D28" t="str">
        <x:v>Hybrid</x:v>
      </x:c>
      <x:c r="E28" t="str">
        <x:v>High</x:v>
      </x:c>
      <x:c r="F28" t="str">
        <x:v>Use 0x2C4 plus hybrid-specific frame correlation</x:v>
      </x:c>
    </x:row>
    <x:row r="29">
      <x:c r="A29" t="str">
        <x:v>R028</x:v>
      </x:c>
      <x:c r="B29" t="str">
        <x:v>Camry Gen1</x:v>
      </x:c>
      <x:c r="C29" t="str">
        <x:v>Find MG1/MG2 speed and thermal signals</x:v>
      </x:c>
      <x:c r="D29" t="str">
        <x:v>Hybrid/Thermal</x:v>
      </x:c>
      <x:c r="E29" t="str">
        <x:v>High</x:v>
      </x:c>
      <x:c r="F29" t="str">
        <x:v>Corroborate with active diagnostic tool on passive splitter</x:v>
      </x:c>
    </x:row>
    <x:row r="30">
      <x:c r="A30" t="str">
        <x:v>R029</x:v>
      </x:c>
      <x:c r="B30" t="str">
        <x:v>All</x:v>
      </x:c>
      <x:c r="C30" t="str">
        <x:v>Compare AHV40/NHW20/ZVW30 DLC pin populations</x:v>
      </x:c>
      <x:c r="D30" t="str">
        <x:v>Hardware</x:v>
      </x:c>
      <x:c r="E30" t="str">
        <x:v>High</x:v>
      </x:c>
      <x:c r="F30" t="str">
        <x:v>Photograph and map factory salvage connectors before soldering splitter</x:v>
      </x:c>
    </x:row>
    <x:row r="31">
      <x:c r="A31" t="str">
        <x:v>R030</x:v>
      </x:c>
      <x:c r="B31" t="str">
        <x:v>Hardware</x:v>
      </x:c>
      <x:c r="C31" t="str">
        <x:v>Build passive OBD-II diagnostic splitter</x:v>
      </x:c>
      <x:c r="D31" t="str">
        <x:v>Hardware</x:v>
      </x:c>
      <x:c r="E31" t="str">
        <x:v>Medium</x:v>
      </x:c>
      <x:c r="F31" t="str">
        <x:v>Only after DLC comparison; preserve CAN twisted pair and factory-populated circuits</x:v>
      </x:c>
    </x:row>
    <x:row r="32">
      <x:c r="A32" t="str">
        <x:v>R031</x:v>
      </x:c>
      <x:c r="B32" t="str">
        <x:v>Camry Gen1</x:v>
      </x:c>
      <x:c r="C32" t="str">
        <x:v>Determine OFF-state wake/sleep contributors</x:v>
      </x:c>
      <x:c r="D32" t="str">
        <x:v>Network</x:v>
      </x:c>
      <x:c r="E32" t="str">
        <x:v>Medium</x:v>
      </x:c>
      <x:c r="F32" t="str">
        <x:v>Repeat long OFF capture with doors/fob undisturbed and time to full sleep</x:v>
      </x:c>
    </x:row>
    <x:row r="33">
      <x:c r="A33" s="20" t="str">
        <x:v>R032</x:v>
      </x:c>
      <x:c r="B33" s="20" t="str">
        <x:v>Gen 3</x:v>
      </x:c>
      <x:c r="C33" s="20" t="str">
        <x:v>Validate imported ZVW30 diagnostic PID headers and formulas</x:v>
      </x:c>
      <x:c r="D33" s="20" t="str">
        <x:v>Diagnostics</x:v>
      </x:c>
      <x:c r="E33" s="20" t="str">
        <x:v>High</x:v>
      </x:c>
      <x:c r="F33" s="20" t="str">
        <x:v>Use Techstream/Torque plus CYD raw diagnostic logs; promote individually only after agreement</x:v>
      </x:c>
    </x:row>
    <x:row r="34">
      <x:c r="A34" s="20" t="str">
        <x:v>R033</x:v>
      </x:c>
      <x:c r="B34" s="20" t="str">
        <x:v>Prius PHV</x:v>
      </x:c>
      <x:c r="C34" s="20" t="str">
        <x:v>Validate imported ZVW35/PiP diagnostic PID headers and formulas</x:v>
      </x:c>
      <x:c r="D34" s="20" t="str">
        <x:v>Diagnostics</x:v>
      </x:c>
      <x:c r="E34" s="20" t="str">
        <x:v>High</x:v>
      </x:c>
      <x:c r="F34" s="20" t="str">
        <x:v>Capture ZVW35 responses; do not substitute ordinary ZVW30 formulas</x:v>
      </x:c>
    </x:row>
    <x:row r="35">
      <x:c r="A35" s="20" t="str">
        <x:v>R034</x:v>
      </x:c>
      <x:c r="B35" s="20" t="str">
        <x:v>All</x:v>
      </x:c>
      <x:c r="C35" s="20" t="str">
        <x:v>Maintain read-only diagnostic whitelist and command quarantine</x:v>
      </x:c>
      <x:c r="D35" s="20" t="str">
        <x:v>Safety</x:v>
      </x:c>
      <x:c r="E35" s="20" t="str">
        <x:v>High</x:v>
      </x:c>
      <x:c r="F35" s="20" t="str">
        <x:v>Reject service/write requests not explicitly classified as read-only</x:v>
      </x:c>
    </x:row>
  </x:sheetData>
  <x:pageMargins left="0.7" right="0.7" top="0.75" bottom="0.75" header="0.3" footer="0.3"/>
  <x:tableParts count="1">
    <x:tablePart xmlns:r="http://schemas.openxmlformats.org/officeDocument/2006/relationships" r:id="Ra6caf82df02e4511"/>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1" customWidth="1"/>
    <x:col min="2" max="2" width="39" customWidth="1"/>
    <x:col min="3" max="3" width="42" customWidth="1"/>
    <x:col min="4" max="4" width="42" customWidth="1"/>
    <x:col min="5" max="5" width="42" customWidth="1"/>
  </x:cols>
  <x:sheetData>
    <x:row r="1">
      <x:c r="A1" s="2" t="inlineStr">
        <x:is>
          <x:t xml:space="preserve">Source ID</x:t>
        </x:is>
      </x:c>
      <x:c r="B1" s="2" t="inlineStr">
        <x:is>
          <x:t xml:space="preserve">Source</x:t>
        </x:is>
      </x:c>
      <x:c r="C1" s="2" t="inlineStr">
        <x:is>
          <x:t xml:space="preserve">Location</x:t>
        </x:is>
      </x:c>
      <x:c r="D1" s="2" t="inlineStr">
        <x:is>
          <x:t xml:space="preserve">Role</x:t>
        </x:is>
      </x:c>
      <x:c r="E1" s="2" t="inlineStr">
        <x:is>
          <x:t xml:space="preserve">Use / Caveat</x:t>
        </x:is>
      </x:c>
    </x:row>
    <x:row r="2">
      <x:c r="A2" s="1" t="inlineStr">
        <x:is>
          <x:t xml:space="preserve">S01</x:t>
        </x:is>
      </x:c>
      <x:c r="B2" s="1" t="inlineStr">
        <x:is>
          <x:t xml:space="preserve">User-provided 2004 Prius SavvyCAN CSV</x:t>
        </x:is>
      </x:c>
      <x:c r="C2" s="1" t="inlineStr">
        <x:is>
          <x:t xml:space="preserve">PRIUS_2004_BAMA_POWER_OFF_TO_READY_01.csv</x:t>
        </x:is>
      </x:c>
      <x:c r="D2" s="1" t="inlineStr">
        <x:is>
          <x:t xml:space="preserve">Primary empirical dataset</x:t>
        </x:is>
      </x:c>
      <x:c r="E2" s="1" t="inlineStr">
        <x:is>
          <x:t xml:space="preserve">403,644 frames; 58 unique IDs including one extended ID; OFF→ACC/READY test</x:t>
        </x:is>
      </x:c>
    </x:row>
    <x:row r="3">
      <x:c r="A3" s="1" t="inlineStr">
        <x:is>
          <x:t xml:space="preserve">S02</x:t>
        </x:is>
      </x:c>
      <x:c r="B3" s="1" t="inlineStr">
        <x:is>
          <x:t xml:space="preserve">Attila Vass, PriusCodes.xls</x:t>
        </x:is>
      </x:c>
      <x:c r="C3" s="1" t="inlineStr">
        <x:is>
          <x:t xml:space="preserve">User-provided workbook</x:t>
        </x:is>
      </x:c>
      <x:c r="D3" s="1" t="inlineStr">
        <x:is>
          <x:t xml:space="preserve">3rd-gen Prius THSII non-solicited CAN reference</x:t>
        </x:is>
      </x:c>
      <x:c r="E3" s="1" t="inlineStr">
        <x:is>
          <x:t xml:space="preserve">Useful cross-reference; author explicitly uses confidence/color coding and experimental notes</x:t>
        </x:is>
      </x:c>
    </x:row>
    <x:row r="4">
      <x:c r="A4" s="1" t="inlineStr">
        <x:is>
          <x:t xml:space="preserve">S03</x:t>
        </x:is>
      </x:c>
      <x:c r="B4" s="1" t="inlineStr">
        <x:is>
          <x:t xml:space="preserve">comma.ai OpenDBC</x:t>
        </x:is>
      </x:c>
      <x:c r="C4" s="1" t="inlineStr">
        <x:is>
          <x:t xml:space="preserve">https://github.com/commaai/opendbc</x:t>
        </x:is>
      </x:c>
      <x:c r="D4" s="1" t="inlineStr">
        <x:is>
          <x:t xml:space="preserve">DBC repository / reverse-engineering framework</x:t>
        </x:is>
      </x:c>
      <x:c r="E4" s="1" t="inlineStr">
        <x:is>
          <x:t xml:space="preserve">Project structure includes DBC files and CAN parsing; reverse engineering guidance recommends event-rich captures</x:t>
        </x:is>
      </x:c>
    </x:row>
    <x:row r="5">
      <x:c r="A5" s="1" t="inlineStr">
        <x:is>
          <x:t xml:space="preserve">S04</x:t>
        </x:is>
      </x:c>
      <x:c r="B5" s="1" t="inlineStr">
        <x:is>
          <x:t xml:space="preserve">OpenDBC Toyota Prius 2010 PT DBC</x:t>
        </x:is>
      </x:c>
      <x:c r="C5" s="1" t="inlineStr">
        <x:is>
          <x:t xml:space="preserve">https://github.com/commaai/opendbc/blob/master/opendbc/dbc/toyota_prius_2010_pt.dbc</x:t>
        </x:is>
      </x:c>
      <x:c r="D5" s="1" t="inlineStr">
        <x:is>
          <x:t xml:space="preserve">2010 Prius powertrain DBC</x:t>
        </x:is>
      </x:c>
      <x:c r="E5" s="1" t="inlineStr">
        <x:is>
          <x:t xml:space="preserve">Reference for signal definitions; not assumed valid for 2004</x:t>
        </x:is>
      </x:c>
    </x:row>
    <x:row r="6">
      <x:c r="A6" s="1" t="inlineStr">
        <x:is>
          <x:t xml:space="preserve">S05</x:t>
        </x:is>
      </x:c>
      <x:c r="B6" s="1" t="inlineStr">
        <x:is>
          <x:t xml:space="preserve">PriusChat 0x348 / 0x3C8 research</x:t>
        </x:is>
      </x:c>
      <x:c r="C6" s="1" t="inlineStr">
        <x:is>
          <x:t xml:space="preserve">https://priuschat.com/threads/decoding-can-messages-0x348-0x3c8-as-described-by-peef.110042/</x:t>
        </x:is>
      </x:c>
      <x:c r="D6" s="1" t="inlineStr">
        <x:is>
          <x:t xml:space="preserve">Historical Gen 2 reverse engineering</x:t>
        </x:is>
      </x:c>
      <x:c r="E6" s="1" t="inlineStr">
        <x:is>
          <x:t xml:space="preserve">Useful for engine/HV control message candidates</x:t>
        </x:is>
      </x:c>
    </x:row>
    <x:row r="7">
      <x:c r="A7" s="1" t="inlineStr">
        <x:is>
          <x:t xml:space="preserve">S06</x:t>
        </x:is>
      </x:c>
      <x:c r="B7" s="1" t="inlineStr">
        <x:is>
          <x:t xml:space="preserve">EAA Prius PHEV TechInfo</x:t>
        </x:is>
      </x:c>
      <x:c r="C7" s="1" t="inlineStr">
        <x:is>
          <x:t xml:space="preserve">https://www.eaa-phev.org/wiki/Prius_PHEV_TechInfo</x:t>
        </x:is>
      </x:c>
      <x:c r="D7" s="1" t="inlineStr">
        <x:is>
          <x:t xml:space="preserve">Prius CAN/diagnostic reference</x:t>
        </x:is>
      </x:c>
      <x:c r="E7" s="1" t="inlineStr">
        <x:is>
          <x:t xml:space="preserve">Useful for Gen 2 battery messages and diagnostic concepts</x:t>
        </x:is>
      </x:c>
    </x:row>
    <x:row r="8">
      <x:c r="A8" s="1" t="inlineStr">
        <x:is>
          <x:t xml:space="preserve">S07</x:t>
        </x:is>
      </x:c>
      <x:c r="B8" s="1" t="inlineStr">
        <x:is>
          <x:t xml:space="preserve">Paucpauc Lexus CAN IDs</x:t>
        </x:is>
      </x:c>
      <x:c r="C8" s="1" t="inlineStr">
        <x:is>
          <x:t xml:space="preserve">https://github.com/Paucpauc/lexus_canbus_id</x:t>
        </x:is>
      </x:c>
      <x:c r="D8" s="1" t="inlineStr">
        <x:is>
          <x:t xml:space="preserve">Secondary Toyota/Lexus cross-reference</x:t>
        </x:is>
      </x:c>
      <x:c r="E8" s="1" t="inlineStr">
        <x:is>
          <x:t xml:space="preserve">Use for terminology/platform clues; never assume ID equivalence</x:t>
        </x:is>
      </x:c>
    </x:row>
    <x:row r="9">
      <x:c r="A9" s="1" t="inlineStr">
        <x:is>
          <x:t xml:space="preserve">S08</x:t>
        </x:is>
      </x:c>
      <x:c r="B9" s="1" t="inlineStr">
        <x:is>
          <x:t xml:space="preserve">Toyota service/diagnostic references</x:t>
        </x:is>
      </x:c>
      <x:c r="C9" s="1" t="inlineStr">
        <x:is>
          <x:t xml:space="preserve">Various</x:t>
        </x:is>
      </x:c>
      <x:c r="D9" s="1" t="inlineStr">
        <x:is>
          <x:t xml:space="preserve">Diagnostic corroboration</x:t>
        </x:is>
      </x:c>
      <x:c r="E9" s="1" t="inlineStr">
        <x:is>
          <x:t xml:space="preserve">Use Autel/Techstream/Dr. Prius to validate actual vehicle values</x:t>
        </x:is>
      </x:c>
    </x:row>
    <x:row r="10">
      <x:c r="A10" t="str">
        <x:v>S09</x:v>
      </x:c>
      <x:c r="B10" t="str">
        <x:v>Gen2 Prius INF subcode text</x:v>
      </x:c>
      <x:c r="C10" t="str">
        <x:v>297358_subcodes(1).txt</x:v>
      </x:c>
      <x:c r="D10" t="str">
        <x:v>Gen2 HV ECU INF diagnostic map</x:v>
      </x:c>
      <x:c r="E10" t="str">
        <x:v>ATSH7E2 + 22 05 CA; 57-byte payload; source warns other generations are unverified</x:v>
      </x:c>
    </x:row>
    <x:row r="11">
      <x:c r="A11" t="str">
        <x:v>S10</x:v>
      </x:c>
      <x:c r="B11" t="str">
        <x:v>Gen2 Prius OBD2 App Review / INF discussion</x:v>
      </x:c>
      <x:c r="C11" t="str">
        <x:v>https://rentry.co/prius-inf-subcodes</x:v>
      </x:c>
      <x:c r="D11" t="str">
        <x:v>Recent community diagnostic reference</x:v>
      </x:c>
      <x:c r="E11" t="str">
        <x:v>Use as hypothesis/source; attached text is preserved as the actual basis used in v0.2</x:v>
      </x:c>
    </x:row>
    <x:row r="12">
      <x:c r="A12" t="str">
        <x:v>S11</x:v>
      </x:c>
      <x:c r="B12" t="str">
        <x:v>2004 Prius Drive Capture 02</x:v>
      </x:c>
      <x:c r="C12" t="str">
        <x:v>PRIUS_2004_BAMA_POWER_OFF_TO_DRIVE_02.csv</x:v>
      </x:c>
      <x:c r="D12" t="str">
        <x:v>Primary empirical dataset</x:v>
      </x:c>
      <x:c r="E12" t="str">
        <x:v>365,667 frames; event-rich narration available</x:v>
      </x:c>
    </x:row>
    <x:row r="13">
      <x:c r="A13" t="str">
        <x:v>S12</x:v>
      </x:c>
      <x:c r="B13" t="str">
        <x:v>2007 Camry Hybrid Drive Capture 01</x:v>
      </x:c>
      <x:c r="C13" t="str">
        <x:v>CAMRY_2007_HYBRID_POWER_OFF_TO_DRIVE_01.csv</x:v>
      </x:c>
      <x:c r="D13" t="str">
        <x:v>Primary empirical dataset</x:v>
      </x:c>
      <x:c r="E13" t="str">
        <x:v>267,498 frames; first Camry Hybrid baseline; event-rich narration available</x:v>
      </x:c>
    </x:row>
    <x:row r="14">
      <x:c r="A14" t="str">
        <x:v>S13</x:v>
      </x:c>
      <x:c r="B14" t="str">
        <x:v>2007 Camry Hybrid Drive Capture 02</x:v>
      </x:c>
      <x:c r="C14" t="str">
        <x:v>CAMRY_2007_HYBRID_POWER_OFF_TO_DRIVE_02.csv</x:v>
      </x:c>
      <x:c r="D14" t="str">
        <x:v>Primary empirical dataset</x:v>
      </x:c>
      <x:c r="E14" t="str">
        <x:v>740,728 frames; synchronized event-rich capture</x:v>
      </x:c>
    </x:row>
    <x:row r="15">
      <x:c r="A15" t="str">
        <x:v>S14</x:v>
      </x:c>
      <x:c r="B15" t="str">
        <x:v>Camry Capture 02 narration audio</x:v>
      </x:c>
      <x:c r="C15" t="str">
        <x:v>Camry_07_log_02_Voice 260816_204529_sd.m4a</x:v>
      </x:c>
      <x:c r="D15" t="str">
        <x:v>Event timing source</x:v>
      </x:c>
      <x:c r="E15" t="str">
        <x:v>Used with CAN wake/shutdown anchors; narration remains approximate</x:v>
      </x:c>
    </x:row>
    <x:row r="16">
      <x:c r="A16" t="str">
        <x:v>S15</x:v>
      </x:c>
      <x:c r="B16" t="str">
        <x:v>CSU Toyota CAN study</x:v>
      </x:c>
      <x:c r="C16" t="str">
        <x:v>https://www.engr.colostate.edu/~jdaily/tucrrc/ToyotaCAN.html</x:v>
      </x:c>
      <x:c r="D16" t="str">
        <x:v>External conventional-XV40 cross-reference</x:v>
      </x:c>
      <x:c r="E16" t="str">
        <x:v>Useful candidates only; AHV40 promotions require user capture confirmation</x:v>
      </x:c>
    </x:row>
    <x:row r="17">
      <x:c r="A17" t="str">
        <x:v>S16</x:v>
      </x:c>
      <x:c r="B17" t="str">
        <x:v>AHV40 DLC front photograph</x:v>
      </x:c>
      <x:c r="C17" t="str">
        <x:v>WIN_20260816_23_27_49_Pro.jpg</x:v>
      </x:c>
      <x:c r="D17" t="str">
        <x:v>Physical hardware reference</x:v>
      </x:c>
      <x:c r="E17" t="str">
        <x:v>Poor lighting; do not infer functions beyond physically identified pins</x:v>
      </x:c>
    </x:row>
    <x:row r="18">
      <x:c r="A18" t="str">
        <x:v>S17</x:v>
      </x:c>
      <x:c r="B18" t="str">
        <x:v>AHV40 DLC rear photograph</x:v>
      </x:c>
      <x:c r="C18" t="str">
        <x:v>WIN_20260816_23_28_53_Pro.jpg</x:v>
      </x:c>
      <x:c r="D18" t="str">
        <x:v>Physical hardware reference</x:v>
      </x:c>
      <x:c r="E18" t="str">
        <x:v>Shows partially populated harness and twisted CAN pair</x:v>
      </x:c>
    </x:row>
    <x:row r="19">
      <x:c r="A19" s="20" t="str">
        <x:v>S18</x:v>
      </x:c>
      <x:c r="B19" s="20" t="str">
        <x:v>GenIII Prius 4-24-12 (US) Torque PID list</x:v>
      </x:c>
      <x:c r="C19" s="20" t="str">
        <x:v>GenIII Prius 4-24-12 (US).csv</x:v>
      </x:c>
      <x:c r="D19" s="20" t="str">
        <x:v>Older ZVW30 diagnostic PID snapshot</x:v>
      </x:c>
      <x:c r="E19" s="20" t="str">
        <x:v>227 rows including header; candidate only; diagnostic/solicited</x:v>
      </x:c>
    </x:row>
    <x:row r="20">
      <x:c r="A20" s="20" t="str">
        <x:v>S19</x:v>
      </x:c>
      <x:c r="B20" s="20" t="str">
        <x:v>ZVW30 Custom PIDs for Torque 12Nov12</x:v>
      </x:c>
      <x:c r="C20" s="20" t="str">
        <x:v>ZVW30 Custom PIDs for Torque (Android App) 12Nov12.xlsx</x:v>
      </x:c>
      <x:c r="D20" s="20" t="str">
        <x:v>Later ZVW30 diagnostic PID source</x:v>
      </x:c>
      <x:c r="E20" s="20" t="str">
        <x:v>US and Metric sheets; Customize Options quarantined</x:v>
      </x:c>
    </x:row>
    <x:row r="21">
      <x:c r="A21" s="20" t="str">
        <x:v>S20</x:v>
      </x:c>
      <x:c r="B21" s="20" t="str">
        <x:v>Prius Plug-in / PiP PID package 1-22-2013</x:v>
      </x:c>
      <x:c r="C21" s="20" t="str">
        <x:v>PiP (US) 1-22-2013.zip</x:v>
      </x:c>
      <x:c r="D21" s="20" t="str">
        <x:v>ZVW35 PHV diagnostic PID source</x:v>
      </x:c>
      <x:c r="E21" s="20" t="str">
        <x:v>Advanced, Basic and Config files; Config commands quarantined</x:v>
      </x:c>
    </x:row>
    <x:row r="22">
      <x:c r="A22" s="20" t="str">
        <x:v>S21</x:v>
      </x:c>
      <x:c r="B22" s="20" t="str">
        <x:v>Normalized v0.4 PID source audit</x:v>
      </x:c>
      <x:c r="C22" s="20" t="str">
        <x:v>PID Source Audit / ZVW30 / ZVW35 sheets</x:v>
      </x:c>
      <x:c r="D22" s="20" t="str">
        <x:v>Profile-separated import and header inventory</x:v>
      </x:c>
      <x:c r="E22" s="20" t="str">
        <x:v>Every imported mapping remains CANDIDATE until target-vehicle validation</x:v>
      </x:c>
    </x:row>
  </x:sheetData>
  <x:pageMargins left="0.7" right="0.7" top="0.75" bottom="0.75" header="0.3" footer="0.3"/>
  <x:tableParts count="1">
    <x:tablePart xmlns:r="http://schemas.openxmlformats.org/officeDocument/2006/relationships" r:id="Re2f31a5cd07943a2"/>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8" customWidth="1"/>
    <x:col min="2" max="2" width="33" customWidth="1"/>
    <x:col min="3" max="3" width="27" customWidth="1"/>
    <x:col min="4" max="4" width="21" customWidth="1"/>
    <x:col min="5" max="5" width="48" customWidth="1"/>
    <x:col min="6" max="6" width="48" customWidth="1"/>
    <x:col min="7" max="7" width="48" customWidth="1"/>
    <x:col min="8" max="8" width="37" customWidth="1"/>
    <x:col min="9" max="9" width="48" customWidth="1"/>
    <x:col min="10" max="10" width="34" customWidth="1"/>
    <x:col min="11" max="11" width="27" customWidth="1"/>
    <x:col min="12" max="12" width="48" customWidth="1"/>
    <x:col min="13" max="13" width="48" customWidth="1"/>
  </x:cols>
  <x:sheetData>
    <x:row r="1">
      <x:c r="A1" s="2" t="inlineStr">
        <x:is>
          <x:t xml:space="preserve">    CAN traffic IDs and meanings on the 3rd generation Prius ( THSII ) in non-solicited mode ( as in these are on the CAN without putting request on the CAN ).</x:t>
        </x:is>
      </x:c>
      <x:c r="B1" s="2" t="inlineStr">
        <x:is>
          <x:t xml:space="preserve"/>
        </x:is>
      </x:c>
      <x:c r="C1" s="2" t="inlineStr">
        <x:is>
          <x:t xml:space="preserve"/>
        </x:is>
      </x:c>
      <x:c r="D1" s="2" t="inlineStr">
        <x:is>
          <x:t xml:space="preserve"/>
        </x:is>
      </x:c>
      <x:c r="E1" s="2" t="inlineStr">
        <x:is>
          <x:t xml:space="preserve"/>
        </x:is>
      </x:c>
      <x:c r="F1" s="2" t="inlineStr">
        <x:is>
          <x:t xml:space="preserve"/>
        </x:is>
      </x:c>
      <x:c r="G1" s="2" t="inlineStr">
        <x:is>
          <x:t xml:space="preserve"/>
        </x:is>
      </x:c>
      <x:c r="H1" s="2" t="inlineStr">
        <x:is>
          <x:t xml:space="preserve"/>
        </x:is>
      </x:c>
      <x:c r="I1" s="2" t="inlineStr">
        <x:is>
          <x:t xml:space="preserve"/>
        </x:is>
      </x:c>
      <x:c r="J1" s="2" t="inlineStr">
        <x:is>
          <x:t xml:space="preserve"/>
        </x:is>
      </x:c>
      <x:c r="K1" s="2" t="inlineStr">
        <x:is>
          <x:t xml:space="preserve"/>
        </x:is>
      </x:c>
      <x:c r="L1" s="2" t="inlineStr">
        <x:is>
          <x:t xml:space="preserve"/>
        </x:is>
      </x:c>
      <x:c r="M1" s="2" t="inlineStr">
        <x:is>
          <x:t xml:space="preserve"/>
        </x:is>
      </x:c>
    </x:row>
    <x:row r="2">
      <x:c r="A2" s="1" t="n"/>
      <x:c r="B2" s="1" t="n"/>
      <x:c r="C2" s="1" t="n"/>
      <x:c r="D2" s="1" t="n"/>
      <x:c r="E2" s="1" t="n"/>
      <x:c r="F2" s="1" t="n"/>
      <x:c r="G2" s="1" t="n"/>
      <x:c r="H2" s="1" t="n"/>
      <x:c r="I2" s="1" t="n"/>
      <x:c r="J2" s="1" t="n"/>
      <x:c r="K2" s="1" t="n"/>
      <x:c r="L2" s="1" t="n"/>
      <x:c r="M2" s="1" t="n"/>
    </x:row>
    <x:row r="3">
      <x:c r="A3" s="1" t="inlineStr">
        <x:is>
          <x:t xml:space="preserve">    Color codes = Confirmed, Almost sure, Hunch, No idea.     (*) means I am using it in my onboard computer...</x:t>
        </x:is>
      </x:c>
      <x:c r="B3" s="1" t="n"/>
      <x:c r="C3" s="1" t="n"/>
      <x:c r="D3" s="1" t="n"/>
      <x:c r="E3" s="1" t="n"/>
      <x:c r="F3" s="1" t="n"/>
      <x:c r="G3" s="1" t="n"/>
      <x:c r="H3" s="1" t="n"/>
      <x:c r="I3" s="1" t="n"/>
      <x:c r="J3" s="1" t="n"/>
      <x:c r="K3" s="1" t="n"/>
      <x:c r="L3" s="1" t="n"/>
      <x:c r="M3" s="1" t="n"/>
    </x:row>
    <x:row r="4">
      <x:c r="A4" s="1" t="n"/>
      <x:c r="B4" s="1" t="n"/>
      <x:c r="C4" s="1" t="n"/>
      <x:c r="D4" s="1" t="n"/>
      <x:c r="E4" s="1" t="n"/>
      <x:c r="F4" s="1" t="n"/>
      <x:c r="G4" s="1" t="n"/>
      <x:c r="H4" s="1" t="n"/>
      <x:c r="I4" s="1" t="n"/>
      <x:c r="J4" s="1" t="n"/>
      <x:c r="K4" s="1" t="n"/>
      <x:c r="L4" s="1" t="n"/>
      <x:c r="M4" s="1" t="n"/>
    </x:row>
    <x:row r="5">
      <x:c r="A5" s="1" t="inlineStr">
        <x:is>
          <x:t xml:space="preserve">ID</x:t>
        </x:is>
      </x:c>
      <x:c r="B5" s="1" t="inlineStr">
        <x:is>
          <x:t xml:space="preserve">Desc.</x:t>
        </x:is>
      </x:c>
      <x:c r="C5" s="1" t="inlineStr">
        <x:is>
          <x:t xml:space="preserve">f/s</x:t>
        </x:is>
      </x:c>
      <x:c r="D5" s="1" t="inlineStr">
        <x:is>
          <x:t xml:space="preserve">Length</x:t>
        </x:is>
      </x:c>
      <x:c r="E5" s="1" t="inlineStr">
        <x:is>
          <x:t xml:space="preserve">#0</x:t>
        </x:is>
      </x:c>
      <x:c r="F5" s="1" t="inlineStr">
        <x:is>
          <x:t xml:space="preserve">#1</x:t>
        </x:is>
      </x:c>
      <x:c r="G5" s="1" t="inlineStr">
        <x:is>
          <x:t xml:space="preserve">#2</x:t>
        </x:is>
      </x:c>
      <x:c r="H5" s="1" t="inlineStr">
        <x:is>
          <x:t xml:space="preserve">#3</x:t>
        </x:is>
      </x:c>
      <x:c r="I5" s="1" t="inlineStr">
        <x:is>
          <x:t xml:space="preserve">#4</x:t>
        </x:is>
      </x:c>
      <x:c r="J5" s="1" t="inlineStr">
        <x:is>
          <x:t xml:space="preserve">#5</x:t>
        </x:is>
      </x:c>
      <x:c r="K5" s="1" t="inlineStr">
        <x:is>
          <x:t xml:space="preserve">#6</x:t>
        </x:is>
      </x:c>
      <x:c r="L5" s="1" t="inlineStr">
        <x:is>
          <x:t xml:space="preserve">#7</x:t>
        </x:is>
      </x:c>
      <x:c r="M5" s="1" t="inlineStr">
        <x:is>
          <x:t xml:space="preserve">Comment</x:t>
        </x:is>
      </x:c>
    </x:row>
    <x:row r="6">
      <x:c r="A6" s="1" t="n">
        <x:v>2</x:v>
      </x:c>
      <x:c r="B6" s="1" t="n"/>
      <x:c r="C6" s="1" t="inlineStr">
        <x:is>
          <x:t xml:space="preserve">&lt;&lt;1</x:t>
        </x:is>
      </x:c>
      <x:c r="D6" s="1" t="n">
        <x:v>4</x:v>
      </x:c>
      <x:c r="E6" s="1" t="n"/>
      <x:c r="F6" s="1" t="n"/>
      <x:c r="G6" s="1" t="n"/>
      <x:c r="H6" s="1" t="n"/>
      <x:c r="I6" s="1" t="n"/>
      <x:c r="J6" s="1" t="n"/>
      <x:c r="K6" s="1" t="n"/>
      <x:c r="L6" s="1" t="n"/>
      <x:c r="M6" s="1" t="n"/>
    </x:row>
    <x:row r="7">
      <x:c r="A7" s="1" t="n">
        <x:v>20</x:v>
      </x:c>
      <x:c r="B7" s="1" t="n"/>
      <x:c r="C7" s="1" t="inlineStr">
        <x:is>
          <x:t xml:space="preserve">78~79</x:t>
        </x:is>
      </x:c>
      <x:c r="D7" s="1" t="n">
        <x:v>3</x:v>
      </x:c>
      <x:c r="E7" s="1" t="inlineStr">
        <x:is>
          <x:t xml:space="preserve">----</x:t>
        </x:is>
      </x:c>
      <x:c r="F7" s="1" t="inlineStr">
        <x:is>
          <x:t xml:space="preserve">----</x:t>
        </x:is>
      </x:c>
      <x:c r="G7" s="1" t="inlineStr">
        <x:is>
          <x:t xml:space="preserve">----</x:t>
        </x:is>
      </x:c>
      <x:c r="H7" s="1" t="inlineStr">
        <x:is>
          <x:t xml:space="preserve">----</x:t>
        </x:is>
      </x:c>
      <x:c r="I7" s="1" t="inlineStr">
        <x:is>
          <x:t xml:space="preserve">----</x:t>
        </x:is>
      </x:c>
      <x:c r="J7" s="1" t="inlineStr">
        <x:is>
          <x:t xml:space="preserve">----</x:t>
        </x:is>
      </x:c>
      <x:c r="K7" s="1" t="inlineStr">
        <x:is>
          <x:t xml:space="preserve">----</x:t>
        </x:is>
      </x:c>
      <x:c r="L7" s="1" t="inlineStr">
        <x:is>
          <x:t xml:space="preserve">----</x:t>
        </x:is>
      </x:c>
      <x:c r="M7" s="1" t="inlineStr">
        <x:is>
          <x:t xml:space="preserve">Quite constant with ocasional peeks</x:t>
        </x:is>
      </x:c>
    </x:row>
    <x:row r="8">
      <x:c r="A8" s="1" t="n">
        <x:v>22</x:v>
      </x:c>
      <x:c r="B8" s="1" t="inlineStr">
        <x:is>
          <x:t xml:space="preserve">Sideway acceleration sensor</x:t>
        </x:is>
      </x:c>
      <x:c r="C8" s="1" t="n">
        <x:v>35</x:v>
      </x:c>
      <x:c r="D8" s="1" t="n">
        <x:v>8</x:v>
      </x:c>
      <x:c r="E8" s="1" t="inlineStr">
        <x:is>
          <x:t xml:space="preserve">#0#1 : force value, 0x200 neutral, decreases with force pointing left, incresases with right</x:t>
        </x:is>
      </x:c>
      <x:c r="F8" s="1" t="n"/>
      <x:c r="G8" s="1" t="inlineStr">
        <x:is>
          <x:t xml:space="preserve">----</x:t>
        </x:is>
      </x:c>
      <x:c r="H8" s="1" t="inlineStr">
        <x:is>
          <x:t xml:space="preserve">----</x:t>
        </x:is>
      </x:c>
      <x:c r="I8" s="1" t="inlineStr">
        <x:is>
          <x:t xml:space="preserve">----</x:t>
        </x:is>
      </x:c>
      <x:c r="J8" s="1" t="inlineStr">
        <x:is>
          <x:t xml:space="preserve">----</x:t>
        </x:is>
      </x:c>
      <x:c r="K8" s="1" t="inlineStr">
        <x:is>
          <x:t xml:space="preserve">----</x:t>
        </x:is>
      </x:c>
      <x:c r="L8" s="1" t="inlineStr">
        <x:is>
          <x:t xml:space="preserve">----</x:t>
        </x:is>
      </x:c>
      <x:c r="M8" s="1" t="inlineStr">
        <x:is>
          <x:t xml:space="preserve">Measured range : 0x150 - 0x200 - 0x2C0</x:t>
        </x:is>
      </x:c>
    </x:row>
    <x:row r="9">
      <x:c r="A9" s="1" t="n">
        <x:v>23</x:v>
      </x:c>
      <x:c r="B9" s="1" t="inlineStr">
        <x:is>
          <x:t xml:space="preserve">Acceleration sensor</x:t>
        </x:is>
      </x:c>
      <x:c r="C9" s="1" t="inlineStr">
        <x:is>
          <x:t xml:space="preserve">~22.5</x:t>
        </x:is>
      </x:c>
      <x:c r="D9" s="1" t="n">
        <x:v>7</x:v>
      </x:c>
      <x:c r="E9" s="1" t="inlineStr">
        <x:is>
          <x:t xml:space="preserve">#0#1 : force value, 0x200 neutral, decreases with force pointing forward, increases with acceleration</x:t>
        </x:is>
      </x:c>
      <x:c r="F9" s="1" t="n"/>
      <x:c r="G9" s="1" t="inlineStr">
        <x:is>
          <x:t xml:space="preserve">----</x:t>
        </x:is>
      </x:c>
      <x:c r="H9" s="1" t="inlineStr">
        <x:is>
          <x:t xml:space="preserve">----</x:t>
        </x:is>
      </x:c>
      <x:c r="I9" s="1" t="inlineStr">
        <x:is>
          <x:t xml:space="preserve">----</x:t>
        </x:is>
      </x:c>
      <x:c r="J9" s="1" t="inlineStr">
        <x:is>
          <x:t xml:space="preserve">----</x:t>
        </x:is>
      </x:c>
      <x:c r="K9" s="1" t="inlineStr">
        <x:is>
          <x:t xml:space="preserve">----</x:t>
        </x:is>
      </x:c>
      <x:c r="L9" s="1" t="inlineStr">
        <x:is>
          <x:t xml:space="preserve">----</x:t>
        </x:is>
      </x:c>
      <x:c r="M9" s="1" t="inlineStr">
        <x:is>
          <x:t xml:space="preserve">Measured range : 0x1B0 - 0x200 - 0x260</x:t>
        </x:is>
      </x:c>
    </x:row>
    <x:row r="10">
      <x:c r="A10" s="1" t="n">
        <x:v>25</x:v>
      </x:c>
      <x:c r="B10" s="1" t="inlineStr">
        <x:is>
          <x:t xml:space="preserve">Steering</x:t>
        </x:is>
      </x:c>
      <x:c r="C10" s="1" t="inlineStr">
        <x:is>
          <x:t xml:space="preserve">O/D (55~60)</x:t>
        </x:is>
      </x:c>
      <x:c r="D10" s="1" t="n">
        <x:v>8</x:v>
      </x:c>
      <x:c r="E10" s="1" t="inlineStr">
        <x:is>
          <x:t xml:space="preserve">#0#1 : Angle ( Left most = 0x1BC, Neutral = 0, Right most = 0xE48 )</x:t>
        </x:is>
      </x:c>
      <x:c r="F10" s="1" t="n"/>
      <x:c r="G10" s="1" t="inlineStr">
        <x:is>
          <x:t xml:space="preserve">----</x:t>
        </x:is>
      </x:c>
      <x:c r="H10" s="1" t="inlineStr">
        <x:is>
          <x:t xml:space="preserve">----</x:t>
        </x:is>
      </x:c>
      <x:c r="I10" s="1" t="inlineStr">
        <x:is>
          <x:t xml:space="preserve">Power assist ?</x:t>
        </x:is>
      </x:c>
      <x:c r="J10" s="1" t="n"/>
      <x:c r="K10" s="1" t="inlineStr">
        <x:is>
          <x:t xml:space="preserve">----</x:t>
        </x:is>
      </x:c>
      <x:c r="L10" s="1" t="inlineStr">
        <x:is>
          <x:t xml:space="preserve">----</x:t>
        </x:is>
      </x:c>
      <x:c r="M10" s="1" t="inlineStr">
        <x:is>
          <x:t xml:space="preserve">Range is likely to be Prius dependent</x:t>
        </x:is>
      </x:c>
    </x:row>
    <x:row r="11">
      <x:c r="A11" s="1" t="n">
        <x:v>30</x:v>
      </x:c>
      <x:c r="B11" s="1" t="inlineStr">
        <x:is>
          <x:t xml:space="preserve">Brakes</x:t>
        </x:is>
      </x:c>
      <x:c r="C11" s="1" t="inlineStr">
        <x:is>
          <x:t xml:space="preserve">O/D (170~190)</x:t>
        </x:is>
      </x:c>
      <x:c r="D11" s="1" t="n">
        <x:v>8</x:v>
      </x:c>
      <x:c r="E11" s="1" t="inlineStr">
        <x:is>
          <x:t xml:space="preserve">bit#7 : 0=pressed 1=released  ( 0x84 Not pressed / 0x04 Pressed )</x:t>
        </x:is>
      </x:c>
      <x:c r="F11" s="1" t="inlineStr">
        <x:is>
          <x:t xml:space="preserve">----</x:t>
        </x:is>
      </x:c>
      <x:c r="G11" s="1" t="inlineStr">
        <x:is>
          <x:t xml:space="preserve">----</x:t>
        </x:is>
      </x:c>
      <x:c r="H11" s="1" t="inlineStr">
        <x:is>
          <x:t xml:space="preserve">----</x:t>
        </x:is>
      </x:c>
      <x:c r="I11" s="1" t="inlineStr">
        <x:is>
          <x:t xml:space="preserve">Strength ( 0:out ~ 0x7F:pushed in )</x:t>
        </x:is>
      </x:c>
      <x:c r="J11" s="1" t="inlineStr">
        <x:is>
          <x:t xml:space="preserve">----</x:t>
        </x:is>
      </x:c>
      <x:c r="K11" s="1" t="inlineStr">
        <x:is>
          <x:t xml:space="preserve">----</x:t>
        </x:is>
      </x:c>
      <x:c r="L11" s="1" t="inlineStr">
        <x:is>
          <x:t xml:space="preserve">----</x:t>
        </x:is>
      </x:c>
      <x:c r="M11" s="1" t="n"/>
    </x:row>
    <x:row r="12">
      <x:c r="A12" s="1" t="n">
        <x:v>38</x:v>
      </x:c>
      <x:c r="B12" s="1" t="inlineStr">
        <x:is>
          <x:t xml:space="preserve">ICE</x:t>
        </x:is>
      </x:c>
      <x:c r="C12" s="1" t="n">
        <x:v>105</x:v>
      </x:c>
      <x:c r="D12" s="1" t="n">
        <x:v>7</x:v>
      </x:c>
      <x:c r="E12" s="1" t="inlineStr">
        <x:is>
          <x:t xml:space="preserve">----</x:t>
        </x:is>
      </x:c>
      <x:c r="F12" s="1" t="inlineStr">
        <x:is>
          <x:t xml:space="preserve">rpm?</x:t>
        </x:is>
      </x:c>
      <x:c r="G12" s="1" t="inlineStr">
        <x:is>
          <x:t xml:space="preserve">----</x:t>
        </x:is>
      </x:c>
      <x:c r="H12" s="1" t="inlineStr">
        <x:is>
          <x:t xml:space="preserve">----</x:t>
        </x:is>
      </x:c>
      <x:c r="I12" s="1" t="inlineStr">
        <x:is>
          <x:t xml:space="preserve">----</x:t>
        </x:is>
      </x:c>
      <x:c r="J12" s="1" t="inlineStr">
        <x:is>
          <x:t xml:space="preserve">----</x:t>
        </x:is>
      </x:c>
      <x:c r="K12" s="1" t="inlineStr">
        <x:is>
          <x:t xml:space="preserve">----</x:t>
        </x:is>
      </x:c>
      <x:c r="L12" s="1" t="inlineStr">
        <x:is>
          <x:t xml:space="preserve">----</x:t>
        </x:is>
      </x:c>
      <x:c r="M12" s="1" t="n"/>
    </x:row>
    <x:row r="13">
      <x:c r="A13" s="1" t="n">
        <x:v>39</x:v>
      </x:c>
      <x:c r="B13" s="1" t="inlineStr">
        <x:is>
          <x:t xml:space="preserve">ICE</x:t>
        </x:is>
      </x:c>
      <x:c r="C13" s="1" t="inlineStr">
        <x:is>
          <x:t xml:space="preserve">94~95</x:t>
        </x:is>
      </x:c>
      <x:c r="D13" s="1" t="n">
        <x:v>4</x:v>
      </x:c>
      <x:c r="E13" s="1" t="inlineStr">
        <x:is>
          <x:t xml:space="preserve">Engine Temp in Celsius</x:t>
        </x:is>
      </x:c>
      <x:c r="F13" s="1" t="inlineStr">
        <x:is>
          <x:t xml:space="preserve">----</x:t>
        </x:is>
      </x:c>
      <x:c r="G13" s="1" t="inlineStr">
        <x:is>
          <x:t xml:space="preserve">Throttle related (?)</x:t>
        </x:is>
      </x:c>
      <x:c r="H13" s="1" t="inlineStr">
        <x:is>
          <x:t xml:space="preserve">----</x:t>
        </x:is>
      </x:c>
      <x:c r="I13" s="1" t="inlineStr">
        <x:is>
          <x:t xml:space="preserve">----</x:t>
        </x:is>
      </x:c>
      <x:c r="J13" s="1" t="inlineStr">
        <x:is>
          <x:t xml:space="preserve">----</x:t>
        </x:is>
      </x:c>
      <x:c r="K13" s="1" t="inlineStr">
        <x:is>
          <x:t xml:space="preserve">----</x:t>
        </x:is>
      </x:c>
      <x:c r="L13" s="1" t="inlineStr">
        <x:is>
          <x:t xml:space="preserve">----</x:t>
        </x:is>
      </x:c>
      <x:c r="M13" s="1" t="n"/>
    </x:row>
    <x:row r="14">
      <x:c r="A14" s="1" t="inlineStr">
        <x:is>
          <x:t xml:space="preserve">3A</x:t>
        </x:is>
      </x:c>
      <x:c r="B14" s="1" t="inlineStr">
        <x:is>
          <x:t xml:space="preserve">Gas / Torque / EM Current ?</x:t>
        </x:is>
      </x:c>
      <x:c r="C14" s="1" t="inlineStr">
        <x:is>
          <x:t xml:space="preserve">99~100</x:t>
        </x:is>
      </x:c>
      <x:c r="D14" s="1" t="n">
        <x:v>7</x:v>
      </x:c>
      <x:c r="E14" s="1" t="inlineStr">
        <x:is>
          <x:t xml:space="preserve">No Chg when ICE off</x:t>
        </x:is>
      </x:c>
      <x:c r="F14" s="1" t="n"/>
      <x:c r="G14" s="1" t="inlineStr">
        <x:is>
          <x:t xml:space="preserve">No Chg when ICE off</x:t>
        </x:is>
      </x:c>
      <x:c r="H14" s="1" t="inlineStr">
        <x:is>
          <x:t xml:space="preserve">No Chg when ICE off</x:t>
        </x:is>
      </x:c>
      <x:c r="I14" s="1" t="inlineStr">
        <x:is>
          <x:t xml:space="preserve">No Chg when ICE off</x:t>
        </x:is>
      </x:c>
      <x:c r="J14" s="1" t="inlineStr">
        <x:is>
          <x:t xml:space="preserve">No Chg when ICE off</x:t>
        </x:is>
      </x:c>
      <x:c r="K14" s="1" t="inlineStr">
        <x:is>
          <x:t xml:space="preserve">Jitter when ICE off</x:t>
        </x:is>
      </x:c>
      <x:c r="L14" s="1" t="inlineStr">
        <x:is>
          <x:t xml:space="preserve">----</x:t>
        </x:is>
      </x:c>
      <x:c r="M14" s="1" t="n"/>
    </x:row>
    <x:row r="15">
      <x:c r="A15" s="1" t="inlineStr">
        <x:is>
          <x:t xml:space="preserve">3B</x:t>
        </x:is>
      </x:c>
      <x:c r="B15" s="1" t="inlineStr">
        <x:is>
          <x:t xml:space="preserve">EM Current (*)</x:t>
        </x:is>
      </x:c>
      <x:c r="C15" s="1" t="n">
        <x:v>97</x:v>
      </x:c>
      <x:c r="D15" s="1" t="n">
        <x:v>5</x:v>
      </x:c>
      <x:c r="E15" s="1" t="inlineStr">
        <x:is>
          <x:t xml:space="preserve">12 bit signed number ( + discharge ) unit is 0.1A</x:t>
        </x:is>
      </x:c>
      <x:c r="F15" s="1" t="n"/>
      <x:c r="G15" s="1" t="inlineStr">
        <x:is>
          <x:t xml:space="preserve">battery pack voltage, unit is 1V</x:t>
        </x:is>
      </x:c>
      <x:c r="H15" s="1" t="n"/>
      <x:c r="I15" s="1" t="inlineStr">
        <x:is>
          <x:t xml:space="preserve">----</x:t>
        </x:is>
      </x:c>
      <x:c r="J15" s="1" t="inlineStr">
        <x:is>
          <x:t xml:space="preserve">----</x:t>
        </x:is>
      </x:c>
      <x:c r="K15" s="1" t="inlineStr">
        <x:is>
          <x:t xml:space="preserve">----</x:t>
        </x:is>
      </x:c>
      <x:c r="L15" s="1" t="inlineStr">
        <x:is>
          <x:t xml:space="preserve">----</x:t>
        </x:is>
      </x:c>
      <x:c r="M15" s="1" t="inlineStr">
        <x:is>
          <x:t xml:space="preserve">Current drawn ?</x:t>
        </x:is>
      </x:c>
    </x:row>
    <x:row r="16">
      <x:c r="A16" s="1" t="inlineStr">
        <x:is>
          <x:t xml:space="preserve">3E</x:t>
        </x:is>
      </x:c>
      <x:c r="B16" s="1" t="inlineStr">
        <x:is>
          <x:t xml:space="preserve">gear rotation ?</x:t>
        </x:is>
      </x:c>
      <x:c r="C16" s="1" t="n">
        <x:v>95</x:v>
      </x:c>
      <x:c r="D16" s="1" t="n">
        <x:v>3</x:v>
      </x:c>
      <x:c r="E16" s="1" t="inlineStr">
        <x:is>
          <x:t xml:space="preserve">Value                                                </x:t>
        </x:is>
      </x:c>
      <x:c r="F16" s="1" t="n"/>
      <x:c r="G16" s="1" t="inlineStr">
        <x:is>
          <x:t xml:space="preserve">----</x:t>
        </x:is>
      </x:c>
      <x:c r="H16" s="1" t="inlineStr">
        <x:is>
          <x:t xml:space="preserve">----</x:t>
        </x:is>
      </x:c>
      <x:c r="I16" s="1" t="inlineStr">
        <x:is>
          <x:t xml:space="preserve">----</x:t>
        </x:is>
      </x:c>
      <x:c r="J16" s="1" t="inlineStr">
        <x:is>
          <x:t xml:space="preserve">----</x:t>
        </x:is>
      </x:c>
      <x:c r="K16" s="1" t="inlineStr">
        <x:is>
          <x:t xml:space="preserve">----</x:t>
        </x:is>
      </x:c>
      <x:c r="L16" s="1" t="inlineStr">
        <x:is>
          <x:t xml:space="preserve">----</x:t>
        </x:is>
      </x:c>
      <x:c r="M16" s="1" t="inlineStr">
        <x:is>
          <x:t xml:space="preserve">minor vibrations ( 0x0x80 range )</x:t>
        </x:is>
      </x:c>
    </x:row>
    <x:row r="17">
      <x:c r="A17" s="1" t="n">
        <x:v>60</x:v>
      </x:c>
      <x:c r="B17" s="1" t="n"/>
      <x:c r="C17" s="1" t="inlineStr">
        <x:is>
          <x:t xml:space="preserve">&lt;&lt;1</x:t>
        </x:is>
      </x:c>
      <x:c r="D17" s="1" t="n">
        <x:v>7</x:v>
      </x:c>
      <x:c r="E17" s="1" t="inlineStr">
        <x:is>
          <x:t xml:space="preserve">----</x:t>
        </x:is>
      </x:c>
      <x:c r="F17" s="1" t="inlineStr">
        <x:is>
          <x:t xml:space="preserve">----</x:t>
        </x:is>
      </x:c>
      <x:c r="G17" s="1" t="inlineStr">
        <x:is>
          <x:t xml:space="preserve">----</x:t>
        </x:is>
      </x:c>
      <x:c r="H17" s="1" t="inlineStr">
        <x:is>
          <x:t xml:space="preserve">----</x:t>
        </x:is>
      </x:c>
      <x:c r="I17" s="1" t="inlineStr">
        <x:is>
          <x:t xml:space="preserve">----</x:t>
        </x:is>
      </x:c>
      <x:c r="J17" s="1" t="inlineStr">
        <x:is>
          <x:t xml:space="preserve">----</x:t>
        </x:is>
      </x:c>
      <x:c r="K17" s="1" t="inlineStr">
        <x:is>
          <x:t xml:space="preserve">----</x:t>
        </x:is>
      </x:c>
      <x:c r="L17" s="1" t="inlineStr">
        <x:is>
          <x:t xml:space="preserve">----</x:t>
        </x:is>
      </x:c>
      <x:c r="M17" s="1" t="n"/>
    </x:row>
    <x:row r="18">
      <x:c r="A18" s="1" t="n">
        <x:v>87</x:v>
      </x:c>
      <x:c r="B18" s="1" t="n"/>
      <x:c r="C18" s="1" t="inlineStr">
        <x:is>
          <x:t xml:space="preserve">&lt;&lt;1</x:t>
        </x:is>
      </x:c>
      <x:c r="D18" s="1" t="n">
        <x:v>8</x:v>
      </x:c>
      <x:c r="E18" s="1" t="inlineStr">
        <x:is>
          <x:t xml:space="preserve">----</x:t>
        </x:is>
      </x:c>
      <x:c r="F18" s="1" t="inlineStr">
        <x:is>
          <x:t xml:space="preserve">----</x:t>
        </x:is>
      </x:c>
      <x:c r="G18" s="1" t="inlineStr">
        <x:is>
          <x:t xml:space="preserve">----</x:t>
        </x:is>
      </x:c>
      <x:c r="H18" s="1" t="inlineStr">
        <x:is>
          <x:t xml:space="preserve">----</x:t>
        </x:is>
      </x:c>
      <x:c r="I18" s="1" t="inlineStr">
        <x:is>
          <x:t xml:space="preserve">----</x:t>
        </x:is>
      </x:c>
      <x:c r="J18" s="1" t="inlineStr">
        <x:is>
          <x:t xml:space="preserve">----</x:t>
        </x:is>
      </x:c>
      <x:c r="K18" s="1" t="inlineStr">
        <x:is>
          <x:t xml:space="preserve">----</x:t>
        </x:is>
      </x:c>
      <x:c r="L18" s="1" t="inlineStr">
        <x:is>
          <x:t xml:space="preserve">----</x:t>
        </x:is>
      </x:c>
      <x:c r="M18" s="1" t="n"/>
    </x:row>
    <x:row r="19">
      <x:c r="A19" s="1" t="inlineStr">
        <x:is>
          <x:t xml:space="preserve">B0</x:t>
        </x:is>
      </x:c>
      <x:c r="B19" s="1" t="n"/>
      <x:c r="C19" s="1" t="inlineStr">
        <x:is>
          <x:t xml:space="preserve">&lt;&lt;1</x:t>
        </x:is>
      </x:c>
      <x:c r="D19" s="1" t="n">
        <x:v>3</x:v>
      </x:c>
      <x:c r="E19" s="1" t="n"/>
      <x:c r="F19" s="1" t="inlineStr">
        <x:is>
          <x:t xml:space="preserve">----</x:t>
        </x:is>
      </x:c>
      <x:c r="G19" s="1" t="inlineStr">
        <x:is>
          <x:t xml:space="preserve">----</x:t>
        </x:is>
      </x:c>
      <x:c r="H19" s="1" t="inlineStr">
        <x:is>
          <x:t xml:space="preserve">----</x:t>
        </x:is>
      </x:c>
      <x:c r="I19" s="1" t="inlineStr">
        <x:is>
          <x:t xml:space="preserve">----</x:t>
        </x:is>
      </x:c>
      <x:c r="J19" s="1" t="inlineStr">
        <x:is>
          <x:t xml:space="preserve">----</x:t>
        </x:is>
      </x:c>
      <x:c r="K19" s="1" t="inlineStr">
        <x:is>
          <x:t xml:space="preserve">----</x:t>
        </x:is>
      </x:c>
      <x:c r="L19" s="1" t="inlineStr">
        <x:is>
          <x:t xml:space="preserve">----</x:t>
        </x:is>
      </x:c>
      <x:c r="M19" s="1" t="n"/>
    </x:row>
    <x:row r="20">
      <x:c r="A20" s="1" t="inlineStr">
        <x:is>
          <x:t xml:space="preserve">B1</x:t>
        </x:is>
      </x:c>
      <x:c r="B20" s="1" t="inlineStr">
        <x:is>
          <x:t xml:space="preserve">Front wheels</x:t>
        </x:is>
      </x:c>
      <x:c r="C20" s="1" t="inlineStr">
        <x:is>
          <x:t xml:space="preserve">52~53</x:t>
        </x:is>
      </x:c>
      <x:c r="D20" s="1" t="n">
        <x:v>6</x:v>
      </x:c>
      <x:c r="E20" s="1" t="inlineStr">
        <x:is>
          <x:t xml:space="preserve">#0#1 : right side</x:t>
        </x:is>
      </x:c>
      <x:c r="F20" s="1" t="n"/>
      <x:c r="G20" s="1" t="inlineStr">
        <x:is>
          <x:t xml:space="preserve">#2#3 : left side</x:t>
        </x:is>
      </x:c>
      <x:c r="H20" s="1" t="n"/>
      <x:c r="I20" s="1" t="inlineStr">
        <x:is>
          <x:t xml:space="preserve">----</x:t>
        </x:is>
      </x:c>
      <x:c r="J20" s="1" t="inlineStr">
        <x:is>
          <x:t xml:space="preserve">----</x:t>
        </x:is>
      </x:c>
      <x:c r="K20" s="1" t="inlineStr">
        <x:is>
          <x:t xml:space="preserve">----</x:t>
        </x:is>
      </x:c>
      <x:c r="L20" s="1" t="inlineStr">
        <x:is>
          <x:t xml:space="preserve">----</x:t>
        </x:is>
      </x:c>
      <x:c r="M20" s="1" t="inlineStr">
        <x:is>
          <x:t xml:space="preserve">value is speed in km/h * 100</x:t>
        </x:is>
      </x:c>
    </x:row>
    <x:row r="21">
      <x:c r="A21" s="1" t="inlineStr">
        <x:is>
          <x:t xml:space="preserve">B3</x:t>
        </x:is>
      </x:c>
      <x:c r="B21" s="1" t="inlineStr">
        <x:is>
          <x:t xml:space="preserve">Rear wheels</x:t>
        </x:is>
      </x:c>
      <x:c r="C21" s="1" t="inlineStr">
        <x:is>
          <x:t xml:space="preserve">~56</x:t>
        </x:is>
      </x:c>
      <x:c r="D21" s="1" t="n">
        <x:v>6</x:v>
      </x:c>
      <x:c r="E21" s="1" t="inlineStr">
        <x:is>
          <x:t xml:space="preserve">#0#1 : right side</x:t>
        </x:is>
      </x:c>
      <x:c r="F21" s="1" t="n"/>
      <x:c r="G21" s="1" t="inlineStr">
        <x:is>
          <x:t xml:space="preserve">#2#3 : left side</x:t>
        </x:is>
      </x:c>
      <x:c r="H21" s="1" t="n"/>
      <x:c r="I21" s="1" t="inlineStr">
        <x:is>
          <x:t xml:space="preserve">----</x:t>
        </x:is>
      </x:c>
      <x:c r="J21" s="1" t="inlineStr">
        <x:is>
          <x:t xml:space="preserve">----</x:t>
        </x:is>
      </x:c>
      <x:c r="K21" s="1" t="inlineStr">
        <x:is>
          <x:t xml:space="preserve">----</x:t>
        </x:is>
      </x:c>
      <x:c r="L21" s="1" t="inlineStr">
        <x:is>
          <x:t xml:space="preserve">----</x:t>
        </x:is>
      </x:c>
      <x:c r="M21" s="1" t="n"/>
    </x:row>
    <x:row r="22">
      <x:c r="A22" s="1" t="inlineStr">
        <x:is>
          <x:t xml:space="preserve">B4</x:t>
        </x:is>
      </x:c>
      <x:c r="B22" s="1" t="inlineStr">
        <x:is>
          <x:t xml:space="preserve">Speed</x:t>
        </x:is>
      </x:c>
      <x:c r="C22" s="1" t="inlineStr">
        <x:is>
          <x:t xml:space="preserve">31~32</x:t>
        </x:is>
      </x:c>
      <x:c r="D22" s="1" t="n">
        <x:v>8</x:v>
      </x:c>
      <x:c r="E22" s="1" t="inlineStr">
        <x:is>
          <x:t xml:space="preserve">----</x:t>
        </x:is>
      </x:c>
      <x:c r="F22" s="1" t="inlineStr">
        <x:is>
          <x:t xml:space="preserve">----</x:t>
        </x:is>
      </x:c>
      <x:c r="G22" s="1" t="inlineStr">
        <x:is>
          <x:t xml:space="preserve">----</x:t>
        </x:is>
      </x:c>
      <x:c r="H22" s="1" t="inlineStr">
        <x:is>
          <x:t xml:space="preserve">----</x:t>
        </x:is>
      </x:c>
      <x:c r="I22" s="1" t="inlineStr">
        <x:is>
          <x:t xml:space="preserve">----</x:t>
        </x:is>
      </x:c>
      <x:c r="J22" s="1" t="inlineStr">
        <x:is>
          <x:t xml:space="preserve">#5#6 = Value</x:t>
        </x:is>
      </x:c>
      <x:c r="K22" s="1" t="n"/>
      <x:c r="L22" s="1" t="inlineStr">
        <x:is>
          <x:t xml:space="preserve">----</x:t>
        </x:is>
      </x:c>
      <x:c r="M22" s="1" t="inlineStr">
        <x:is>
          <x:t xml:space="preserve">0x400 for every 10km/h, including signed value for backwards</x:t>
        </x:is>
      </x:c>
    </x:row>
    <x:row r="23">
      <x:c r="A23" s="1" t="inlineStr">
        <x:is>
          <x:t xml:space="preserve">C9</x:t>
        </x:is>
      </x:c>
      <x:c r="B23" s="1" t="inlineStr">
        <x:is>
          <x:t xml:space="preserve">ABS?</x:t>
        </x:is>
      </x:c>
      <x:c r="C23" s="1" t="inlineStr">
        <x:is>
          <x:t xml:space="preserve">&lt;&lt;1</x:t>
        </x:is>
      </x:c>
      <x:c r="D23" s="1" t="n">
        <x:v>5</x:v>
      </x:c>
      <x:c r="E23" s="1" t="n"/>
      <x:c r="F23" s="1" t="inlineStr">
        <x:is>
          <x:t xml:space="preserve">----</x:t>
        </x:is>
      </x:c>
      <x:c r="G23" s="1" t="inlineStr">
        <x:is>
          <x:t xml:space="preserve">----</x:t>
        </x:is>
      </x:c>
      <x:c r="H23" s="1" t="inlineStr">
        <x:is>
          <x:t xml:space="preserve">----</x:t>
        </x:is>
      </x:c>
      <x:c r="I23" s="1" t="inlineStr">
        <x:is>
          <x:t xml:space="preserve">----</x:t>
        </x:is>
      </x:c>
      <x:c r="J23" s="1" t="inlineStr">
        <x:is>
          <x:t xml:space="preserve">----</x:t>
        </x:is>
      </x:c>
      <x:c r="K23" s="1" t="inlineStr">
        <x:is>
          <x:t xml:space="preserve">----</x:t>
        </x:is>
      </x:c>
      <x:c r="L23" s="1" t="inlineStr">
        <x:is>
          <x:t xml:space="preserve">----</x:t>
        </x:is>
      </x:c>
      <x:c r="M23" s="1" t="n"/>
    </x:row>
    <x:row r="24">
      <x:c r="A24" s="1" t="n">
        <x:v>120</x:v>
      </x:c>
      <x:c r="B24" s="1" t="inlineStr">
        <x:is>
          <x:t xml:space="preserve">Drive Mode</x:t>
        </x:is>
      </x:c>
      <x:c r="C24" s="1" t="inlineStr">
        <x:is>
          <x:t xml:space="preserve">50~51</x:t>
        </x:is>
      </x:c>
      <x:c r="D24" s="1" t="n">
        <x:v>8</x:v>
      </x:c>
      <x:c r="E24" s="1" t="inlineStr">
        <x:is>
          <x:t xml:space="preserve">----</x:t>
        </x:is>
      </x:c>
      <x:c r="F24" s="1" t="inlineStr">
        <x:is>
          <x:t xml:space="preserve">----</x:t>
        </x:is>
      </x:c>
      <x:c r="G24" s="1" t="inlineStr">
        <x:is>
          <x:t xml:space="preserve">----</x:t>
        </x:is>
      </x:c>
      <x:c r="H24" s="1" t="inlineStr">
        <x:is>
          <x:t xml:space="preserve">----</x:t>
        </x:is>
      </x:c>
      <x:c r="I24" s="1" t="inlineStr">
        <x:is>
          <x:t xml:space="preserve">MSB : cruise ON/OFF</x:t>
        </x:is>
      </x:c>
      <x:c r="J24" s="1" t="inlineStr">
        <x:is>
          <x:t xml:space="preserve">0x13&amp;0x14=D 0x10=P 0x11=R 0x12=N</x:t>
        </x:is>
      </x:c>
      <x:c r="K24" s="1" t="inlineStr">
        <x:is>
          <x:t xml:space="preserve">0x04=Powered 0x00=Standby</x:t>
        </x:is>
      </x:c>
      <x:c r="L24" s="1" t="inlineStr">
        <x:is>
          <x:t xml:space="preserve">0x50=D 0x51=B 0x4D=P 0x4E=R 0x4F=N MSB=CruiseON/off 0x49|0x4B = Standby</x:t>
        </x:is>
      </x:c>
      <x:c r="M24" s="1" t="inlineStr">
        <x:is>
          <x:t xml:space="preserve">Possible to check if car is in Standby or Powered mode</x:t>
        </x:is>
      </x:c>
    </x:row>
    <x:row r="25">
      <x:c r="A25" s="1" t="n">
        <x:v>230</x:v>
      </x:c>
      <x:c r="B25" s="1" t="inlineStr">
        <x:is>
          <x:t xml:space="preserve">counter ?!</x:t>
        </x:is>
      </x:c>
      <x:c r="C25" s="1" t="inlineStr">
        <x:is>
          <x:t xml:space="preserve">12~13</x:t>
        </x:is>
      </x:c>
      <x:c r="D25" s="1" t="n">
        <x:v>7</x:v>
      </x:c>
      <x:c r="E25" s="1" t="inlineStr">
        <x:is>
          <x:t xml:space="preserve">----</x:t>
        </x:is>
      </x:c>
      <x:c r="F25" s="1" t="inlineStr">
        <x:is>
          <x:t xml:space="preserve">----</x:t>
        </x:is>
      </x:c>
      <x:c r="G25" s="1" t="inlineStr">
        <x:is>
          <x:t xml:space="preserve">----</x:t>
        </x:is>
      </x:c>
      <x:c r="H25" s="1" t="inlineStr">
        <x:is>
          <x:t xml:space="preserve">Chgs with Brake… (0x4, 0x20, 0x24 )</x:t>
        </x:is>
      </x:c>
      <x:c r="I25" s="1" t="inlineStr">
        <x:is>
          <x:t xml:space="preserve">----</x:t>
        </x:is>
      </x:c>
      <x:c r="J25" s="1" t="inlineStr">
        <x:is>
          <x:t xml:space="preserve">----</x:t>
        </x:is>
      </x:c>
      <x:c r="K25" s="1" t="inlineStr">
        <x:is>
          <x:t xml:space="preserve">----</x:t>
        </x:is>
      </x:c>
      <x:c r="L25" s="1" t="inlineStr">
        <x:is>
          <x:t xml:space="preserve">----</x:t>
        </x:is>
      </x:c>
      <x:c r="M25" s="1" t="inlineStr">
        <x:is>
          <x:t xml:space="preserve">most traffic when accel/decel</x:t>
        </x:is>
      </x:c>
    </x:row>
    <x:row r="26">
      <x:c r="A26" s="1" t="n">
        <x:v>244</x:v>
      </x:c>
      <x:c r="B26" s="1" t="inlineStr">
        <x:is>
          <x:t xml:space="preserve">Gas Pedal / Speed</x:t>
        </x:is>
      </x:c>
      <x:c r="C26" s="1" t="n">
        <x:v>28</x:v>
      </x:c>
      <x:c r="D26" s="1" t="n">
        <x:v>8</x:v>
      </x:c>
      <x:c r="E26" s="1" t="inlineStr">
        <x:is>
          <x:t xml:space="preserve">----</x:t>
        </x:is>
      </x:c>
      <x:c r="F26" s="1" t="inlineStr">
        <x:is>
          <x:t xml:space="preserve">----</x:t>
        </x:is>
      </x:c>
      <x:c r="G26" s="1" t="inlineStr">
        <x:is>
          <x:t xml:space="preserve">----</x:t>
        </x:is>
      </x:c>
      <x:c r="H26" s="1" t="inlineStr">
        <x:is>
          <x:t xml:space="preserve">----</x:t>
        </x:is>
      </x:c>
      <x:c r="I26" s="1" t="inlineStr">
        <x:is>
          <x:t xml:space="preserve">#4#5 Speed related ( ~0x150=10km/h ~0x300=20km/h ~0x700=50km/h )  ALSO, negative, when backing up !!!</x:t>
        </x:is>
      </x:c>
      <x:c r="J26" s="1" t="n"/>
      <x:c r="K26" s="1" t="inlineStr">
        <x:is>
          <x:t xml:space="preserve">Gas Pedal ( 0x00 ~ 0xC8 )</x:t>
        </x:is>
      </x:c>
      <x:c r="L26" s="1" t="inlineStr">
        <x:is>
          <x:t xml:space="preserve">Speed related, but also gas pedal related ( changes when stopped and pedal pressed, but goes up with speed even if pedal does not change ) 0x5E when in rest...</x:t>
        </x:is>
      </x:c>
      <x:c r="M26" s="1" t="inlineStr">
        <x:is>
          <x:t xml:space="preserve">Negative speed data for backup</x:t>
        </x:is>
      </x:c>
    </x:row>
    <x:row r="27">
      <x:c r="A27" s="1" t="n">
        <x:v>262</x:v>
      </x:c>
      <x:c r="B27" s="1" t="n"/>
      <x:c r="C27" s="1" t="n">
        <x:v>33.8</x:v>
      </x:c>
      <x:c r="D27" s="1" t="n">
        <x:v>4</x:v>
      </x:c>
      <x:c r="E27" s="1" t="inlineStr">
        <x:is>
          <x:t xml:space="preserve">0x00</x:t>
        </x:is>
      </x:c>
      <x:c r="F27" s="1" t="inlineStr">
        <x:is>
          <x:t xml:space="preserve">0x01</x:t>
        </x:is>
      </x:c>
      <x:c r="G27" s="1" t="inlineStr">
        <x:is>
          <x:t xml:space="preserve">0x00</x:t>
        </x:is>
      </x:c>
      <x:c r="H27" s="1" t="inlineStr">
        <x:is>
          <x:t xml:space="preserve">0x69</x:t>
        </x:is>
      </x:c>
      <x:c r="I27" s="1" t="inlineStr">
        <x:is>
          <x:t xml:space="preserve">----</x:t>
        </x:is>
      </x:c>
      <x:c r="J27" s="1" t="inlineStr">
        <x:is>
          <x:t xml:space="preserve">----</x:t>
        </x:is>
      </x:c>
      <x:c r="K27" s="1" t="inlineStr">
        <x:is>
          <x:t xml:space="preserve">----</x:t>
        </x:is>
      </x:c>
      <x:c r="L27" s="1" t="inlineStr">
        <x:is>
          <x:t xml:space="preserve">----</x:t>
        </x:is>
      </x:c>
      <x:c r="M27" s="1" t="inlineStr">
        <x:is>
          <x:t xml:space="preserve">no activity when electric only</x:t>
        </x:is>
      </x:c>
    </x:row>
    <x:row r="28">
      <x:c r="A28" s="1" t="n">
        <x:v>348</x:v>
      </x:c>
      <x:c r="B28" s="1" t="inlineStr">
        <x:is>
          <x:t xml:space="preserve">ICE (*)</x:t>
        </x:is>
      </x:c>
      <x:c r="C28" s="1" t="inlineStr">
        <x:is>
          <x:t xml:space="preserve">13.5~14</x:t>
        </x:is>
      </x:c>
      <x:c r="D28" s="1" t="n">
        <x:v>6</x:v>
      </x:c>
      <x:c r="E28" s="1" t="n"/>
      <x:c r="F28" s="1" t="n"/>
      <x:c r="G28" s="1" t="inlineStr">
        <x:is>
          <x:t xml:space="preserve">Throttle related ( requested rpm ?)                            ~MPG=(KMH*10000)/value </x:t>
        </x:is>
      </x:c>
      <x:c r="H28" s="1" t="n"/>
      <x:c r="I28" s="1" t="inlineStr">
        <x:is>
          <x:t xml:space="preserve">0 when no power by ICE.</x:t>
        </x:is>
      </x:c>
      <x:c r="J28" s="1" t="inlineStr">
        <x:is>
          <x:t xml:space="preserve">----</x:t>
        </x:is>
      </x:c>
      <x:c r="K28" s="1" t="inlineStr">
        <x:is>
          <x:t xml:space="preserve">----</x:t>
        </x:is>
      </x:c>
      <x:c r="L28" s="1" t="inlineStr">
        <x:is>
          <x:t xml:space="preserve">----</x:t>
        </x:is>
      </x:c>
      <x:c r="M28" s="1" t="n"/>
    </x:row>
    <x:row r="29">
      <x:c r="A29" s="1" t="inlineStr">
        <x:is>
          <x:t xml:space="preserve">34F</x:t>
        </x:is>
      </x:c>
      <x:c r="B29" s="1" t="n"/>
      <x:c r="C29" s="1" t="inlineStr">
        <x:is>
          <x:t xml:space="preserve">&lt;&lt;1</x:t>
        </x:is>
      </x:c>
      <x:c r="D29" s="1" t="n">
        <x:v>5</x:v>
      </x:c>
      <x:c r="E29" s="1" t="inlineStr">
        <x:is>
          <x:t xml:space="preserve">----</x:t>
        </x:is>
      </x:c>
      <x:c r="F29" s="1" t="inlineStr">
        <x:is>
          <x:t xml:space="preserve">----</x:t>
        </x:is>
      </x:c>
      <x:c r="G29" s="1" t="inlineStr">
        <x:is>
          <x:t xml:space="preserve">----</x:t>
        </x:is>
      </x:c>
      <x:c r="H29" s="1" t="inlineStr">
        <x:is>
          <x:t xml:space="preserve">----</x:t>
        </x:is>
      </x:c>
      <x:c r="I29" s="1" t="inlineStr">
        <x:is>
          <x:t xml:space="preserve">----</x:t>
        </x:is>
      </x:c>
      <x:c r="J29" s="1" t="inlineStr">
        <x:is>
          <x:t xml:space="preserve">----</x:t>
        </x:is>
      </x:c>
      <x:c r="K29" s="1" t="inlineStr">
        <x:is>
          <x:t xml:space="preserve">----</x:t>
        </x:is>
      </x:c>
      <x:c r="L29" s="1" t="inlineStr">
        <x:is>
          <x:t xml:space="preserve">----</x:t>
        </x:is>
      </x:c>
      <x:c r="M29" s="1" t="n"/>
    </x:row>
    <x:row r="30">
      <x:c r="A30" s="1" t="inlineStr">
        <x:is>
          <x:t xml:space="preserve">3C8</x:t>
        </x:is>
      </x:c>
      <x:c r="B30" s="1" t="inlineStr">
        <x:is>
          <x:t xml:space="preserve">ICE rpm (*)</x:t>
        </x:is>
      </x:c>
      <x:c r="C30" s="1" t="n">
        <x:v>9.699999999999999</x:v>
      </x:c>
      <x:c r="D30" s="1" t="n">
        <x:v>5</x:v>
      </x:c>
      <x:c r="E30" s="1" t="inlineStr">
        <x:is>
          <x:t xml:space="preserve">----</x:t>
        </x:is>
      </x:c>
      <x:c r="F30" s="1" t="inlineStr">
        <x:is>
          <x:t xml:space="preserve">----</x:t>
        </x:is>
      </x:c>
      <x:c r="G30" s="1" t="inlineStr">
        <x:is>
          <x:t xml:space="preserve">#2#3 : Target RPM ( unit is 32 rpm )</x:t>
        </x:is>
      </x:c>
      <x:c r="H30" s="1" t="n"/>
      <x:c r="I30" s="1" t="inlineStr">
        <x:is>
          <x:t xml:space="preserve">----</x:t>
        </x:is>
      </x:c>
      <x:c r="J30" s="1" t="inlineStr">
        <x:is>
          <x:t xml:space="preserve">----</x:t>
        </x:is>
      </x:c>
      <x:c r="K30" s="1" t="inlineStr">
        <x:is>
          <x:t xml:space="preserve">----</x:t>
        </x:is>
      </x:c>
      <x:c r="L30" s="1" t="inlineStr">
        <x:is>
          <x:t xml:space="preserve">----</x:t>
        </x:is>
      </x:c>
      <x:c r="M30" s="1" t="n"/>
    </x:row>
    <x:row r="31">
      <x:c r="A31" s="1" t="inlineStr">
        <x:is>
          <x:t xml:space="preserve">3C9</x:t>
        </x:is>
      </x:c>
      <x:c r="B31" s="1" t="inlineStr">
        <x:is>
          <x:t xml:space="preserve">related to release date ?</x:t>
        </x:is>
      </x:c>
      <x:c r="C31" s="1" t="n">
        <x:v>6.6</x:v>
      </x:c>
      <x:c r="D31" s="1" t="n">
        <x:v>8</x:v>
      </x:c>
      <x:c r="E31" s="1" t="inlineStr">
        <x:is>
          <x:t xml:space="preserve">0x03</x:t>
        </x:is>
      </x:c>
      <x:c r="F31" s="1" t="inlineStr">
        <x:is>
          <x:t xml:space="preserve">0xFF</x:t>
        </x:is>
      </x:c>
      <x:c r="G31" s="1" t="inlineStr">
        <x:is>
          <x:t xml:space="preserve">0x21 ( chg with power )</x:t>
        </x:is>
      </x:c>
      <x:c r="H31" s="1" t="inlineStr">
        <x:is>
          <x:t xml:space="preserve">0x02</x:t>
        </x:is>
      </x:c>
      <x:c r="I31" s="1" t="inlineStr">
        <x:is>
          <x:t xml:space="preserve">0x75</x:t>
        </x:is>
      </x:c>
      <x:c r="J31" s="1" t="inlineStr">
        <x:is>
          <x:t xml:space="preserve">0x02</x:t>
        </x:is>
      </x:c>
      <x:c r="K31" s="1" t="inlineStr">
        <x:is>
          <x:t xml:space="preserve">0xFA</x:t>
        </x:is>
      </x:c>
      <x:c r="L31" s="1" t="inlineStr">
        <x:is>
          <x:t xml:space="preserve">0x6A</x:t>
        </x:is>
      </x:c>
      <x:c r="M31" s="1" t="n"/>
    </x:row>
    <x:row r="32">
      <x:c r="A32" s="1" t="inlineStr">
        <x:is>
          <x:t xml:space="preserve">3CA</x:t>
        </x:is>
      </x:c>
      <x:c r="B32" s="1" t="inlineStr">
        <x:is>
          <x:t xml:space="preserve">Speed (*)</x:t>
        </x:is>
      </x:c>
      <x:c r="C32" s="1" t="inlineStr">
        <x:is>
          <x:t xml:space="preserve">~5.8</x:t>
        </x:is>
      </x:c>
      <x:c r="D32" s="1" t="n">
        <x:v>5</x:v>
      </x:c>
      <x:c r="E32" s="1" t="inlineStr">
        <x:is>
          <x:t xml:space="preserve">----</x:t>
        </x:is>
      </x:c>
      <x:c r="F32" s="1" t="inlineStr">
        <x:is>
          <x:t xml:space="preserve">??</x:t>
        </x:is>
      </x:c>
      <x:c r="G32" s="1" t="inlineStr">
        <x:is>
          <x:t xml:space="preserve">Value in km/h</x:t>
        </x:is>
      </x:c>
      <x:c r="H32" s="1" t="inlineStr">
        <x:is>
          <x:t xml:space="preserve">----</x:t>
        </x:is>
      </x:c>
      <x:c r="I32" s="1" t="inlineStr">
        <x:is>
          <x:t xml:space="preserve">----</x:t>
        </x:is>
      </x:c>
      <x:c r="J32" s="1" t="inlineStr">
        <x:is>
          <x:t xml:space="preserve">----</x:t>
        </x:is>
      </x:c>
      <x:c r="K32" s="1" t="inlineStr">
        <x:is>
          <x:t xml:space="preserve">----</x:t>
        </x:is>
      </x:c>
      <x:c r="L32" s="1" t="inlineStr">
        <x:is>
          <x:t xml:space="preserve">----</x:t>
        </x:is>
      </x:c>
      <x:c r="M32" s="1" t="n"/>
    </x:row>
    <x:row r="33">
      <x:c r="A33" s="1" t="inlineStr">
        <x:is>
          <x:t xml:space="preserve">3CB</x:t>
        </x:is>
      </x:c>
      <x:c r="B33" s="1" t="inlineStr">
        <x:is>
          <x:t xml:space="preserve">Battery (*)</x:t>
        </x:is>
      </x:c>
      <x:c r="C33" s="1" t="inlineStr">
        <x:is>
          <x:t xml:space="preserve">~6</x:t>
        </x:is>
      </x:c>
      <x:c r="D33" s="1" t="n">
        <x:v>7</x:v>
      </x:c>
      <x:c r="E33" s="1" t="inlineStr">
        <x:is>
          <x:t xml:space="preserve">max current for the battery discharge in Amps.</x:t>
        </x:is>
      </x:c>
      <x:c r="F33" s="1" t="inlineStr">
        <x:is>
          <x:t xml:space="preserve">max current for the battery charge in Amps.</x:t>
        </x:is>
      </x:c>
      <x:c r="G33" s="1" t="inlineStr">
        <x:is>
          <x:t xml:space="preserve">16 bit = SOC Value, unit is 0.5%</x:t>
        </x:is>
      </x:c>
      <x:c r="H33" s="1" t="n"/>
      <x:c r="I33" s="1" t="inlineStr">
        <x:is>
          <x:t xml:space="preserve">Batt Temp Min. (C)</x:t>
        </x:is>
      </x:c>
      <x:c r="J33" s="1" t="inlineStr">
        <x:is>
          <x:t xml:space="preserve">Batt Temp Max.</x:t>
        </x:is>
      </x:c>
      <x:c r="K33" s="1" t="inlineStr">
        <x:is>
          <x:t xml:space="preserve">----</x:t>
        </x:is>
      </x:c>
      <x:c r="L33" s="1" t="inlineStr">
        <x:is>
          <x:t xml:space="preserve">----</x:t>
        </x:is>
      </x:c>
      <x:c r="M33" s="1" t="inlineStr">
        <x:is>
          <x:t xml:space="preserve">90, 98, 104, 110, 128, 150 ( +5 when going up )</x:t>
        </x:is>
      </x:c>
    </x:row>
    <x:row r="34">
      <x:c r="A34" s="1" t="inlineStr">
        <x:is>
          <x:t xml:space="preserve">3CD</x:t>
        </x:is>
      </x:c>
      <x:c r="B34" s="1" t="inlineStr">
        <x:is>
          <x:t xml:space="preserve">Battery (*)</x:t>
        </x:is>
      </x:c>
      <x:c r="C34" s="1" t="inlineStr">
        <x:is>
          <x:t xml:space="preserve">~6</x:t>
        </x:is>
      </x:c>
      <x:c r="D34" s="1" t="n">
        <x:v>5</x:v>
      </x:c>
      <x:c r="E34" s="1" t="inlineStr">
        <x:is>
          <x:t xml:space="preserve">fault code</x:t>
        </x:is>
      </x:c>
      <x:c r="F34" s="1" t="inlineStr">
        <x:is>
          <x:t xml:space="preserve">fault code</x:t>
        </x:is>
      </x:c>
      <x:c r="G34" s="1" t="inlineStr">
        <x:is>
          <x:t xml:space="preserve">16 bit pack voltage</x:t>
        </x:is>
      </x:c>
      <x:c r="H34" s="1" t="n"/>
      <x:c r="I34" s="1" t="inlineStr">
        <x:is>
          <x:t xml:space="preserve">----</x:t>
        </x:is>
      </x:c>
      <x:c r="J34" s="1" t="inlineStr">
        <x:is>
          <x:t xml:space="preserve">----</x:t>
        </x:is>
      </x:c>
      <x:c r="K34" s="1" t="inlineStr">
        <x:is>
          <x:t xml:space="preserve">----</x:t>
        </x:is>
      </x:c>
      <x:c r="L34" s="1" t="inlineStr">
        <x:is>
          <x:t xml:space="preserve">----</x:t>
        </x:is>
      </x:c>
      <x:c r="M34" s="1" t="n"/>
    </x:row>
    <x:row r="35">
      <x:c r="A35" s="1" t="inlineStr">
        <x:is>
          <x:t xml:space="preserve">3CF</x:t>
        </x:is>
      </x:c>
      <x:c r="B35" s="1" t="inlineStr">
        <x:is>
          <x:t xml:space="preserve">ICE</x:t>
        </x:is>
      </x:c>
      <x:c r="C35" s="1" t="inlineStr">
        <x:is>
          <x:t xml:space="preserve">~5.5</x:t>
        </x:is>
      </x:c>
      <x:c r="D35" s="1" t="n">
        <x:v>5</x:v>
      </x:c>
      <x:c r="E35" s="1" t="inlineStr">
        <x:is>
          <x:t xml:space="preserve">----</x:t>
        </x:is>
      </x:c>
      <x:c r="F35" s="1" t="inlineStr">
        <x:is>
          <x:t xml:space="preserve">----</x:t>
        </x:is>
      </x:c>
      <x:c r="G35" s="1" t="inlineStr">
        <x:is>
          <x:t xml:space="preserve">Value1 ( 0x14 ~ 0x19 )</x:t>
        </x:is>
      </x:c>
      <x:c r="H35" s="1" t="inlineStr">
        <x:is>
          <x:t xml:space="preserve">----</x:t>
        </x:is>
      </x:c>
      <x:c r="I35" s="1" t="inlineStr">
        <x:is>
          <x:t xml:space="preserve">Value2 ( 0x0D ~ 0x13 )</x:t>
        </x:is>
      </x:c>
      <x:c r="J35" s="1" t="inlineStr">
        <x:is>
          <x:t xml:space="preserve">----</x:t>
        </x:is>
      </x:c>
      <x:c r="K35" s="1" t="inlineStr">
        <x:is>
          <x:t xml:space="preserve">----</x:t>
        </x:is>
      </x:c>
      <x:c r="L35" s="1" t="inlineStr">
        <x:is>
          <x:t xml:space="preserve">----</x:t>
        </x:is>
      </x:c>
      <x:c r="M35" s="1" t="inlineStr">
        <x:is>
          <x:t xml:space="preserve">When ICE was on, values decreased slightly, when ICE off, they increased…</x:t>
        </x:is>
      </x:c>
    </x:row>
    <x:row r="36">
      <x:c r="A36" s="1" t="n">
        <x:v>423</x:v>
      </x:c>
      <x:c r="B36" s="1" t="inlineStr">
        <x:is>
          <x:t xml:space="preserve">const?</x:t>
        </x:is>
      </x:c>
      <x:c r="C36" s="1" t="inlineStr">
        <x:is>
          <x:t xml:space="preserve">0.6~0.7</x:t>
        </x:is>
      </x:c>
      <x:c r="D36" s="1" t="n">
        <x:v>1</x:v>
      </x:c>
      <x:c r="E36" s="1" t="inlineStr">
        <x:is>
          <x:t xml:space="preserve">0x00</x:t>
        </x:is>
      </x:c>
      <x:c r="F36" s="1" t="inlineStr">
        <x:is>
          <x:t xml:space="preserve">----</x:t>
        </x:is>
      </x:c>
      <x:c r="G36" s="1" t="inlineStr">
        <x:is>
          <x:t xml:space="preserve">----</x:t>
        </x:is>
      </x:c>
      <x:c r="H36" s="1" t="inlineStr">
        <x:is>
          <x:t xml:space="preserve">----</x:t>
        </x:is>
      </x:c>
      <x:c r="I36" s="1" t="inlineStr">
        <x:is>
          <x:t xml:space="preserve">----</x:t>
        </x:is>
      </x:c>
      <x:c r="J36" s="1" t="inlineStr">
        <x:is>
          <x:t xml:space="preserve">----</x:t>
        </x:is>
      </x:c>
      <x:c r="K36" s="1" t="inlineStr">
        <x:is>
          <x:t xml:space="preserve">----</x:t>
        </x:is>
      </x:c>
      <x:c r="L36" s="1" t="inlineStr">
        <x:is>
          <x:t xml:space="preserve">----</x:t>
        </x:is>
      </x:c>
      <x:c r="M36" s="1" t="n"/>
    </x:row>
    <x:row r="37">
      <x:c r="A37" s="1" t="inlineStr">
        <x:is>
          <x:t xml:space="preserve">4C1</x:t>
        </x:is>
      </x:c>
      <x:c r="B37" s="1" t="inlineStr">
        <x:is>
          <x:t xml:space="preserve">const?</x:t>
        </x:is>
      </x:c>
      <x:c r="C37" s="1" t="n">
        <x:v>0.8</x:v>
      </x:c>
      <x:c r="D37" s="1" t="n">
        <x:v>8</x:v>
      </x:c>
      <x:c r="E37" s="1" t="inlineStr">
        <x:is>
          <x:t xml:space="preserve">0x01</x:t>
        </x:is>
      </x:c>
      <x:c r="F37" s="1" t="inlineStr">
        <x:is>
          <x:t xml:space="preserve">0x00</x:t>
        </x:is>
      </x:c>
      <x:c r="G37" s="1" t="inlineStr">
        <x:is>
          <x:t xml:space="preserve">0x06</x:t>
        </x:is>
      </x:c>
      <x:c r="H37" s="1" t="inlineStr">
        <x:is>
          <x:t xml:space="preserve">0x00</x:t>
        </x:is>
      </x:c>
      <x:c r="I37" s="1" t="inlineStr">
        <x:is>
          <x:t xml:space="preserve">0x00</x:t>
        </x:is>
      </x:c>
      <x:c r="J37" s="1" t="inlineStr">
        <x:is>
          <x:t xml:space="preserve">0x00</x:t>
        </x:is>
      </x:c>
      <x:c r="K37" s="1" t="inlineStr">
        <x:is>
          <x:t xml:space="preserve">0x00</x:t>
        </x:is>
      </x:c>
      <x:c r="L37" s="1" t="inlineStr">
        <x:is>
          <x:t xml:space="preserve">0x00</x:t>
        </x:is>
      </x:c>
      <x:c r="M37" s="1" t="n"/>
    </x:row>
    <x:row r="38">
      <x:c r="A38" s="1" t="inlineStr">
        <x:is>
          <x:t xml:space="preserve">4C3</x:t>
        </x:is>
      </x:c>
      <x:c r="B38" s="1" t="inlineStr">
        <x:is>
          <x:t xml:space="preserve">const?</x:t>
        </x:is>
      </x:c>
      <x:c r="C38" s="1" t="n">
        <x:v>0.4</x:v>
      </x:c>
      <x:c r="D38" s="1" t="n">
        <x:v>8</x:v>
      </x:c>
      <x:c r="E38" s="1" t="inlineStr">
        <x:is>
          <x:t xml:space="preserve">0x03</x:t>
        </x:is>
      </x:c>
      <x:c r="F38" s="1" t="inlineStr">
        <x:is>
          <x:t xml:space="preserve">0x00</x:t>
        </x:is>
      </x:c>
      <x:c r="G38" s="1" t="inlineStr">
        <x:is>
          <x:t xml:space="preserve">0x03</x:t>
        </x:is>
      </x:c>
      <x:c r="H38" s="1" t="inlineStr">
        <x:is>
          <x:t xml:space="preserve">0x00</x:t>
        </x:is>
      </x:c>
      <x:c r="I38" s="1" t="inlineStr">
        <x:is>
          <x:t xml:space="preserve">0x00</x:t>
        </x:is>
      </x:c>
      <x:c r="J38" s="1" t="inlineStr">
        <x:is>
          <x:t xml:space="preserve">0x00</x:t>
        </x:is>
      </x:c>
      <x:c r="K38" s="1" t="inlineStr">
        <x:is>
          <x:t xml:space="preserve">0x00</x:t>
        </x:is>
      </x:c>
      <x:c r="L38" s="1" t="inlineStr">
        <x:is>
          <x:t xml:space="preserve">0x00</x:t>
        </x:is>
      </x:c>
      <x:c r="M38" s="1" t="n"/>
    </x:row>
    <x:row r="39">
      <x:c r="A39" s="1" t="inlineStr">
        <x:is>
          <x:t xml:space="preserve">4C6</x:t>
        </x:is>
      </x:c>
      <x:c r="B39" s="1" t="inlineStr">
        <x:is>
          <x:t xml:space="preserve">const?</x:t>
        </x:is>
      </x:c>
      <x:c r="C39" s="1" t="n">
        <x:v>0.7</x:v>
      </x:c>
      <x:c r="D39" s="1" t="n">
        <x:v>8</x:v>
      </x:c>
      <x:c r="E39" s="1" t="inlineStr">
        <x:is>
          <x:t xml:space="preserve">0x07</x:t>
        </x:is>
      </x:c>
      <x:c r="F39" s="1" t="inlineStr">
        <x:is>
          <x:t xml:space="preserve">0x00</x:t>
        </x:is>
      </x:c>
      <x:c r="G39" s="1" t="inlineStr">
        <x:is>
          <x:t xml:space="preserve">0x01</x:t>
        </x:is>
      </x:c>
      <x:c r="H39" s="1" t="inlineStr">
        <x:is>
          <x:t xml:space="preserve">0x00</x:t>
        </x:is>
      </x:c>
      <x:c r="I39" s="1" t="inlineStr">
        <x:is>
          <x:t xml:space="preserve">0x00</x:t>
        </x:is>
      </x:c>
      <x:c r="J39" s="1" t="inlineStr">
        <x:is>
          <x:t xml:space="preserve">0x00</x:t>
        </x:is>
      </x:c>
      <x:c r="K39" s="1" t="inlineStr">
        <x:is>
          <x:t xml:space="preserve">0x00</x:t>
        </x:is>
      </x:c>
      <x:c r="L39" s="1" t="inlineStr">
        <x:is>
          <x:t xml:space="preserve">0x00</x:t>
        </x:is>
      </x:c>
      <x:c r="M39" s="1" t="n"/>
    </x:row>
    <x:row r="40">
      <x:c r="A40" s="1" t="inlineStr">
        <x:is>
          <x:t xml:space="preserve">4C7</x:t>
        </x:is>
      </x:c>
      <x:c r="B40" s="1" t="inlineStr">
        <x:is>
          <x:t xml:space="preserve">const?</x:t>
        </x:is>
      </x:c>
      <x:c r="C40" s="1" t="inlineStr">
        <x:is>
          <x:t xml:space="preserve">0.7~0.8</x:t>
        </x:is>
      </x:c>
      <x:c r="D40" s="1" t="n">
        <x:v>8</x:v>
      </x:c>
      <x:c r="E40" s="1" t="inlineStr">
        <x:is>
          <x:t xml:space="preserve">0x08</x:t>
        </x:is>
      </x:c>
      <x:c r="F40" s="1" t="inlineStr">
        <x:is>
          <x:t xml:space="preserve">0x00</x:t>
        </x:is>
      </x:c>
      <x:c r="G40" s="1" t="inlineStr">
        <x:is>
          <x:t xml:space="preserve">0x01</x:t>
        </x:is>
      </x:c>
      <x:c r="H40" s="1" t="inlineStr">
        <x:is>
          <x:t xml:space="preserve">0x00</x:t>
        </x:is>
      </x:c>
      <x:c r="I40" s="1" t="inlineStr">
        <x:is>
          <x:t xml:space="preserve">0x00</x:t>
        </x:is>
      </x:c>
      <x:c r="J40" s="1" t="inlineStr">
        <x:is>
          <x:t xml:space="preserve">0x00</x:t>
        </x:is>
      </x:c>
      <x:c r="K40" s="1" t="inlineStr">
        <x:is>
          <x:t xml:space="preserve">0x00</x:t>
        </x:is>
      </x:c>
      <x:c r="L40" s="1" t="inlineStr">
        <x:is>
          <x:t xml:space="preserve">0x00</x:t>
        </x:is>
      </x:c>
      <x:c r="M40" s="1" t="n"/>
    </x:row>
    <x:row r="41">
      <x:c r="A41" s="1" t="inlineStr">
        <x:is>
          <x:t xml:space="preserve">4C8</x:t>
        </x:is>
      </x:c>
      <x:c r="B41" s="1" t="inlineStr">
        <x:is>
          <x:t xml:space="preserve">const?</x:t>
        </x:is>
      </x:c>
      <x:c r="C41" s="1" t="inlineStr">
        <x:is>
          <x:t xml:space="preserve">0.7~0.8</x:t>
        </x:is>
      </x:c>
      <x:c r="D41" s="1" t="n">
        <x:v>8</x:v>
      </x:c>
      <x:c r="E41" s="1" t="inlineStr">
        <x:is>
          <x:t xml:space="preserve">0x08</x:t>
        </x:is>
      </x:c>
      <x:c r="F41" s="1" t="inlineStr">
        <x:is>
          <x:t xml:space="preserve">0x00</x:t>
        </x:is>
      </x:c>
      <x:c r="G41" s="1" t="inlineStr">
        <x:is>
          <x:t xml:space="preserve">0x05</x:t>
        </x:is>
      </x:c>
      <x:c r="H41" s="1" t="inlineStr">
        <x:is>
          <x:t xml:space="preserve">0x01</x:t>
        </x:is>
      </x:c>
      <x:c r="I41" s="1" t="inlineStr">
        <x:is>
          <x:t xml:space="preserve">0x00</x:t>
        </x:is>
      </x:c>
      <x:c r="J41" s="1" t="inlineStr">
        <x:is>
          <x:t xml:space="preserve">0x00</x:t>
        </x:is>
      </x:c>
      <x:c r="K41" s="1" t="inlineStr">
        <x:is>
          <x:t xml:space="preserve">0x00</x:t>
        </x:is>
      </x:c>
      <x:c r="L41" s="1" t="inlineStr">
        <x:is>
          <x:t xml:space="preserve">0x00</x:t>
        </x:is>
      </x:c>
      <x:c r="M41" s="1" t="n"/>
    </x:row>
    <x:row r="42">
      <x:c r="A42" s="1" t="inlineStr">
        <x:is>
          <x:t xml:space="preserve">4CE</x:t>
        </x:is>
      </x:c>
      <x:c r="B42" s="1" t="inlineStr">
        <x:is>
          <x:t xml:space="preserve">const?</x:t>
        </x:is>
      </x:c>
      <x:c r="C42" s="1" t="n">
        <x:v>0.7</x:v>
      </x:c>
      <x:c r="D42" s="1" t="n">
        <x:v>8</x:v>
      </x:c>
      <x:c r="E42" s="1" t="inlineStr">
        <x:is>
          <x:t xml:space="preserve">0x0F</x:t>
        </x:is>
      </x:c>
      <x:c r="F42" s="1" t="inlineStr">
        <x:is>
          <x:t xml:space="preserve">0x00</x:t>
        </x:is>
      </x:c>
      <x:c r="G42" s="1" t="inlineStr">
        <x:is>
          <x:t xml:space="preserve">0x01</x:t>
        </x:is>
      </x:c>
      <x:c r="H42" s="1" t="inlineStr">
        <x:is>
          <x:t xml:space="preserve">0x01</x:t>
        </x:is>
      </x:c>
      <x:c r="I42" s="1" t="inlineStr">
        <x:is>
          <x:t xml:space="preserve">0x00</x:t>
        </x:is>
      </x:c>
      <x:c r="J42" s="1" t="inlineStr">
        <x:is>
          <x:t xml:space="preserve">0x00</x:t>
        </x:is>
      </x:c>
      <x:c r="K42" s="1" t="inlineStr">
        <x:is>
          <x:t xml:space="preserve">0x00</x:t>
        </x:is>
      </x:c>
      <x:c r="L42" s="1" t="inlineStr">
        <x:is>
          <x:t xml:space="preserve">0x00</x:t>
        </x:is>
      </x:c>
      <x:c r="M42" s="1" t="n"/>
    </x:row>
    <x:row r="43">
      <x:c r="A43" s="1" t="inlineStr">
        <x:is>
          <x:t xml:space="preserve">4D0</x:t>
        </x:is>
      </x:c>
      <x:c r="B43" s="1" t="inlineStr">
        <x:is>
          <x:t xml:space="preserve">HECU -&gt; Batt</x:t>
        </x:is>
      </x:c>
      <x:c r="C43" s="1" t="n">
        <x:v>0.6</x:v>
      </x:c>
      <x:c r="D43" s="1" t="n">
        <x:v>8</x:v>
      </x:c>
      <x:c r="E43" s="1" t="inlineStr">
        <x:is>
          <x:t xml:space="preserve">0x10</x:t>
        </x:is>
      </x:c>
      <x:c r="F43" s="1" t="inlineStr">
        <x:is>
          <x:t xml:space="preserve">0x00</x:t>
        </x:is>
      </x:c>
      <x:c r="G43" s="1" t="inlineStr">
        <x:is>
          <x:t xml:space="preserve">0x02</x:t>
        </x:is>
      </x:c>
      <x:c r="H43" s="1" t="inlineStr">
        <x:is>
          <x:t xml:space="preserve">0x01</x:t>
        </x:is>
      </x:c>
      <x:c r="I43" s="1" t="inlineStr">
        <x:is>
          <x:t xml:space="preserve">----</x:t>
        </x:is>
      </x:c>
      <x:c r="J43" s="1" t="inlineStr">
        <x:is>
          <x:t xml:space="preserve">----</x:t>
        </x:is>
      </x:c>
      <x:c r="K43" s="1" t="inlineStr">
        <x:is>
          <x:t xml:space="preserve">----</x:t>
        </x:is>
      </x:c>
      <x:c r="L43" s="1" t="inlineStr">
        <x:is>
          <x:t xml:space="preserve">----</x:t>
        </x:is>
      </x:c>
      <x:c r="M43" s="1" t="n"/>
    </x:row>
    <x:row r="44">
      <x:c r="A44" s="1" t="inlineStr">
        <x:is>
          <x:t xml:space="preserve">4D1</x:t>
        </x:is>
      </x:c>
      <x:c r="B44" s="1" t="inlineStr">
        <x:is>
          <x:t xml:space="preserve">Batt -&gt; HECU</x:t>
        </x:is>
      </x:c>
      <x:c r="C44" s="1" t="n">
        <x:v>0.6</x:v>
      </x:c>
      <x:c r="D44" s="1" t="n">
        <x:v>8</x:v>
      </x:c>
      <x:c r="E44" s="1" t="inlineStr">
        <x:is>
          <x:t xml:space="preserve">0x11</x:t>
        </x:is>
      </x:c>
      <x:c r="F44" s="1" t="inlineStr">
        <x:is>
          <x:t xml:space="preserve">0x00</x:t>
        </x:is>
      </x:c>
      <x:c r="G44" s="1" t="inlineStr">
        <x:is>
          <x:t xml:space="preserve">0x01</x:t>
        </x:is>
      </x:c>
      <x:c r="H44" s="1" t="inlineStr">
        <x:is>
          <x:t xml:space="preserve">0x00</x:t>
        </x:is>
      </x:c>
      <x:c r="I44" s="1" t="inlineStr">
        <x:is>
          <x:t xml:space="preserve">0x00</x:t>
        </x:is>
      </x:c>
      <x:c r="J44" s="1" t="inlineStr">
        <x:is>
          <x:t xml:space="preserve">0x00</x:t>
        </x:is>
      </x:c>
      <x:c r="K44" s="1" t="inlineStr">
        <x:is>
          <x:t xml:space="preserve">0x00</x:t>
        </x:is>
      </x:c>
      <x:c r="L44" s="1" t="inlineStr">
        <x:is>
          <x:t xml:space="preserve">0x00</x:t>
        </x:is>
      </x:c>
      <x:c r="M44" s="1" t="n"/>
    </x:row>
    <x:row r="45">
      <x:c r="A45" s="1" t="n">
        <x:v>520</x:v>
      </x:c>
      <x:c r="B45" s="1" t="inlineStr">
        <x:is>
          <x:t xml:space="preserve">Fuel Injector</x:t>
        </x:is>
      </x:c>
      <x:c r="C45" s="1" t="inlineStr">
        <x:is>
          <x:t xml:space="preserve">0.4~0.5</x:t>
        </x:is>
      </x:c>
      <x:c r="D45" s="1" t="n">
        <x:v>3</x:v>
      </x:c>
      <x:c r="E45" s="1" t="inlineStr">
        <x:is>
          <x:t xml:space="preserve">0xA4</x:t>
        </x:is>
      </x:c>
      <x:c r="F45" s="1" t="inlineStr">
        <x:is>
          <x:t xml:space="preserve">#1#2 : Fuel Injector (?)                                 ( ~MPG = MPH*1100/value )</x:t>
        </x:is>
      </x:c>
      <x:c r="G45" s="1" t="n"/>
      <x:c r="H45" s="1" t="inlineStr">
        <x:is>
          <x:t xml:space="preserve">----</x:t>
        </x:is>
      </x:c>
      <x:c r="I45" s="1" t="inlineStr">
        <x:is>
          <x:t xml:space="preserve">----</x:t>
        </x:is>
      </x:c>
      <x:c r="J45" s="1" t="inlineStr">
        <x:is>
          <x:t xml:space="preserve">----</x:t>
        </x:is>
      </x:c>
      <x:c r="K45" s="1" t="inlineStr">
        <x:is>
          <x:t xml:space="preserve">----</x:t>
        </x:is>
      </x:c>
      <x:c r="L45" s="1" t="inlineStr">
        <x:is>
          <x:t xml:space="preserve">----</x:t>
        </x:is>
      </x:c>
      <x:c r="M45" s="1" t="inlineStr">
        <x:is>
          <x:t xml:space="preserve">no activity when EV</x:t>
        </x:is>
      </x:c>
    </x:row>
    <x:row r="46">
      <x:c r="A46" s="1" t="n">
        <x:v>521</x:v>
      </x:c>
      <x:c r="B46" s="1" t="inlineStr">
        <x:is>
          <x:t xml:space="preserve">const?</x:t>
        </x:is>
      </x:c>
      <x:c r="C46" s="1" t="n">
        <x:v>2.1</x:v>
      </x:c>
      <x:c r="D46" s="1" t="n">
        <x:v>2</x:v>
      </x:c>
      <x:c r="E46" s="1" t="inlineStr">
        <x:is>
          <x:t xml:space="preserve">0x23</x:t>
        </x:is>
      </x:c>
      <x:c r="F46" s="1" t="inlineStr">
        <x:is>
          <x:t xml:space="preserve">0x00</x:t>
        </x:is>
      </x:c>
      <x:c r="G46" s="1" t="inlineStr">
        <x:is>
          <x:t xml:space="preserve">----</x:t>
        </x:is>
      </x:c>
      <x:c r="H46" s="1" t="inlineStr">
        <x:is>
          <x:t xml:space="preserve">----</x:t>
        </x:is>
      </x:c>
      <x:c r="I46" s="1" t="inlineStr">
        <x:is>
          <x:t xml:space="preserve">----</x:t>
        </x:is>
      </x:c>
      <x:c r="J46" s="1" t="inlineStr">
        <x:is>
          <x:t xml:space="preserve">----</x:t>
        </x:is>
      </x:c>
      <x:c r="K46" s="1" t="inlineStr">
        <x:is>
          <x:t xml:space="preserve">----</x:t>
        </x:is>
      </x:c>
      <x:c r="L46" s="1" t="inlineStr">
        <x:is>
          <x:t xml:space="preserve">----</x:t>
        </x:is>
      </x:c>
      <x:c r="M46" s="1" t="inlineStr">
        <x:is>
          <x:t xml:space="preserve">no activity when EV</x:t>
        </x:is>
      </x:c>
    </x:row>
    <x:row r="47">
      <x:c r="A47" s="1" t="n">
        <x:v>526</x:v>
      </x:c>
      <x:c r="B47" s="1" t="inlineStr">
        <x:is>
          <x:t xml:space="preserve">Timing</x:t>
        </x:is>
      </x:c>
      <x:c r="C47" s="1" t="inlineStr">
        <x:is>
          <x:t xml:space="preserve">1.3~1.4</x:t>
        </x:is>
      </x:c>
      <x:c r="D47" s="1" t="n">
        <x:v>3</x:v>
      </x:c>
      <x:c r="E47" s="1" t="inlineStr">
        <x:is>
          <x:t xml:space="preserve">0x24</x:t>
        </x:is>
      </x:c>
      <x:c r="F47" s="1" t="inlineStr">
        <x:is>
          <x:t xml:space="preserve">ignition degrees ( BTDC ? CAM? )</x:t>
        </x:is>
      </x:c>
      <x:c r="G47" s="1" t="n"/>
      <x:c r="H47" s="1" t="inlineStr">
        <x:is>
          <x:t xml:space="preserve">----</x:t>
        </x:is>
      </x:c>
      <x:c r="I47" s="1" t="inlineStr">
        <x:is>
          <x:t xml:space="preserve">----</x:t>
        </x:is>
      </x:c>
      <x:c r="J47" s="1" t="inlineStr">
        <x:is>
          <x:t xml:space="preserve">----</x:t>
        </x:is>
      </x:c>
      <x:c r="K47" s="1" t="inlineStr">
        <x:is>
          <x:t xml:space="preserve">----</x:t>
        </x:is>
      </x:c>
      <x:c r="L47" s="1" t="inlineStr">
        <x:is>
          <x:t xml:space="preserve">----</x:t>
        </x:is>
      </x:c>
      <x:c r="M47" s="1" t="inlineStr">
        <x:is>
          <x:t xml:space="preserve">no activity when EV</x:t>
        </x:is>
      </x:c>
    </x:row>
    <x:row r="48">
      <x:c r="A48" s="1" t="n">
        <x:v>527</x:v>
      </x:c>
      <x:c r="B48" s="1" t="inlineStr">
        <x:is>
          <x:t xml:space="preserve">const?</x:t>
        </x:is>
      </x:c>
      <x:c r="C48" s="1" t="inlineStr">
        <x:is>
          <x:t xml:space="preserve">0.5~0.6</x:t>
        </x:is>
      </x:c>
      <x:c r="D48" s="1" t="n">
        <x:v>3</x:v>
      </x:c>
      <x:c r="E48" s="1" t="inlineStr">
        <x:is>
          <x:t xml:space="preserve">0x24</x:t>
        </x:is>
      </x:c>
      <x:c r="F48" s="1" t="inlineStr">
        <x:is>
          <x:t xml:space="preserve">0x01</x:t>
        </x:is>
      </x:c>
      <x:c r="G48" s="1" t="inlineStr">
        <x:is>
          <x:t xml:space="preserve">0xFF</x:t>
        </x:is>
      </x:c>
      <x:c r="H48" s="1" t="inlineStr">
        <x:is>
          <x:t xml:space="preserve">----</x:t>
        </x:is>
      </x:c>
      <x:c r="I48" s="1" t="inlineStr">
        <x:is>
          <x:t xml:space="preserve">----</x:t>
        </x:is>
      </x:c>
      <x:c r="J48" s="1" t="inlineStr">
        <x:is>
          <x:t xml:space="preserve">----</x:t>
        </x:is>
      </x:c>
      <x:c r="K48" s="1" t="inlineStr">
        <x:is>
          <x:t xml:space="preserve">----</x:t>
        </x:is>
      </x:c>
      <x:c r="L48" s="1" t="inlineStr">
        <x:is>
          <x:t xml:space="preserve">----</x:t>
        </x:is>
      </x:c>
      <x:c r="M48" s="1" t="n"/>
    </x:row>
    <x:row r="49">
      <x:c r="A49" s="1" t="n">
        <x:v>528</x:v>
      </x:c>
      <x:c r="B49" s="1" t="inlineStr">
        <x:is>
          <x:t xml:space="preserve">const?</x:t>
        </x:is>
      </x:c>
      <x:c r="C49" s="1" t="inlineStr">
        <x:is>
          <x:t xml:space="preserve">1.3~1.4</x:t>
        </x:is>
      </x:c>
      <x:c r="D49" s="1" t="n">
        <x:v>4</x:v>
      </x:c>
      <x:c r="E49" s="1" t="inlineStr">
        <x:is>
          <x:t xml:space="preserve">0x25</x:t>
        </x:is>
      </x:c>
      <x:c r="F49" s="1" t="inlineStr">
        <x:is>
          <x:t xml:space="preserve">0x00</x:t>
        </x:is>
      </x:c>
      <x:c r="G49" s="1" t="inlineStr">
        <x:is>
          <x:t xml:space="preserve">0x00</x:t>
        </x:is>
      </x:c>
      <x:c r="H49" s="1" t="inlineStr">
        <x:is>
          <x:t xml:space="preserve">0x00</x:t>
        </x:is>
      </x:c>
      <x:c r="I49" s="1" t="inlineStr">
        <x:is>
          <x:t xml:space="preserve">----</x:t>
        </x:is>
      </x:c>
      <x:c r="J49" s="1" t="inlineStr">
        <x:is>
          <x:t xml:space="preserve">----</x:t>
        </x:is>
      </x:c>
      <x:c r="K49" s="1" t="inlineStr">
        <x:is>
          <x:t xml:space="preserve">----</x:t>
        </x:is>
      </x:c>
      <x:c r="L49" s="1" t="inlineStr">
        <x:is>
          <x:t xml:space="preserve">----</x:t>
        </x:is>
      </x:c>
      <x:c r="M49" s="1" t="n"/>
    </x:row>
    <x:row r="50">
      <x:c r="A50" s="1" t="n">
        <x:v>529</x:v>
      </x:c>
      <x:c r="B50" s="1" t="inlineStr">
        <x:is>
          <x:t xml:space="preserve">( Interlock ) / EV MODE (*)</x:t>
        </x:is>
      </x:c>
      <x:c r="C50" s="1" t="n">
        <x:v>0.6</x:v>
      </x:c>
      <x:c r="D50" s="1" t="n">
        <x:v>6</x:v>
      </x:c>
      <x:c r="E50" s="1" t="inlineStr">
        <x:is>
          <x:t xml:space="preserve">bit#7 pressed/depressed</x:t>
        </x:is>
      </x:c>
      <x:c r="F50" s="1" t="inlineStr">
        <x:is>
          <x:t xml:space="preserve">----</x:t>
        </x:is>
      </x:c>
      <x:c r="G50" s="1" t="inlineStr">
        <x:is>
          <x:t xml:space="preserve">----</x:t>
        </x:is>
      </x:c>
      <x:c r="H50" s="1" t="inlineStr">
        <x:is>
          <x:t xml:space="preserve">bit#3</x:t>
        </x:is>
      </x:c>
      <x:c r="I50" s="1" t="inlineStr">
        <x:is>
          <x:t xml:space="preserve">0x00=Normal Drive  0x40=EVMode  0x80=EVDenied  Other=Cancelled</x:t>
        </x:is>
      </x:c>
      <x:c r="J50" s="1" t="inlineStr">
        <x:is>
          <x:t xml:space="preserve">----</x:t>
        </x:is>
      </x:c>
      <x:c r="K50" s="1" t="inlineStr">
        <x:is>
          <x:t xml:space="preserve">----</x:t>
        </x:is>
      </x:c>
      <x:c r="L50" s="1" t="inlineStr">
        <x:is>
          <x:t xml:space="preserve">----</x:t>
        </x:is>
      </x:c>
      <x:c r="M50" s="1" t="n"/>
    </x:row>
    <x:row r="51">
      <x:c r="A51" s="1" t="inlineStr">
        <x:is>
          <x:t xml:space="preserve">52C</x:t>
        </x:is>
      </x:c>
      <x:c r="B51" s="1" t="inlineStr">
        <x:is>
          <x:t xml:space="preserve">Engine coolant temp (*)</x:t>
        </x:is>
      </x:c>
      <x:c r="C51" s="1" t="n">
        <x:v>0.6</x:v>
      </x:c>
      <x:c r="D51" s="1" t="n">
        <x:v>2</x:v>
      </x:c>
      <x:c r="E51" s="1" t="inlineStr">
        <x:is>
          <x:t xml:space="preserve">0x23</x:t>
        </x:is>
      </x:c>
      <x:c r="F51" s="1" t="inlineStr">
        <x:is>
          <x:t xml:space="preserve">value in Celsius, unit is 0.5C</x:t>
        </x:is>
      </x:c>
      <x:c r="G51" s="1" t="inlineStr">
        <x:is>
          <x:t xml:space="preserve">----</x:t>
        </x:is>
      </x:c>
      <x:c r="H51" s="1" t="inlineStr">
        <x:is>
          <x:t xml:space="preserve">----</x:t>
        </x:is>
      </x:c>
      <x:c r="I51" s="1" t="inlineStr">
        <x:is>
          <x:t xml:space="preserve">----</x:t>
        </x:is>
      </x:c>
      <x:c r="J51" s="1" t="inlineStr">
        <x:is>
          <x:t xml:space="preserve">----</x:t>
        </x:is>
      </x:c>
      <x:c r="K51" s="1" t="inlineStr">
        <x:is>
          <x:t xml:space="preserve">----</x:t>
        </x:is>
      </x:c>
      <x:c r="L51" s="1" t="inlineStr">
        <x:is>
          <x:t xml:space="preserve">----</x:t>
        </x:is>
      </x:c>
      <x:c r="M51" s="1" t="n"/>
    </x:row>
    <x:row r="52">
      <x:c r="A52" s="1" t="n">
        <x:v>540</x:v>
      </x:c>
      <x:c r="B52" s="1" t="inlineStr">
        <x:is>
          <x:t xml:space="preserve">Shift lever</x:t>
        </x:is>
      </x:c>
      <x:c r="C52" s="1" t="n">
        <x:v>0.5</x:v>
      </x:c>
      <x:c r="D52" s="1" t="n">
        <x:v>4</x:v>
      </x:c>
      <x:c r="E52" s="1" t="inlineStr">
        <x:is>
          <x:t xml:space="preserve">bit#7 transition</x:t>
        </x:is>
      </x:c>
      <x:c r="F52" s="1" t="inlineStr">
        <x:is>
          <x:t xml:space="preserve">00=B 10=D 20=N 40=R 80=P</x:t>
        </x:is>
      </x:c>
      <x:c r="G52" s="1" t="inlineStr">
        <x:is>
          <x:t xml:space="preserve">----</x:t>
        </x:is>
      </x:c>
      <x:c r="H52" s="1" t="inlineStr">
        <x:is>
          <x:t xml:space="preserve">----</x:t>
        </x:is>
      </x:c>
      <x:c r="I52" s="1" t="inlineStr">
        <x:is>
          <x:t xml:space="preserve">----</x:t>
        </x:is>
      </x:c>
      <x:c r="J52" s="1" t="inlineStr">
        <x:is>
          <x:t xml:space="preserve">----</x:t>
        </x:is>
      </x:c>
      <x:c r="K52" s="1" t="inlineStr">
        <x:is>
          <x:t xml:space="preserve">----</x:t>
        </x:is>
      </x:c>
      <x:c r="L52" s="1" t="inlineStr">
        <x:is>
          <x:t xml:space="preserve">----</x:t>
        </x:is>
      </x:c>
      <x:c r="M52" s="1" t="n"/>
    </x:row>
    <x:row r="53">
      <x:c r="A53" s="1" t="n">
        <x:v>553</x:v>
      </x:c>
      <x:c r="B53" s="1" t="inlineStr">
        <x:is>
          <x:t xml:space="preserve">const?</x:t>
        </x:is>
      </x:c>
      <x:c r="C53" s="1" t="n">
        <x:v>0.7</x:v>
      </x:c>
      <x:c r="D53" s="1" t="n">
        <x:v>7</x:v>
      </x:c>
      <x:c r="E53" s="1" t="inlineStr">
        <x:is>
          <x:t xml:space="preserve">0x58</x:t>
        </x:is>
      </x:c>
      <x:c r="F53" s="1" t="inlineStr">
        <x:is>
          <x:t xml:space="preserve">0x49</x:t>
        </x:is>
      </x:c>
      <x:c r="G53" s="1" t="inlineStr">
        <x:is>
          <x:t xml:space="preserve">0x00</x:t>
        </x:is>
      </x:c>
      <x:c r="H53" s="1" t="inlineStr">
        <x:is>
          <x:t xml:space="preserve">0x08</x:t>
        </x:is>
      </x:c>
      <x:c r="I53" s="1" t="inlineStr">
        <x:is>
          <x:t xml:space="preserve">0x00</x:t>
        </x:is>
      </x:c>
      <x:c r="J53" s="1" t="inlineStr">
        <x:is>
          <x:t xml:space="preserve">0x00</x:t>
        </x:is>
      </x:c>
      <x:c r="K53" s="1" t="inlineStr">
        <x:is>
          <x:t xml:space="preserve">0x00</x:t>
        </x:is>
      </x:c>
      <x:c r="L53" s="1" t="inlineStr">
        <x:is>
          <x:t xml:space="preserve">----</x:t>
        </x:is>
      </x:c>
      <x:c r="M53" s="1" t="n"/>
    </x:row>
    <x:row r="54">
      <x:c r="A54" s="1" t="n">
        <x:v>554</x:v>
      </x:c>
      <x:c r="B54" s="1" t="inlineStr">
        <x:is>
          <x:t xml:space="preserve">const?</x:t>
        </x:is>
      </x:c>
      <x:c r="C54" s="1" t="n">
        <x:v>0.7</x:v>
      </x:c>
      <x:c r="D54" s="1" t="n">
        <x:v>7</x:v>
      </x:c>
      <x:c r="E54" s="1" t="inlineStr">
        <x:is>
          <x:t xml:space="preserve">0x58</x:t>
        </x:is>
      </x:c>
      <x:c r="F54" s="1" t="inlineStr">
        <x:is>
          <x:t xml:space="preserve">0x41</x:t>
        </x:is>
      </x:c>
      <x:c r="G54" s="1" t="inlineStr">
        <x:is>
          <x:t xml:space="preserve">0x42</x:t>
        </x:is>
      </x:c>
      <x:c r="H54" s="1" t="inlineStr">
        <x:is>
          <x:t xml:space="preserve">0x4C</x:t>
        </x:is>
      </x:c>
      <x:c r="I54" s="1" t="inlineStr">
        <x:is>
          <x:t xml:space="preserve">0x41</x:t>
        </x:is>
      </x:c>
      <x:c r="J54" s="1" t="inlineStr">
        <x:is>
          <x:t xml:space="preserve">0x45</x:t>
        </x:is>
      </x:c>
      <x:c r="K54" s="1" t="inlineStr">
        <x:is>
          <x:t xml:space="preserve">0x4E</x:t>
        </x:is>
      </x:c>
      <x:c r="L54" s="1" t="inlineStr">
        <x:is>
          <x:t xml:space="preserve">----</x:t>
        </x:is>
      </x:c>
      <x:c r="M54" s="1" t="n"/>
    </x:row>
    <x:row r="55">
      <x:c r="A55" s="1" t="inlineStr">
        <x:is>
          <x:t xml:space="preserve">56D</x:t>
        </x:is>
      </x:c>
      <x:c r="B55" s="1" t="inlineStr">
        <x:is>
          <x:t xml:space="preserve">EV ?</x:t>
        </x:is>
      </x:c>
      <x:c r="C55" s="1" t="n">
        <x:v>0.7</x:v>
      </x:c>
      <x:c r="D55" s="1" t="n">
        <x:v>4</x:v>
      </x:c>
      <x:c r="E55" s="1" t="inlineStr">
        <x:is>
          <x:t xml:space="preserve">0x65</x:t>
        </x:is>
      </x:c>
      <x:c r="F55" s="1" t="inlineStr">
        <x:is>
          <x:t xml:space="preserve">0x6B</x:t>
        </x:is>
      </x:c>
      <x:c r="G55" s="1" t="inlineStr">
        <x:is>
          <x:t xml:space="preserve">0x00</x:t>
        </x:is>
      </x:c>
      <x:c r="H55" s="1" t="inlineStr">
        <x:is>
          <x:t xml:space="preserve">0xFF</x:t>
        </x:is>
      </x:c>
      <x:c r="I55" s="1" t="inlineStr">
        <x:is>
          <x:t xml:space="preserve">----</x:t>
        </x:is>
      </x:c>
      <x:c r="J55" s="1" t="inlineStr">
        <x:is>
          <x:t xml:space="preserve">----</x:t>
        </x:is>
      </x:c>
      <x:c r="K55" s="1" t="inlineStr">
        <x:is>
          <x:t xml:space="preserve">----</x:t>
        </x:is>
      </x:c>
      <x:c r="L55" s="1" t="inlineStr">
        <x:is>
          <x:t xml:space="preserve">----</x:t>
        </x:is>
      </x:c>
      <x:c r="M55" s="1" t="n"/>
    </x:row>
    <x:row r="56">
      <x:c r="A56" s="1" t="inlineStr">
        <x:is>
          <x:t xml:space="preserve">57F</x:t>
        </x:is>
      </x:c>
      <x:c r="B56" s="1" t="inlineStr">
        <x:is>
          <x:t xml:space="preserve">Lights (*)</x:t>
        </x:is>
      </x:c>
      <x:c r="C56" s="1" t="n">
        <x:v>0.7</x:v>
      </x:c>
      <x:c r="D56" s="1" t="n">
        <x:v>7</x:v>
      </x:c>
      <x:c r="E56" s="1" t="inlineStr">
        <x:is>
          <x:t xml:space="preserve">bit#7 transition</x:t>
        </x:is>
      </x:c>
      <x:c r="F56" s="1" t="inlineStr">
        <x:is>
          <x:t xml:space="preserve">00=Off 10=Park 30=On 38=HighBeam</x:t>
        </x:is>
      </x:c>
      <x:c r="G56" s="1" t="inlineStr">
        <x:is>
          <x:t xml:space="preserve">bit#3 instruments 1=dimmed 0=normal ( 0x18/0x10 )</x:t>
        </x:is>
      </x:c>
      <x:c r="H56" s="1" t="inlineStr">
        <x:is>
          <x:t xml:space="preserve">----</x:t>
        </x:is>
      </x:c>
      <x:c r="I56" s="1" t="inlineStr">
        <x:is>
          <x:t xml:space="preserve">----</x:t>
        </x:is>
      </x:c>
      <x:c r="J56" s="1" t="inlineStr">
        <x:is>
          <x:t xml:space="preserve">----</x:t>
        </x:is>
      </x:c>
      <x:c r="K56" s="1" t="inlineStr">
        <x:is>
          <x:t xml:space="preserve">----</x:t>
        </x:is>
      </x:c>
      <x:c r="L56" s="1" t="inlineStr">
        <x:is>
          <x:t xml:space="preserve">----</x:t>
        </x:is>
      </x:c>
      <x:c r="M56" s="1" t="n"/>
    </x:row>
    <x:row r="57">
      <x:c r="A57" s="1" t="n">
        <x:v>591</x:v>
      </x:c>
      <x:c r="B57" s="1" t="inlineStr">
        <x:is>
          <x:t xml:space="preserve">const?</x:t>
        </x:is>
      </x:c>
      <x:c r="C57" s="1" t="inlineStr">
        <x:is>
          <x:t xml:space="preserve">0.7~1.4</x:t>
        </x:is>
      </x:c>
      <x:c r="D57" s="1" t="n">
        <x:v>4</x:v>
      </x:c>
      <x:c r="E57" s="1" t="inlineStr">
        <x:is>
          <x:t xml:space="preserve">0x25</x:t>
        </x:is>
      </x:c>
      <x:c r="F57" s="1" t="inlineStr">
        <x:is>
          <x:t xml:space="preserve">0x00</x:t>
        </x:is>
      </x:c>
      <x:c r="G57" s="1" t="inlineStr">
        <x:is>
          <x:t xml:space="preserve">0x00</x:t>
        </x:is>
      </x:c>
      <x:c r="H57" s="1" t="inlineStr">
        <x:is>
          <x:t xml:space="preserve">0x00</x:t>
        </x:is>
      </x:c>
      <x:c r="I57" s="1" t="inlineStr">
        <x:is>
          <x:t xml:space="preserve">----</x:t>
        </x:is>
      </x:c>
      <x:c r="J57" s="1" t="inlineStr">
        <x:is>
          <x:t xml:space="preserve">----</x:t>
        </x:is>
      </x:c>
      <x:c r="K57" s="1" t="inlineStr">
        <x:is>
          <x:t xml:space="preserve">----</x:t>
        </x:is>
      </x:c>
      <x:c r="L57" s="1" t="inlineStr">
        <x:is>
          <x:t xml:space="preserve">----</x:t>
        </x:is>
      </x:c>
      <x:c r="M57" s="1" t="n"/>
    </x:row>
    <x:row r="58">
      <x:c r="A58" s="1" t="inlineStr">
        <x:is>
          <x:t xml:space="preserve">5A4</x:t>
        </x:is>
      </x:c>
      <x:c r="B58" s="1" t="inlineStr">
        <x:is>
          <x:t xml:space="preserve">Gas Gauge (*)</x:t>
        </x:is>
      </x:c>
      <x:c r="C58" s="1" t="n">
        <x:v>0.2</x:v>
      </x:c>
      <x:c r="D58" s="1" t="n">
        <x:v>2</x:v>
      </x:c>
      <x:c r="E58" s="1" t="inlineStr">
        <x:is>
          <x:t xml:space="preserve">----</x:t>
        </x:is>
      </x:c>
      <x:c r="F58" s="1" t="inlineStr">
        <x:is>
          <x:t xml:space="preserve">value ( my recorded max is 0x28 )</x:t>
        </x:is>
      </x:c>
      <x:c r="G58" s="1" t="inlineStr">
        <x:is>
          <x:t xml:space="preserve">----</x:t>
        </x:is>
      </x:c>
      <x:c r="H58" s="1" t="inlineStr">
        <x:is>
          <x:t xml:space="preserve">----</x:t>
        </x:is>
      </x:c>
      <x:c r="I58" s="1" t="inlineStr">
        <x:is>
          <x:t xml:space="preserve">----</x:t>
        </x:is>
      </x:c>
      <x:c r="J58" s="1" t="inlineStr">
        <x:is>
          <x:t xml:space="preserve">----</x:t>
        </x:is>
      </x:c>
      <x:c r="K58" s="1" t="inlineStr">
        <x:is>
          <x:t xml:space="preserve">----</x:t>
        </x:is>
      </x:c>
      <x:c r="L58" s="1" t="inlineStr">
        <x:is>
          <x:t xml:space="preserve">----</x:t>
        </x:is>
      </x:c>
      <x:c r="M58" s="1" t="n"/>
    </x:row>
    <x:row r="59">
      <x:c r="A59" s="1" t="inlineStr">
        <x:is>
          <x:t xml:space="preserve">5B2</x:t>
        </x:is>
      </x:c>
      <x:c r="B59" s="1" t="inlineStr">
        <x:is>
          <x:t xml:space="preserve">const?</x:t>
        </x:is>
      </x:c>
      <x:c r="C59" s="1" t="n">
        <x:v>0.1</x:v>
      </x:c>
      <x:c r="D59" s="1" t="n">
        <x:v>4</x:v>
      </x:c>
      <x:c r="E59" s="1" t="inlineStr">
        <x:is>
          <x:t xml:space="preserve">0x25</x:t>
        </x:is>
      </x:c>
      <x:c r="F59" s="1" t="inlineStr">
        <x:is>
          <x:t xml:space="preserve">0x00</x:t>
        </x:is>
      </x:c>
      <x:c r="G59" s="1" t="inlineStr">
        <x:is>
          <x:t xml:space="preserve">0x04</x:t>
        </x:is>
      </x:c>
      <x:c r="H59" s="1" t="inlineStr">
        <x:is>
          <x:t xml:space="preserve">0x00</x:t>
        </x:is>
      </x:c>
      <x:c r="I59" s="1" t="inlineStr">
        <x:is>
          <x:t xml:space="preserve">----</x:t>
        </x:is>
      </x:c>
      <x:c r="J59" s="1" t="inlineStr">
        <x:is>
          <x:t xml:space="preserve">----</x:t>
        </x:is>
      </x:c>
      <x:c r="K59" s="1" t="inlineStr">
        <x:is>
          <x:t xml:space="preserve">----</x:t>
        </x:is>
      </x:c>
      <x:c r="L59" s="1" t="inlineStr">
        <x:is>
          <x:t xml:space="preserve">----</x:t>
        </x:is>
      </x:c>
      <x:c r="M59" s="1" t="n"/>
    </x:row>
    <x:row r="60">
      <x:c r="A60" s="1" t="inlineStr">
        <x:is>
          <x:t xml:space="preserve">5B6</x:t>
        </x:is>
      </x:c>
      <x:c r="B60" s="1" t="inlineStr">
        <x:is>
          <x:t xml:space="preserve">Doors (*)</x:t>
        </x:is>
      </x:c>
      <x:c r="C60" s="1" t="inlineStr">
        <x:is>
          <x:t xml:space="preserve">0.6~0.7</x:t>
        </x:is>
      </x:c>
      <x:c r="D60" s="1" t="n">
        <x:v>3</x:v>
      </x:c>
      <x:c r="E60" s="1" t="inlineStr">
        <x:is>
          <x:t xml:space="preserve">bit#7 transition</x:t>
        </x:is>
      </x:c>
      <x:c r="F60" s="1" t="inlineStr">
        <x:is>
          <x:t xml:space="preserve">----</x:t>
        </x:is>
      </x:c>
      <x:c r="G60" s="1" t="inlineStr">
        <x:is>
          <x:t xml:space="preserve">00=Closed 04=Rear 40=Passenger 80=Driver open</x:t>
        </x:is>
      </x:c>
      <x:c r="H60" s="1" t="inlineStr">
        <x:is>
          <x:t xml:space="preserve">----</x:t>
        </x:is>
      </x:c>
      <x:c r="I60" s="1" t="inlineStr">
        <x:is>
          <x:t xml:space="preserve">----</x:t>
        </x:is>
      </x:c>
      <x:c r="J60" s="1" t="inlineStr">
        <x:is>
          <x:t xml:space="preserve">----</x:t>
        </x:is>
      </x:c>
      <x:c r="K60" s="1" t="inlineStr">
        <x:is>
          <x:t xml:space="preserve">----</x:t>
        </x:is>
      </x:c>
      <x:c r="L60" s="1" t="inlineStr">
        <x:is>
          <x:t xml:space="preserve">----</x:t>
        </x:is>
      </x:c>
      <x:c r="M60" s="1" t="n"/>
    </x:row>
    <x:row r="61">
      <x:c r="A61" s="1" t="inlineStr">
        <x:is>
          <x:t xml:space="preserve">5C8</x:t>
        </x:is>
      </x:c>
      <x:c r="B61" s="1" t="inlineStr">
        <x:is>
          <x:t xml:space="preserve">Cruise</x:t>
        </x:is>
      </x:c>
      <x:c r="C61" s="1" t="n">
        <x:v>0.5</x:v>
      </x:c>
      <x:c r="D61" s="1" t="n">
        <x:v>3</x:v>
      </x:c>
      <x:c r="E61" s="1" t="inlineStr">
        <x:is>
          <x:t xml:space="preserve">bit#7 transition</x:t>
        </x:is>
      </x:c>
      <x:c r="F61" s="1" t="inlineStr">
        <x:is>
          <x:t xml:space="preserve">----</x:t>
        </x:is>
      </x:c>
      <x:c r="G61" s="1" t="inlineStr">
        <x:is>
          <x:t xml:space="preserve">00=Off 10=On</x:t>
        </x:is>
      </x:c>
      <x:c r="H61" s="1" t="inlineStr">
        <x:is>
          <x:t xml:space="preserve">----</x:t>
        </x:is>
      </x:c>
      <x:c r="I61" s="1" t="inlineStr">
        <x:is>
          <x:t xml:space="preserve">----</x:t>
        </x:is>
      </x:c>
      <x:c r="J61" s="1" t="inlineStr">
        <x:is>
          <x:t xml:space="preserve">----</x:t>
        </x:is>
      </x:c>
      <x:c r="K61" s="1" t="inlineStr">
        <x:is>
          <x:t xml:space="preserve">----</x:t>
        </x:is>
      </x:c>
      <x:c r="L61" s="1" t="inlineStr">
        <x:is>
          <x:t xml:space="preserve">----</x:t>
        </x:is>
      </x:c>
      <x:c r="M61" s="1" t="n"/>
    </x:row>
    <x:row r="62">
      <x:c r="A62" s="1" t="inlineStr">
        <x:is>
          <x:t xml:space="preserve">5CC</x:t>
        </x:is>
      </x:c>
      <x:c r="B62" s="1" t="inlineStr">
        <x:is>
          <x:t xml:space="preserve">const?</x:t>
        </x:is>
      </x:c>
      <x:c r="C62" s="1" t="n">
        <x:v>2.6</x:v>
      </x:c>
      <x:c r="D62" s="1" t="n">
        <x:v>3</x:v>
      </x:c>
      <x:c r="E62" s="1" t="inlineStr">
        <x:is>
          <x:t xml:space="preserve">0x24</x:t>
        </x:is>
      </x:c>
      <x:c r="F62" s="1" t="inlineStr">
        <x:is>
          <x:t xml:space="preserve">0x01</x:t>
        </x:is>
      </x:c>
      <x:c r="G62" s="1" t="inlineStr">
        <x:is>
          <x:t xml:space="preserve">0xA5</x:t>
        </x:is>
      </x:c>
      <x:c r="H62" s="1" t="inlineStr">
        <x:is>
          <x:t xml:space="preserve">----</x:t>
        </x:is>
      </x:c>
      <x:c r="I62" s="1" t="inlineStr">
        <x:is>
          <x:t xml:space="preserve">----</x:t>
        </x:is>
      </x:c>
      <x:c r="J62" s="1" t="inlineStr">
        <x:is>
          <x:t xml:space="preserve">----</x:t>
        </x:is>
      </x:c>
      <x:c r="K62" s="1" t="inlineStr">
        <x:is>
          <x:t xml:space="preserve">----</x:t>
        </x:is>
      </x:c>
      <x:c r="L62" s="1" t="inlineStr">
        <x:is>
          <x:t xml:space="preserve">----</x:t>
        </x:is>
      </x:c>
      <x:c r="M62" s="1" t="n"/>
    </x:row>
    <x:row r="63">
      <x:c r="A63" s="1" t="inlineStr">
        <x:is>
          <x:t xml:space="preserve">5D4</x:t>
        </x:is>
      </x:c>
      <x:c r="B63" s="1" t="inlineStr">
        <x:is>
          <x:t xml:space="preserve">const?</x:t>
        </x:is>
      </x:c>
      <x:c r="C63" s="1" t="n">
        <x:v>0.7</x:v>
      </x:c>
      <x:c r="D63" s="1" t="n">
        <x:v>2</x:v>
      </x:c>
      <x:c r="E63" s="1" t="inlineStr">
        <x:is>
          <x:t xml:space="preserve">0x23</x:t>
        </x:is>
      </x:c>
      <x:c r="F63" s="1" t="inlineStr">
        <x:is>
          <x:t xml:space="preserve">0x00</x:t>
        </x:is>
      </x:c>
      <x:c r="G63" s="1" t="inlineStr">
        <x:is>
          <x:t xml:space="preserve">----</x:t>
        </x:is>
      </x:c>
      <x:c r="H63" s="1" t="inlineStr">
        <x:is>
          <x:t xml:space="preserve">----</x:t>
        </x:is>
      </x:c>
      <x:c r="I63" s="1" t="inlineStr">
        <x:is>
          <x:t xml:space="preserve">----</x:t>
        </x:is>
      </x:c>
      <x:c r="J63" s="1" t="inlineStr">
        <x:is>
          <x:t xml:space="preserve">----</x:t>
        </x:is>
      </x:c>
      <x:c r="K63" s="1" t="inlineStr">
        <x:is>
          <x:t xml:space="preserve">----</x:t>
        </x:is>
      </x:c>
      <x:c r="L63" s="1" t="inlineStr">
        <x:is>
          <x:t xml:space="preserve">----</x:t>
        </x:is>
      </x:c>
      <x:c r="M63" s="1" t="n"/>
    </x:row>
    <x:row r="64">
      <x:c r="A64" s="1" t="inlineStr">
        <x:is>
          <x:t xml:space="preserve">5EC</x:t>
        </x:is>
      </x:c>
      <x:c r="B64" s="1" t="inlineStr">
        <x:is>
          <x:t xml:space="preserve">const?</x:t>
        </x:is>
      </x:c>
      <x:c r="C64" s="1" t="n">
        <x:v>1</x:v>
      </x:c>
      <x:c r="D64" s="1" t="n">
        <x:v>7</x:v>
      </x:c>
      <x:c r="E64" s="1" t="inlineStr">
        <x:is>
          <x:t xml:space="preserve">0x28</x:t>
        </x:is>
      </x:c>
      <x:c r="F64" s="1" t="inlineStr">
        <x:is>
          <x:t xml:space="preserve">0x00</x:t>
        </x:is>
      </x:c>
      <x:c r="G64" s="1" t="inlineStr">
        <x:is>
          <x:t xml:space="preserve">0x00</x:t>
        </x:is>
      </x:c>
      <x:c r="H64" s="1" t="inlineStr">
        <x:is>
          <x:t xml:space="preserve">0x00</x:t>
        </x:is>
      </x:c>
      <x:c r="I64" s="1" t="inlineStr">
        <x:is>
          <x:t xml:space="preserve">0x00</x:t>
        </x:is>
      </x:c>
      <x:c r="J64" s="1" t="inlineStr">
        <x:is>
          <x:t xml:space="preserve">0x1C</x:t>
        </x:is>
      </x:c>
      <x:c r="K64" s="1" t="inlineStr">
        <x:is>
          <x:t xml:space="preserve">0x3D</x:t>
        </x:is>
      </x:c>
      <x:c r="L64" s="1" t="inlineStr">
        <x:is>
          <x:t xml:space="preserve">----</x:t>
        </x:is>
      </x:c>
      <x:c r="M64" s="1" t="n"/>
    </x:row>
    <x:row r="65">
      <x:c r="A65" s="1" t="inlineStr">
        <x:is>
          <x:t xml:space="preserve">5ED</x:t>
        </x:is>
      </x:c>
      <x:c r="B65" s="1" t="inlineStr">
        <x:is>
          <x:t xml:space="preserve">const?</x:t>
        </x:is>
      </x:c>
      <x:c r="C65" s="1" t="n">
        <x:v>0.7</x:v>
      </x:c>
      <x:c r="D65" s="1" t="n">
        <x:v>6</x:v>
      </x:c>
      <x:c r="E65" s="1" t="inlineStr">
        <x:is>
          <x:t xml:space="preserve">0x67</x:t>
        </x:is>
      </x:c>
      <x:c r="F65" s="1" t="inlineStr">
        <x:is>
          <x:t xml:space="preserve">0x08</x:t>
        </x:is>
      </x:c>
      <x:c r="G65" s="1" t="inlineStr">
        <x:is>
          <x:t xml:space="preserve">0x00</x:t>
        </x:is>
      </x:c>
      <x:c r="H65" s="1" t="inlineStr">
        <x:is>
          <x:t xml:space="preserve">0xFF</x:t>
        </x:is>
      </x:c>
      <x:c r="I65" s="1" t="inlineStr">
        <x:is>
          <x:t xml:space="preserve">0x00</x:t>
        </x:is>
      </x:c>
      <x:c r="J65" s="1" t="inlineStr">
        <x:is>
          <x:t xml:space="preserve">0x00</x:t>
        </x:is>
      </x:c>
      <x:c r="K65" s="1" t="inlineStr">
        <x:is>
          <x:t xml:space="preserve">----</x:t>
        </x:is>
      </x:c>
      <x:c r="L65" s="1" t="inlineStr">
        <x:is>
          <x:t xml:space="preserve">----</x:t>
        </x:is>
      </x:c>
      <x:c r="M65" s="1" t="n"/>
    </x:row>
    <x:row r="66">
      <x:c r="A66" s="1" t="inlineStr">
        <x:is>
          <x:t xml:space="preserve">5F8</x:t>
        </x:is>
      </x:c>
      <x:c r="B66" s="1" t="inlineStr">
        <x:is>
          <x:t xml:space="preserve">const?</x:t>
        </x:is>
      </x:c>
      <x:c r="C66" s="1" t="inlineStr">
        <x:is>
          <x:t xml:space="preserve">0.6~0.7</x:t>
        </x:is>
      </x:c>
      <x:c r="D66" s="1" t="n">
        <x:v>2</x:v>
      </x:c>
      <x:c r="E66" s="1" t="inlineStr">
        <x:is>
          <x:t xml:space="preserve">0x23</x:t>
        </x:is>
      </x:c>
      <x:c r="F66" s="1" t="inlineStr">
        <x:is>
          <x:t xml:space="preserve">0x00</x:t>
        </x:is>
      </x:c>
      <x:c r="G66" s="1" t="inlineStr">
        <x:is>
          <x:t xml:space="preserve">----</x:t>
        </x:is>
      </x:c>
      <x:c r="H66" s="1" t="inlineStr">
        <x:is>
          <x:t xml:space="preserve">----</x:t>
        </x:is>
      </x:c>
      <x:c r="I66" s="1" t="inlineStr">
        <x:is>
          <x:t xml:space="preserve">----</x:t>
        </x:is>
      </x:c>
      <x:c r="J66" s="1" t="inlineStr">
        <x:is>
          <x:t xml:space="preserve">----</x:t>
        </x:is>
      </x:c>
      <x:c r="K66" s="1" t="inlineStr">
        <x:is>
          <x:t xml:space="preserve">----</x:t>
        </x:is>
      </x:c>
      <x:c r="L66" s="1" t="inlineStr">
        <x:is>
          <x:t xml:space="preserve">----</x:t>
        </x:is>
      </x:c>
      <x:c r="M66" s="1" t="n"/>
    </x:row>
    <x:row r="67">
      <x:c r="A67" s="1" t="n">
        <x:v>602</x:v>
      </x:c>
      <x:c r="B67" s="1" t="inlineStr">
        <x:is>
          <x:t xml:space="preserve">const?</x:t>
        </x:is>
      </x:c>
      <x:c r="C67" s="1" t="inlineStr">
        <x:is>
          <x:t xml:space="preserve">&lt;&lt;1</x:t>
        </x:is>
      </x:c>
      <x:c r="D67" s="1" t="n">
        <x:v>2</x:v>
      </x:c>
      <x:c r="E67" s="1" t="inlineStr">
        <x:is>
          <x:t xml:space="preserve">0x03</x:t>
        </x:is>
      </x:c>
      <x:c r="F67" s="1" t="inlineStr">
        <x:is>
          <x:t xml:space="preserve">0x00</x:t>
        </x:is>
      </x:c>
      <x:c r="G67" s="1" t="inlineStr">
        <x:is>
          <x:t xml:space="preserve">----</x:t>
        </x:is>
      </x:c>
      <x:c r="H67" s="1" t="inlineStr">
        <x:is>
          <x:t xml:space="preserve">----</x:t>
        </x:is>
      </x:c>
      <x:c r="I67" s="1" t="inlineStr">
        <x:is>
          <x:t xml:space="preserve">----</x:t>
        </x:is>
      </x:c>
      <x:c r="J67" s="1" t="inlineStr">
        <x:is>
          <x:t xml:space="preserve">----</x:t>
        </x:is>
      </x:c>
      <x:c r="K67" s="1" t="inlineStr">
        <x:is>
          <x:t xml:space="preserve">----</x:t>
        </x:is>
      </x:c>
      <x:c r="L67" s="1" t="inlineStr">
        <x:is>
          <x:t xml:space="preserve">----</x:t>
        </x:is>
      </x:c>
      <x:c r="M67" s="1" t="n"/>
    </x:row>
    <x:row r="68">
      <x:c r="A68" s="1" t="inlineStr">
        <x:is>
          <x:t xml:space="preserve">C00</x:t>
        </x:is>
      </x:c>
      <x:c r="B68" s="1" t="n"/>
      <x:c r="C68" s="1" t="n"/>
      <x:c r="D68" s="1" t="n"/>
      <x:c r="E68" s="1" t="inlineStr">
        <x:is>
          <x:t xml:space="preserve">----</x:t>
        </x:is>
      </x:c>
      <x:c r="F68" s="1" t="inlineStr">
        <x:is>
          <x:t xml:space="preserve">----</x:t>
        </x:is>
      </x:c>
      <x:c r="G68" s="1" t="inlineStr">
        <x:is>
          <x:t xml:space="preserve">----</x:t>
        </x:is>
      </x:c>
      <x:c r="H68" s="1" t="inlineStr">
        <x:is>
          <x:t xml:space="preserve">----</x:t>
        </x:is>
      </x:c>
      <x:c r="I68" s="1" t="inlineStr">
        <x:is>
          <x:t xml:space="preserve">----</x:t>
        </x:is>
      </x:c>
      <x:c r="J68" s="1" t="inlineStr">
        <x:is>
          <x:t xml:space="preserve">----</x:t>
        </x:is>
      </x:c>
      <x:c r="K68" s="1" t="inlineStr">
        <x:is>
          <x:t xml:space="preserve">----</x:t>
        </x:is>
      </x:c>
      <x:c r="L68" s="1" t="inlineStr">
        <x:is>
          <x:t xml:space="preserve">----</x:t>
        </x:is>
      </x:c>
      <x:c r="M68" s="1" t="n"/>
    </x:row>
    <x:row r="69">
      <x:c r="A69" s="1" t="n"/>
      <x:c r="B69" s="1" t="n"/>
      <x:c r="C69" s="1" t="n"/>
      <x:c r="D69" s="1" t="n"/>
      <x:c r="E69" s="1" t="n"/>
      <x:c r="F69" s="1" t="n"/>
      <x:c r="G69" s="1" t="n"/>
      <x:c r="H69" s="1" t="n"/>
      <x:c r="I69" s="1" t="n"/>
      <x:c r="J69" s="1" t="n"/>
      <x:c r="K69" s="1" t="n"/>
      <x:c r="L69" s="1" t="n"/>
      <x:c r="M69" s="1" t="n"/>
    </x:row>
    <x:row r="70">
      <x:c r="A70" s="1" t="n"/>
      <x:c r="B70" s="1" t="n"/>
      <x:c r="C70" s="1" t="inlineStr">
        <x:is>
          <x:t xml:space="preserve">1161~1166 frames / second</x:t>
        </x:is>
      </x:c>
      <x:c r="D70" s="1" t="n"/>
      <x:c r="E70" s="1" t="n"/>
      <x:c r="F70" s="1" t="n"/>
      <x:c r="G70" s="1" t="n"/>
      <x:c r="H70" s="1" t="n"/>
      <x:c r="I70" s="1" t="n"/>
      <x:c r="J70" s="1" t="n"/>
      <x:c r="K70" s="1" t="n"/>
      <x:c r="L70" s="1" t="n"/>
      <x:c r="M70" s="1" t="n"/>
    </x:row>
    <x:row r="71">
      <x:c r="A71" s="1" t="n"/>
      <x:c r="B71" s="1" t="n"/>
      <x:c r="C71" s="1" t="n"/>
      <x:c r="D71" s="1" t="n"/>
      <x:c r="E71" s="1" t="n"/>
      <x:c r="F71" s="1" t="n"/>
      <x:c r="G71" s="1" t="n"/>
      <x:c r="H71" s="1" t="n"/>
      <x:c r="I71" s="1" t="n"/>
      <x:c r="J71" s="1" t="n"/>
      <x:c r="K71" s="1" t="n"/>
      <x:c r="L71" s="1" t="n"/>
      <x:c r="M71" s="1" t="n"/>
    </x:row>
    <x:row r="72">
      <x:c r="A72" s="1" t="inlineStr">
        <x:is>
          <x:t xml:space="preserve">Solicited CAN messages ( still kind of experimental ) :</x:t>
        </x:is>
      </x:c>
      <x:c r="B72" s="1" t="n"/>
      <x:c r="C72" s="1" t="n"/>
      <x:c r="D72" s="1" t="n"/>
      <x:c r="E72" s="1" t="n"/>
      <x:c r="F72" s="1" t="n"/>
      <x:c r="G72" s="1" t="n"/>
      <x:c r="H72" s="1" t="n"/>
      <x:c r="I72" s="1" t="n"/>
      <x:c r="J72" s="1" t="n"/>
      <x:c r="K72" s="1" t="n"/>
      <x:c r="L72" s="1" t="n"/>
      <x:c r="M72" s="1" t="n"/>
    </x:row>
    <x:row r="73">
      <x:c r="A73" s="1" t="n"/>
      <x:c r="B73" s="1" t="n"/>
      <x:c r="C73" s="1" t="n"/>
      <x:c r="D73" s="1" t="n"/>
      <x:c r="E73" s="1" t="n"/>
      <x:c r="F73" s="1" t="n"/>
      <x:c r="G73" s="1" t="n"/>
      <x:c r="H73" s="1" t="n"/>
      <x:c r="I73" s="1" t="n"/>
      <x:c r="J73" s="1" t="n"/>
      <x:c r="K73" s="1" t="n"/>
      <x:c r="L73" s="1" t="n"/>
      <x:c r="M73" s="1" t="n"/>
    </x:row>
    <x:row r="74">
      <x:c r="A74" s="1" t="inlineStr">
        <x:is>
          <x:t xml:space="preserve">Engine = 7E0, response is on 7E8. ( Get DTCs = 0213 B000 )</x:t>
        </x:is>
      </x:c>
      <x:c r="B74" s="1" t="n"/>
      <x:c r="C74" s="1" t="n"/>
      <x:c r="D74" s="1" t="n"/>
      <x:c r="E74" s="1" t="n"/>
      <x:c r="F74" s="1" t="n"/>
      <x:c r="G74" s="1" t="n"/>
      <x:c r="H74" s="1" t="n"/>
      <x:c r="I74" s="1" t="n"/>
      <x:c r="J74" s="1" t="n"/>
      <x:c r="K74" s="1" t="n"/>
      <x:c r="L74" s="1" t="n"/>
      <x:c r="M74" s="1" t="n"/>
    </x:row>
    <x:row r="75">
      <x:c r="A75" s="1" t="inlineStr">
        <x:is>
          <x:t xml:space="preserve">HV ECU = 7E2, response on 7EA. ( Get DTCs = 0213 B000 )</x:t>
        </x:is>
      </x:c>
      <x:c r="B75" s="1" t="n"/>
      <x:c r="C75" s="1" t="n"/>
      <x:c r="D75" s="1" t="n"/>
      <x:c r="E75" s="1" t="n"/>
      <x:c r="F75" s="1" t="n"/>
      <x:c r="G75" s="1" t="n"/>
      <x:c r="H75" s="1" t="n"/>
      <x:c r="I75" s="1" t="n"/>
      <x:c r="J75" s="1" t="n"/>
      <x:c r="K75" s="1" t="n"/>
      <x:c r="L75" s="1" t="n"/>
      <x:c r="M75" s="1" t="n"/>
    </x:row>
    <x:row r="76">
      <x:c r="A76" s="1" t="inlineStr">
        <x:is>
          <x:t xml:space="preserve">Cruise Control = 7E2, response on 7EA. ( Get DTCs = 0213 8000 )</x:t>
        </x:is>
      </x:c>
      <x:c r="B76" s="1" t="n"/>
      <x:c r="C76" s="1" t="n"/>
      <x:c r="D76" s="1" t="n"/>
      <x:c r="E76" s="1" t="n"/>
      <x:c r="F76" s="1" t="n"/>
      <x:c r="G76" s="1" t="n"/>
      <x:c r="H76" s="1" t="n"/>
      <x:c r="I76" s="1" t="n"/>
      <x:c r="J76" s="1" t="n"/>
      <x:c r="K76" s="1" t="n"/>
      <x:c r="L76" s="1" t="n"/>
      <x:c r="M76" s="1" t="n"/>
    </x:row>
    <x:row r="77">
      <x:c r="A77" s="1" t="inlineStr">
        <x:is>
          <x:t xml:space="preserve">HV Battery = 7E3, response on 7EB. ( Get DTCs = 0213 8000 )</x:t>
        </x:is>
      </x:c>
      <x:c r="B77" s="1" t="n"/>
      <x:c r="C77" s="1" t="n"/>
      <x:c r="D77" s="1" t="n"/>
      <x:c r="E77" s="1" t="n"/>
      <x:c r="F77" s="1" t="n"/>
      <x:c r="G77" s="1" t="n"/>
      <x:c r="H77" s="1" t="n"/>
      <x:c r="I77" s="1" t="n"/>
      <x:c r="J77" s="1" t="n"/>
      <x:c r="K77" s="1" t="n"/>
      <x:c r="L77" s="1" t="n"/>
      <x:c r="M77" s="1" t="n"/>
    </x:row>
    <x:row r="78">
      <x:c r="A78" s="1" t="n"/>
      <x:c r="B78" s="1" t="n"/>
      <x:c r="C78" s="1" t="n"/>
      <x:c r="D78" s="1" t="n"/>
      <x:c r="E78" s="1" t="n"/>
      <x:c r="F78" s="1" t="n"/>
      <x:c r="G78" s="1" t="n"/>
      <x:c r="H78" s="1" t="n"/>
      <x:c r="I78" s="1" t="n"/>
      <x:c r="J78" s="1" t="n"/>
      <x:c r="K78" s="1" t="n"/>
      <x:c r="L78" s="1" t="n"/>
      <x:c r="M78" s="1" t="n"/>
    </x:row>
    <x:row r="79">
      <x:c r="A79" s="1" t="inlineStr">
        <x:is>
          <x:t xml:space="preserve">The most significant 2 bits in the DTCs indicate error code type :  00=P  10=B  01=C  11=U   </x:t>
        </x:is>
      </x:c>
      <x:c r="B79" s="1" t="n"/>
      <x:c r="C79" s="1" t="n"/>
      <x:c r="D79" s="1" t="n"/>
      <x:c r="E79" s="1" t="n"/>
      <x:c r="F79" s="1" t="n"/>
      <x:c r="G79" s="1" t="n"/>
      <x:c r="H79" s="1" t="n"/>
      <x:c r="I79" s="1" t="n"/>
      <x:c r="J79" s="1" t="n"/>
      <x:c r="K79" s="1" t="n"/>
      <x:c r="L79" s="1" t="n"/>
      <x:c r="M79" s="1" t="n"/>
    </x:row>
    <x:row r="80">
      <x:c r="A80" s="1" t="n"/>
      <x:c r="B80" s="1" t="n"/>
      <x:c r="C80" s="1" t="n"/>
      <x:c r="D80" s="1" t="n"/>
      <x:c r="E80" s="1" t="n"/>
      <x:c r="F80" s="1" t="n"/>
      <x:c r="G80" s="1" t="n"/>
      <x:c r="H80" s="1" t="n"/>
      <x:c r="I80" s="1" t="n"/>
      <x:c r="J80" s="1" t="n"/>
      <x:c r="K80" s="1" t="n"/>
      <x:c r="L80" s="1" t="n"/>
      <x:c r="M80" s="1" t="n"/>
    </x:row>
    <x:row r="81">
      <x:c r="A81" s="1" t="inlineStr">
        <x:is>
          <x:t xml:space="preserve">CAN access is not confirmed for T/M Control, ABS/VSC, EMPS, A/C, Immobiliser, SRS Airbag, Body, Gateway, Smartkey, power source control…</x:t>
        </x:is>
      </x:c>
      <x:c r="B81" s="1" t="n"/>
      <x:c r="C81" s="1" t="n"/>
      <x:c r="D81" s="1" t="n"/>
      <x:c r="E81" s="1" t="n"/>
      <x:c r="F81" s="1" t="n"/>
      <x:c r="G81" s="1" t="n"/>
      <x:c r="H81" s="1" t="n"/>
      <x:c r="I81" s="1" t="n"/>
      <x:c r="J81" s="1" t="n"/>
      <x:c r="K81" s="1" t="n"/>
      <x:c r="L81" s="1" t="n"/>
      <x:c r="M81" s="1" t="n"/>
    </x:row>
    <x:row r="82">
      <x:c r="A82" s="1" t="n"/>
      <x:c r="B82" s="1" t="n"/>
      <x:c r="C82" s="1" t="n"/>
      <x:c r="D82" s="1" t="n"/>
      <x:c r="E82" s="1" t="n"/>
      <x:c r="F82" s="1" t="n"/>
      <x:c r="G82" s="1" t="n"/>
      <x:c r="H82" s="1" t="n"/>
      <x:c r="I82" s="1" t="n"/>
      <x:c r="J82" s="1" t="n"/>
      <x:c r="K82" s="1" t="n"/>
      <x:c r="L82" s="1" t="n"/>
      <x:c r="M82" s="1" t="n"/>
    </x:row>
    <x:row r="83">
      <x:c r="A83" s="1" t="inlineStr">
        <x:is>
          <x:t xml:space="preserve">Values after the can id :</x:t>
        </x:is>
      </x:c>
      <x:c r="B83" s="1" t="n"/>
      <x:c r="C83" s="1" t="n"/>
      <x:c r="D83" s="1" t="n"/>
      <x:c r="E83" s="1" t="n"/>
      <x:c r="F83" s="1" t="n"/>
      <x:c r="G83" s="1" t="n"/>
      <x:c r="H83" s="1" t="n"/>
      <x:c r="I83" s="1" t="n"/>
      <x:c r="J83" s="1" t="n"/>
      <x:c r="K83" s="1" t="n"/>
      <x:c r="L83" s="1" t="n"/>
      <x:c r="M83" s="1" t="n"/>
    </x:row>
    <x:row r="84">
      <x:c r="A84" s="1" t="n"/>
      <x:c r="B84" s="1" t="n"/>
      <x:c r="C84" s="1" t="n"/>
      <x:c r="D84" s="1" t="n"/>
      <x:c r="E84" s="1" t="n"/>
      <x:c r="F84" s="1" t="n"/>
      <x:c r="G84" s="1" t="n"/>
      <x:c r="H84" s="1" t="n"/>
      <x:c r="I84" s="1" t="n"/>
      <x:c r="J84" s="1" t="n"/>
      <x:c r="K84" s="1" t="n"/>
      <x:c r="L84" s="1" t="n"/>
      <x:c r="M84" s="1" t="n"/>
    </x:row>
    <x:row r="85">
      <x:c r="A85" s="1" t="inlineStr">
        <x:is>
          <x:t xml:space="preserve">1st byte : how many value bytes follow ( some exceptions )</x:t>
        </x:is>
      </x:c>
      <x:c r="B85" s="1" t="n"/>
      <x:c r="C85" s="1" t="n"/>
      <x:c r="D85" s="1" t="n"/>
      <x:c r="E85" s="1" t="n"/>
      <x:c r="F85" s="1" t="n"/>
      <x:c r="G85" s="1" t="n"/>
      <x:c r="H85" s="1" t="n"/>
      <x:c r="I85" s="1" t="n"/>
      <x:c r="J85" s="1" t="n"/>
      <x:c r="K85" s="1" t="n"/>
      <x:c r="L85" s="1" t="n"/>
      <x:c r="M85" s="1" t="n"/>
    </x:row>
    <x:row r="86">
      <x:c r="A86" s="1" t="inlineStr">
        <x:is>
          <x:t xml:space="preserve">2nd byte : service indication</x:t>
        </x:is>
      </x:c>
      <x:c r="B86" s="1" t="n"/>
      <x:c r="C86" s="1" t="n"/>
      <x:c r="D86" s="1" t="n"/>
      <x:c r="E86" s="1" t="n"/>
      <x:c r="F86" s="1" t="n"/>
      <x:c r="G86" s="1" t="n"/>
      <x:c r="H86" s="1" t="n"/>
      <x:c r="I86" s="1" t="n"/>
      <x:c r="J86" s="1" t="n"/>
      <x:c r="K86" s="1" t="n"/>
      <x:c r="L86" s="1" t="n"/>
      <x:c r="M86" s="1" t="n"/>
    </x:row>
    <x:row r="87">
      <x:c r="A87" s="1" t="inlineStr">
        <x:is>
          <x:t xml:space="preserve">         : 4 is clear DTCs</x:t>
        </x:is>
      </x:c>
      <x:c r="B87" s="1" t="n"/>
      <x:c r="C87" s="1" t="n"/>
      <x:c r="D87" s="1" t="n"/>
      <x:c r="E87" s="1" t="n"/>
      <x:c r="F87" s="1" t="n"/>
      <x:c r="G87" s="1" t="n"/>
      <x:c r="H87" s="1" t="n"/>
      <x:c r="I87" s="1" t="n"/>
      <x:c r="J87" s="1" t="n"/>
      <x:c r="K87" s="1" t="n"/>
      <x:c r="L87" s="1" t="n"/>
      <x:c r="M87" s="1" t="n"/>
    </x:row>
    <x:row r="88">
      <x:c r="A88" s="1" t="inlineStr">
        <x:is>
          <x:t xml:space="preserve">         : 13 get DTCs ( with 0x80/0xB0 ... ?!! )</x:t>
        </x:is>
      </x:c>
      <x:c r="B88" s="1" t="n"/>
      <x:c r="C88" s="1" t="n"/>
      <x:c r="D88" s="1" t="n"/>
      <x:c r="E88" s="1" t="n"/>
      <x:c r="F88" s="1" t="n"/>
      <x:c r="G88" s="1" t="n"/>
      <x:c r="H88" s="1" t="n"/>
      <x:c r="I88" s="1" t="n"/>
      <x:c r="J88" s="1" t="n"/>
      <x:c r="K88" s="1" t="n"/>
      <x:c r="L88" s="1" t="n"/>
      <x:c r="M88" s="1" t="n"/>
    </x:row>
    <x:row r="89">
      <x:c r="A89" s="1" t="inlineStr">
        <x:is>
          <x:t xml:space="preserve">         : 21 get data ( 3rd byte is specification of data C3/C4/CE/CF/)</x:t>
        </x:is>
      </x:c>
      <x:c r="B89" s="1" t="n"/>
      <x:c r="C89" s="1" t="n"/>
      <x:c r="D89" s="1" t="n"/>
      <x:c r="E89" s="1" t="n"/>
      <x:c r="F89" s="1" t="n"/>
      <x:c r="G89" s="1" t="n"/>
      <x:c r="H89" s="1" t="n"/>
      <x:c r="I89" s="1" t="n"/>
      <x:c r="J89" s="1" t="n"/>
      <x:c r="K89" s="1" t="n"/>
      <x:c r="L89" s="1" t="n"/>
      <x:c r="M89" s="1" t="n"/>
    </x:row>
    <x:row r="90">
      <x:c r="A90" s="1" t="inlineStr">
        <x:is>
          <x:t xml:space="preserve">3rd byte : in the even of DTC response, number of DTCs ( each DTC is 2 byte )</x:t>
        </x:is>
      </x:c>
      <x:c r="B90" s="1" t="n"/>
      <x:c r="C90" s="1" t="n"/>
      <x:c r="D90" s="1" t="n"/>
      <x:c r="E90" s="1" t="n"/>
      <x:c r="F90" s="1" t="n"/>
      <x:c r="G90" s="1" t="n"/>
      <x:c r="H90" s="1" t="n"/>
      <x:c r="I90" s="1" t="n"/>
      <x:c r="J90" s="1" t="n"/>
      <x:c r="K90" s="1" t="n"/>
      <x:c r="L90" s="1" t="n"/>
      <x:c r="M90" s="1" t="n"/>
    </x:row>
    <x:row r="91">
      <x:c r="A91" s="1" t="inlineStr">
        <x:is>
          <x:t xml:space="preserve">         : if 2nd byte is 21, data/block specification</x:t>
        </x:is>
      </x:c>
      <x:c r="B91" s="1" t="n"/>
      <x:c r="C91" s="1" t="n"/>
      <x:c r="D91" s="1" t="n"/>
      <x:c r="E91" s="1" t="n"/>
      <x:c r="F91" s="1" t="n"/>
      <x:c r="G91" s="1" t="n"/>
      <x:c r="H91" s="1" t="n"/>
      <x:c r="I91" s="1" t="n"/>
      <x:c r="J91" s="1" t="n"/>
      <x:c r="K91" s="1" t="n"/>
      <x:c r="L91" s="1" t="n"/>
      <x:c r="M91" s="1" t="n"/>
    </x:row>
    <x:row r="92">
      <x:c r="A92" s="1" t="n"/>
      <x:c r="B92" s="1" t="n"/>
      <x:c r="C92" s="1" t="n"/>
      <x:c r="D92" s="1" t="n"/>
      <x:c r="E92" s="1" t="n"/>
      <x:c r="F92" s="1" t="n"/>
      <x:c r="G92" s="1" t="n"/>
      <x:c r="H92" s="1" t="n"/>
      <x:c r="I92" s="1" t="n"/>
      <x:c r="J92" s="1" t="n"/>
      <x:c r="K92" s="1" t="n"/>
      <x:c r="L92" s="1" t="n"/>
      <x:c r="M92" s="1" t="n"/>
    </x:row>
    <x:row r="93">
      <x:c r="A93" s="1" t="inlineStr">
        <x:is>
          <x:t xml:space="preserve">sending 30 00 00 00 00 00 00 00 : send rest of data.</x:t>
        </x:is>
      </x:c>
      <x:c r="B93" s="1" t="n"/>
      <x:c r="C93" s="1" t="n"/>
      <x:c r="D93" s="1" t="n"/>
      <x:c r="E93" s="1" t="n"/>
      <x:c r="F93" s="1" t="n"/>
      <x:c r="G93" s="1" t="n"/>
      <x:c r="H93" s="1" t="n"/>
      <x:c r="I93" s="1" t="n"/>
      <x:c r="J93" s="1" t="n"/>
      <x:c r="K93" s="1" t="n"/>
      <x:c r="L93" s="1" t="n"/>
      <x:c r="M93" s="1" t="n"/>
    </x:row>
    <x:row r="94">
      <x:c r="A94" s="1" t="n"/>
      <x:c r="B94" s="1" t="n"/>
      <x:c r="C94" s="1" t="n"/>
      <x:c r="D94" s="1" t="n"/>
      <x:c r="E94" s="1" t="n"/>
      <x:c r="F94" s="1" t="n"/>
      <x:c r="G94" s="1" t="n"/>
      <x:c r="H94" s="1" t="n"/>
      <x:c r="I94" s="1" t="n"/>
      <x:c r="J94" s="1" t="n"/>
      <x:c r="K94" s="1" t="n"/>
      <x:c r="L94" s="1" t="n"/>
      <x:c r="M94" s="1" t="n"/>
    </x:row>
    <x:row r="95">
      <x:c r="A95" s="1" t="inlineStr">
        <x:is>
          <x:t xml:space="preserve">On 7E3 : 02 21 01 = MIL STATUS, 02 21 21 = Drive Mileage, 02 21 CE = Batt SOC, 02 21 CF = Delta SOC, 02 21 CF = Batt temperatures, 02 21 D0 = Battery module voltages and internal resistance calcs</x:t>
        </x:is>
      </x:c>
      <x:c r="B95" s="1" t="n"/>
      <x:c r="C95" s="1" t="n"/>
      <x:c r="D95" s="1" t="n"/>
      <x:c r="E95" s="1" t="n"/>
      <x:c r="F95" s="1" t="n"/>
      <x:c r="G95" s="1" t="n"/>
      <x:c r="H95" s="1" t="n"/>
      <x:c r="I95" s="1" t="n"/>
      <x:c r="J95" s="1" t="n"/>
      <x:c r="K95" s="1" t="n"/>
      <x:c r="L95" s="1" t="n"/>
      <x:c r="M95" s="1" t="n"/>
    </x:row>
    <x:row r="96">
      <x:c r="A96" s="1" t="inlineStr">
        <x:is>
          <x:t xml:space="preserve">On 7E2 : 02 21 C3 and 02 21 C4 has info on MG1/2 REV, MG1/2 Torque, MG1/2 Trq Exc Val, MG1/2 inverter temp, MG1/2 temp, "converter" temp (the DC/DC?), ICE speed and target ICE speed…</x:t>
        </x:is>
      </x:c>
      <x:c r="B96" s="1" t="n"/>
      <x:c r="C96" s="1" t="n"/>
      <x:c r="D96" s="1" t="n"/>
      <x:c r="E96" s="1" t="n"/>
      <x:c r="F96" s="1" t="n"/>
      <x:c r="G96" s="1" t="n"/>
      <x:c r="H96" s="1" t="n"/>
      <x:c r="I96" s="1" t="n"/>
      <x:c r="J96" s="1" t="n"/>
      <x:c r="K96" s="1" t="n"/>
      <x:c r="L96" s="1" t="n"/>
      <x:c r="M96" s="1" t="n"/>
    </x:row>
    <x:row r="97">
      <x:c r="A97" s="1" t="n"/>
      <x:c r="B97" s="1" t="n"/>
      <x:c r="C97" s="1" t="n"/>
      <x:c r="D97" s="1" t="n"/>
      <x:c r="E97" s="1" t="n"/>
      <x:c r="F97" s="1" t="n"/>
      <x:c r="G97" s="1" t="n"/>
      <x:c r="H97" s="1" t="n"/>
      <x:c r="I97" s="1" t="n"/>
      <x:c r="J97" s="1" t="n"/>
      <x:c r="K97" s="1" t="n"/>
      <x:c r="L97" s="1" t="n"/>
      <x:c r="M97" s="1" t="n"/>
    </x:row>
    <x:row r="98">
      <x:c r="A98" s="1" t="inlineStr">
        <x:is>
          <x:t xml:space="preserve">Clearing HV Battery DTCs :</x:t>
        </x:is>
      </x:c>
      <x:c r="B98" s="1" t="n"/>
      <x:c r="C98" s="1" t="n"/>
      <x:c r="D98" s="1" t="n"/>
      <x:c r="E98" s="1" t="n"/>
      <x:c r="F98" s="1" t="n"/>
      <x:c r="G98" s="1" t="n"/>
      <x:c r="H98" s="1" t="n"/>
      <x:c r="I98" s="1" t="n"/>
      <x:c r="J98" s="1" t="n"/>
      <x:c r="K98" s="1" t="n"/>
      <x:c r="L98" s="1" t="n"/>
      <x:c r="M98" s="1" t="n"/>
    </x:row>
    <x:row r="99">
      <x:c r="A99" s="1" t="inlineStr">
        <x:is>
          <x:t xml:space="preserve">Send:</x:t>
        </x:is>
      </x:c>
      <x:c r="B99" s="1" t="inlineStr">
        <x:is>
          <x:t xml:space="preserve">0x7E3 : 01 04 00 00 00 00 00 00</x:t>
        </x:is>
      </x:c>
      <x:c r="C99" s="1" t="n"/>
      <x:c r="D99" s="1" t="n"/>
      <x:c r="E99" s="1" t="n"/>
      <x:c r="F99" s="1" t="n"/>
      <x:c r="G99" s="1" t="n"/>
      <x:c r="H99" s="1" t="n"/>
      <x:c r="I99" s="1" t="n"/>
      <x:c r="J99" s="1" t="n"/>
      <x:c r="K99" s="1" t="n"/>
      <x:c r="L99" s="1" t="n"/>
      <x:c r="M99" s="1" t="n"/>
    </x:row>
    <x:row r="100">
      <x:c r="A100" s="1" t="inlineStr">
        <x:is>
          <x:t xml:space="preserve">Resp:</x:t>
        </x:is>
      </x:c>
      <x:c r="B100" s="1" t="inlineStr">
        <x:is>
          <x:t xml:space="preserve">0x7EB : 01 44 00 00 00 00 00 00</x:t>
        </x:is>
      </x:c>
      <x:c r="C100" s="1" t="n"/>
      <x:c r="D100" s="1" t="n"/>
      <x:c r="E100" s="1" t="n"/>
      <x:c r="F100" s="1" t="n"/>
      <x:c r="G100" s="1" t="n"/>
      <x:c r="H100" s="1" t="n"/>
      <x:c r="I100" s="1" t="n"/>
      <x:c r="J100" s="1" t="n"/>
      <x:c r="K100" s="1" t="n"/>
      <x:c r="L100" s="1" t="n"/>
      <x:c r="M100" s="1" t="n"/>
    </x:row>
    <x:row r="101">
      <x:c r="A101" s="1" t="n"/>
      <x:c r="B101" s="1" t="n"/>
      <x:c r="C101" s="1" t="n"/>
      <x:c r="D101" s="1" t="n"/>
      <x:c r="E101" s="1" t="n"/>
      <x:c r="F101" s="1" t="n"/>
      <x:c r="G101" s="1" t="n"/>
      <x:c r="H101" s="1" t="n"/>
      <x:c r="I101" s="1" t="n"/>
      <x:c r="J101" s="1" t="n"/>
      <x:c r="K101" s="1" t="n"/>
      <x:c r="L101" s="1" t="n"/>
      <x:c r="M101" s="1" t="n"/>
    </x:row>
    <x:row r="102">
      <x:c r="A102" s="1" t="inlineStr">
        <x:is>
          <x:t xml:space="preserve">Clearing HV ECU DTCs :</x:t>
        </x:is>
      </x:c>
      <x:c r="B102" s="1" t="n"/>
      <x:c r="C102" s="1" t="n"/>
      <x:c r="D102" s="1" t="n"/>
      <x:c r="E102" s="1" t="n"/>
      <x:c r="F102" s="1" t="n"/>
      <x:c r="G102" s="1" t="n"/>
      <x:c r="H102" s="1" t="n"/>
      <x:c r="I102" s="1" t="n"/>
      <x:c r="J102" s="1" t="n"/>
      <x:c r="K102" s="1" t="n"/>
      <x:c r="L102" s="1" t="n"/>
      <x:c r="M102" s="1" t="n"/>
    </x:row>
    <x:row r="103">
      <x:c r="A103" s="1" t="inlineStr">
        <x:is>
          <x:t xml:space="preserve">Send:</x:t>
        </x:is>
      </x:c>
      <x:c r="B103" s="1" t="inlineStr">
        <x:is>
          <x:t xml:space="preserve">0x7E2 : 01 04 00 00 00 00 00 00</x:t>
        </x:is>
      </x:c>
      <x:c r="C103" s="1" t="n"/>
      <x:c r="D103" s="1" t="n"/>
      <x:c r="E103" s="1" t="n"/>
      <x:c r="F103" s="1" t="n"/>
      <x:c r="G103" s="1" t="n"/>
      <x:c r="H103" s="1" t="n"/>
      <x:c r="I103" s="1" t="n"/>
      <x:c r="J103" s="1" t="n"/>
      <x:c r="K103" s="1" t="n"/>
      <x:c r="L103" s="1" t="n"/>
      <x:c r="M103" s="1" t="n"/>
    </x:row>
    <x:row r="104">
      <x:c r="A104" s="1" t="inlineStr">
        <x:is>
          <x:t xml:space="preserve">Resp:</x:t>
        </x:is>
      </x:c>
      <x:c r="B104" s="1" t="inlineStr">
        <x:is>
          <x:t xml:space="preserve">0x7EA : 01 44 00 00 00 00 00 00</x:t>
        </x:is>
      </x:c>
      <x:c r="C104" s="1" t="n"/>
      <x:c r="D104" s="1" t="n"/>
      <x:c r="E104" s="1" t="n"/>
      <x:c r="F104" s="1" t="n"/>
      <x:c r="G104" s="1" t="n"/>
      <x:c r="H104" s="1" t="n"/>
      <x:c r="I104" s="1" t="n"/>
      <x:c r="J104" s="1" t="n"/>
      <x:c r="K104" s="1" t="n"/>
      <x:c r="L104" s="1" t="n"/>
      <x:c r="M104" s="1" t="n"/>
    </x:row>
    <x:row r="105">
      <x:c r="A105" s="1" t="n"/>
      <x:c r="B105" s="1" t="n"/>
      <x:c r="C105" s="1" t="n"/>
      <x:c r="D105" s="1" t="n"/>
      <x:c r="E105" s="1" t="n"/>
      <x:c r="F105" s="1" t="n"/>
      <x:c r="G105" s="1" t="n"/>
      <x:c r="H105" s="1" t="n"/>
      <x:c r="I105" s="1" t="n"/>
      <x:c r="J105" s="1" t="n"/>
      <x:c r="K105" s="1" t="n"/>
      <x:c r="L105" s="1" t="n"/>
      <x:c r="M105" s="1" t="n"/>
    </x:row>
    <x:row r="106">
      <x:c r="A106" s="1" t="inlineStr">
        <x:is>
          <x:t xml:space="preserve">Check HV Battery DTCs :</x:t>
        </x:is>
      </x:c>
      <x:c r="B106" s="1" t="n"/>
      <x:c r="C106" s="1" t="n"/>
      <x:c r="D106" s="1" t="n"/>
      <x:c r="E106" s="1" t="n"/>
      <x:c r="F106" s="1" t="n"/>
      <x:c r="G106" s="1" t="n"/>
      <x:c r="H106" s="1" t="n"/>
      <x:c r="I106" s="1" t="n"/>
      <x:c r="J106" s="1" t="n"/>
      <x:c r="K106" s="1" t="n"/>
      <x:c r="L106" s="1" t="n"/>
      <x:c r="M106" s="1" t="n"/>
    </x:row>
    <x:row r="107">
      <x:c r="A107" s="1" t="inlineStr">
        <x:is>
          <x:t xml:space="preserve">Send:</x:t>
        </x:is>
      </x:c>
      <x:c r="B107" s="1" t="inlineStr">
        <x:is>
          <x:t xml:space="preserve">7E3 : 02 13 80 00 00 00 00 00</x:t>
        </x:is>
      </x:c>
      <x:c r="C107" s="1" t="n"/>
      <x:c r="D107" s="1" t="n"/>
      <x:c r="E107" s="1" t="n"/>
      <x:c r="F107" s="1" t="n"/>
      <x:c r="G107" s="1" t="n"/>
      <x:c r="H107" s="1" t="n"/>
      <x:c r="I107" s="1" t="n"/>
      <x:c r="J107" s="1" t="n"/>
      <x:c r="K107" s="1" t="n"/>
      <x:c r="L107" s="1" t="n"/>
      <x:c r="M107" s="1" t="n"/>
    </x:row>
    <x:row r="108">
      <x:c r="A108" s="1" t="inlineStr">
        <x:is>
          <x:t xml:space="preserve">Resp:</x:t>
        </x:is>
      </x:c>
      <x:c r="B108" s="1" t="inlineStr">
        <x:is>
          <x:t xml:space="preserve">7EB : 04 53 01 30 00 00 00 00</x:t>
        </x:is>
      </x:c>
      <x:c r="C108" s="1" t="n"/>
      <x:c r="D108" s="1" t="inlineStr">
        <x:is>
          <x:t xml:space="preserve">&lt;- Error code P3000</x:t>
        </x:is>
      </x:c>
      <x:c r="E108" s="1" t="n"/>
      <x:c r="F108" s="1" t="n"/>
      <x:c r="G108" s="1" t="n"/>
      <x:c r="H108" s="1" t="n"/>
      <x:c r="I108" s="1" t="n"/>
      <x:c r="J108" s="1" t="n"/>
      <x:c r="K108" s="1" t="n"/>
      <x:c r="L108" s="1" t="n"/>
      <x:c r="M108" s="1" t="n"/>
    </x:row>
    <x:row r="109">
      <x:c r="A109" s="1" t="n"/>
      <x:c r="B109" s="1" t="n"/>
      <x:c r="C109" s="1" t="n"/>
      <x:c r="D109" s="1" t="n"/>
      <x:c r="E109" s="1" t="n"/>
      <x:c r="F109" s="1" t="n"/>
      <x:c r="G109" s="1" t="n"/>
      <x:c r="H109" s="1" t="n"/>
      <x:c r="I109" s="1" t="n"/>
      <x:c r="J109" s="1" t="n"/>
      <x:c r="K109" s="1" t="n"/>
      <x:c r="L109" s="1" t="n"/>
      <x:c r="M109" s="1" t="n"/>
    </x:row>
    <x:row r="110">
      <x:c r="A110" s="1" t="inlineStr">
        <x:is>
          <x:t xml:space="preserve">Check HV ECU DTCs :</x:t>
        </x:is>
      </x:c>
      <x:c r="B110" s="1" t="n"/>
      <x:c r="C110" s="1" t="n"/>
      <x:c r="D110" s="1" t="n"/>
      <x:c r="E110" s="1" t="n"/>
      <x:c r="F110" s="1" t="n"/>
      <x:c r="G110" s="1" t="n"/>
      <x:c r="H110" s="1" t="n"/>
      <x:c r="I110" s="1" t="n"/>
      <x:c r="J110" s="1" t="n"/>
      <x:c r="K110" s="1" t="n"/>
      <x:c r="L110" s="1" t="n"/>
      <x:c r="M110" s="1" t="n"/>
    </x:row>
    <x:row r="111">
      <x:c r="A111" s="1" t="inlineStr">
        <x:is>
          <x:t xml:space="preserve">Send:</x:t>
        </x:is>
      </x:c>
      <x:c r="B111" s="1" t="inlineStr">
        <x:is>
          <x:t xml:space="preserve">7E2 : 02 13 B0 00 00 00 00 00</x:t>
        </x:is>
      </x:c>
      <x:c r="C111" s="1" t="n"/>
      <x:c r="D111" s="1" t="n"/>
      <x:c r="E111" s="1" t="n"/>
      <x:c r="F111" s="1" t="n"/>
      <x:c r="G111" s="1" t="n"/>
      <x:c r="H111" s="1" t="n"/>
      <x:c r="I111" s="1" t="n"/>
      <x:c r="J111" s="1" t="n"/>
      <x:c r="K111" s="1" t="n"/>
      <x:c r="L111" s="1" t="n"/>
      <x:c r="M111" s="1" t="n"/>
    </x:row>
    <x:row r="112">
      <x:c r="A112" s="1" t="inlineStr">
        <x:is>
          <x:t xml:space="preserve">Resp:</x:t>
        </x:is>
      </x:c>
      <x:c r="B112" s="1" t="inlineStr">
        <x:is>
          <x:t xml:space="preserve">7EA : 04 53 01 30 19 00 00 00</x:t>
        </x:is>
      </x:c>
      <x:c r="C112" s="1" t="n"/>
      <x:c r="D112" s="1" t="inlineStr">
        <x:is>
          <x:t xml:space="preserve">&lt;- Error code P3019</x:t>
        </x:is>
      </x:c>
      <x:c r="E112" s="1" t="n"/>
      <x:c r="F112" s="1" t="n"/>
      <x:c r="G112" s="1" t="n"/>
      <x:c r="H112" s="1" t="n"/>
      <x:c r="I112" s="1" t="n"/>
      <x:c r="J112" s="1" t="n"/>
      <x:c r="K112" s="1" t="n"/>
      <x:c r="L112" s="1" t="n"/>
      <x:c r="M112" s="1" t="n"/>
    </x:row>
    <x:row r="113">
      <x:c r="A113" s="1" t="n"/>
      <x:c r="B113" s="1" t="n"/>
      <x:c r="C113" s="1" t="n"/>
      <x:c r="D113" s="1" t="n"/>
      <x:c r="E113" s="1" t="n"/>
      <x:c r="F113" s="1" t="n"/>
      <x:c r="G113" s="1" t="n"/>
      <x:c r="H113" s="1" t="n"/>
      <x:c r="I113" s="1" t="n"/>
      <x:c r="J113" s="1" t="n"/>
      <x:c r="K113" s="1" t="n"/>
      <x:c r="L113" s="1" t="n"/>
      <x:c r="M113" s="1" t="n"/>
    </x:row>
    <x:row r="114">
      <x:c r="A114" s="1" t="inlineStr">
        <x:is>
          <x:t xml:space="preserve">Check Engine DTCs :</x:t>
        </x:is>
      </x:c>
      <x:c r="B114" s="1" t="n"/>
      <x:c r="C114" s="1" t="n"/>
      <x:c r="D114" s="1" t="n"/>
      <x:c r="E114" s="1" t="n"/>
      <x:c r="F114" s="1" t="n"/>
      <x:c r="G114" s="1" t="n"/>
      <x:c r="H114" s="1" t="n"/>
      <x:c r="I114" s="1" t="n"/>
      <x:c r="J114" s="1" t="n"/>
      <x:c r="K114" s="1" t="n"/>
      <x:c r="L114" s="1" t="n"/>
      <x:c r="M114" s="1" t="n"/>
    </x:row>
    <x:row r="115">
      <x:c r="A115" s="1" t="inlineStr">
        <x:is>
          <x:t xml:space="preserve">Send:</x:t>
        </x:is>
      </x:c>
      <x:c r="B115" s="1" t="inlineStr">
        <x:is>
          <x:t xml:space="preserve">7E0 : 0213 B000 0000 0000</x:t>
        </x:is>
      </x:c>
      <x:c r="C115" s="1" t="n"/>
      <x:c r="D115" s="1" t="n"/>
      <x:c r="E115" s="1" t="n"/>
      <x:c r="F115" s="1" t="n"/>
      <x:c r="G115" s="1" t="n"/>
      <x:c r="H115" s="1" t="n"/>
      <x:c r="I115" s="1" t="n"/>
      <x:c r="J115" s="1" t="n"/>
      <x:c r="K115" s="1" t="n"/>
      <x:c r="L115" s="1" t="n"/>
      <x:c r="M115" s="1" t="n"/>
    </x:row>
    <x:row r="116">
      <x:c r="A116" s="1" t="n"/>
      <x:c r="B116" s="1" t="n"/>
      <x:c r="C116" s="1" t="n"/>
      <x:c r="D116" s="1" t="n"/>
      <x:c r="E116" s="1" t="n"/>
      <x:c r="F116" s="1" t="n"/>
      <x:c r="G116" s="1" t="n"/>
      <x:c r="H116" s="1" t="n"/>
      <x:c r="I116" s="1" t="n"/>
      <x:c r="J116" s="1" t="n"/>
      <x:c r="K116" s="1" t="n"/>
      <x:c r="L116" s="1" t="n"/>
      <x:c r="M116" s="1" t="n"/>
    </x:row>
    <x:row r="117">
      <x:c r="A117" s="1" t="inlineStr">
        <x:is>
          <x:t xml:space="preserve">Check Cruise Control DTCs :</x:t>
        </x:is>
      </x:c>
      <x:c r="B117" s="1" t="n"/>
      <x:c r="C117" s="1" t="n"/>
      <x:c r="D117" s="1" t="n"/>
      <x:c r="E117" s="1" t="n"/>
      <x:c r="F117" s="1" t="n"/>
      <x:c r="G117" s="1" t="n"/>
      <x:c r="H117" s="1" t="n"/>
      <x:c r="I117" s="1" t="n"/>
      <x:c r="J117" s="1" t="n"/>
      <x:c r="K117" s="1" t="n"/>
      <x:c r="L117" s="1" t="n"/>
      <x:c r="M117" s="1" t="n"/>
    </x:row>
    <x:row r="118">
      <x:c r="A118" s="1" t="inlineStr">
        <x:is>
          <x:t xml:space="preserve">Send:</x:t>
        </x:is>
      </x:c>
      <x:c r="B118" s="1" t="inlineStr">
        <x:is>
          <x:t xml:space="preserve">7E0 : 0213 8000 0000 0000</x:t>
        </x:is>
      </x:c>
      <x:c r="C118" s="1" t="n"/>
      <x:c r="D118" s="1" t="n"/>
      <x:c r="E118" s="1" t="n"/>
      <x:c r="F118" s="1" t="n"/>
      <x:c r="G118" s="1" t="n"/>
      <x:c r="H118" s="1" t="n"/>
      <x:c r="I118" s="1" t="n"/>
      <x:c r="J118" s="1" t="n"/>
      <x:c r="K118" s="1" t="n"/>
      <x:c r="L118" s="1" t="n"/>
      <x:c r="M118" s="1" t="n"/>
    </x:row>
    <x:row r="119">
      <x:c r="A119" s="1" t="inlineStr">
        <x:is>
          <x:t xml:space="preserve">Resp:</x:t>
        </x:is>
      </x:c>
      <x:c r="B119" s="1" t="inlineStr">
        <x:is>
          <x:t xml:space="preserve">7E8 : 04 53 01 A7 99 00 00 00</x:t>
        </x:is>
      </x:c>
      <x:c r="C119" s="1" t="n"/>
      <x:c r="D119" s="1" t="inlineStr">
        <x:is>
          <x:t xml:space="preserve">&lt;- Error code B2799</x:t>
        </x:is>
      </x:c>
      <x:c r="E119" s="1" t="n"/>
      <x:c r="F119" s="1" t="n"/>
      <x:c r="G119" s="1" t="n"/>
      <x:c r="H119" s="1" t="n"/>
      <x:c r="I119" s="1" t="n"/>
      <x:c r="J119" s="1" t="n"/>
      <x:c r="K119" s="1" t="n"/>
      <x:c r="L119" s="1" t="n"/>
      <x:c r="M119" s="1" t="n"/>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8" hidden="0" customWidth="1"/>
    <x:col min="4" max="4" width="46"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18" hidden="0" customWidth="1"/>
    <x:col min="13" max="13" width="18" hidden="0" customWidth="1"/>
    <x:col min="14" max="14" width="18" hidden="0" customWidth="1"/>
    <x:col min="15" max="15" width="24" hidden="0" customWidth="1"/>
  </x:cols>
  <x:sheetData>
    <x:row r="1">
      <x:c r="A1" s="14" t="str">
        <x:v>Capture ID</x:v>
      </x:c>
      <x:c r="B1" s="14" t="str">
        <x:v>Vehicle</x:v>
      </x:c>
      <x:c r="C1" s="14" t="str">
        <x:v>Raw Log</x:v>
      </x:c>
      <x:c r="D1" s="14" t="str">
        <x:v>Test / Narrative Scope</x:v>
      </x:c>
      <x:c r="E1" s="14" t="str">
        <x:v>Frames</x:v>
      </x:c>
      <x:c r="F1" s="14" t="str">
        <x:v>Unique IDs</x:v>
      </x:c>
      <x:c r="G1" s="14" t="str">
        <x:v>Extended ID Count</x:v>
      </x:c>
      <x:c r="H1" s="14" t="str">
        <x:v>Extended IDs</x:v>
      </x:c>
      <x:c r="I1" s="14" t="str">
        <x:v>CAN Duration s</x:v>
      </x:c>
      <x:c r="J1" s="14" t="str">
        <x:v>Average FPS</x:v>
      </x:c>
      <x:c r="K1" s="14" t="str">
        <x:v>Audio File</x:v>
      </x:c>
      <x:c r="L1" s="14" t="str">
        <x:v>Audio Duration s</x:v>
      </x:c>
      <x:c r="M1" s="14" t="str">
        <x:v>CAN Bitrate</x:v>
      </x:c>
      <x:c r="N1" s="14" t="str">
        <x:v>ESP32 Mode</x:v>
      </x:c>
      <x:c r="O1" s="14" t="str">
        <x:v>PC Transport</x:v>
      </x:c>
    </x:row>
    <x:row r="2">
      <x:c r="A2" s="20" t="str">
        <x:v>PRIUS_READY_01</x:v>
      </x:c>
      <x:c r="B2" s="20" t="str">
        <x:v>2004 Toyota Prius Gen 2 (NHW20)</x:v>
      </x:c>
      <x:c r="C2" s="20" t="str">
        <x:v>PRIUS_2004_BAMA_POWER_OFF_TO_READY_01.csv</x:v>
      </x:c>
      <x:c r="D2" s="20" t="str">
        <x:v>POWER OFF → ACC/IG-ON → READY</x:v>
      </x:c>
      <x:c r="E2" s="22" t="n">
        <x:v>403644</x:v>
      </x:c>
      <x:c r="F2" s="22" t="n">
        <x:v>58</x:v>
      </x:c>
      <x:c r="G2" s="22" t="n">
        <x:v>1</x:v>
      </x:c>
      <x:c r="H2" s="22" t="str">
        <x:v>0x09F10262</x:v>
      </x:c>
      <x:c r="I2" s="22" t="n">
        <x:v>242.855</x:v>
      </x:c>
      <x:c r="J2" s="22" t="n">
        <x:v>1662.08</x:v>
      </x:c>
      <x:c r="K2" s="20" t="str"/>
      <x:c r="L2" s="20" t="str"/>
      <x:c r="M2" s="20" t="str">
        <x:v>500 kbit/s</x:v>
      </x:c>
      <x:c r="N2" s="20" t="str">
        <x:v>TWAI LISTEN_ONLY</x:v>
      </x:c>
      <x:c r="O2" s="20" t="str">
        <x:v>GVRET Binary / SavvyCAN</x:v>
      </x:c>
    </x:row>
    <x:row r="3">
      <x:c r="A3" s="20" t="str">
        <x:v>PRIUS_DRIVE_02</x:v>
      </x:c>
      <x:c r="B3" s="20" t="str">
        <x:v>2004 Toyota Prius Gen 2 (NHW20)</x:v>
      </x:c>
      <x:c r="C3" s="20" t="str">
        <x:v>PRIUS_2004_BAMA_POWER_OFF_TO_DRIVE_02.csv</x:v>
      </x:c>
      <x:c r="D3" s="20" t="str">
        <x:v>POWER OFF → ACC → READY → drive/doors/windows/braking/ICE-EV transitions → OFF</x:v>
      </x:c>
      <x:c r="E3" s="22" t="n">
        <x:v>365667</x:v>
      </x:c>
      <x:c r="F3" s="22" t="n">
        <x:v>57</x:v>
      </x:c>
      <x:c r="G3" s="22" t="n">
        <x:v>0</x:v>
      </x:c>
      <x:c r="H3" s="22" t="str"/>
      <x:c r="I3" s="22" t="n">
        <x:v>221.352</x:v>
      </x:c>
      <x:c r="J3" s="22" t="n">
        <x:v>1651.97</x:v>
      </x:c>
      <x:c r="K3" s="20" t="str">
        <x:v>Voice 2004 SAVVYCAN 02 log 260816_182910_sd.m4a</x:v>
      </x:c>
      <x:c r="L3" s="20" t="n">
        <x:v>298.875333</x:v>
      </x:c>
      <x:c r="M3" s="20" t="str">
        <x:v>500 kbit/s</x:v>
      </x:c>
      <x:c r="N3" s="20" t="str">
        <x:v>TWAI LISTEN_ONLY</x:v>
      </x:c>
      <x:c r="O3" s="20" t="str">
        <x:v>GVRET Binary / SavvyCAN</x:v>
      </x:c>
    </x:row>
    <x:row r="4">
      <x:c r="A4" s="20" t="str">
        <x:v>CAMRY_DRIVE_01</x:v>
      </x:c>
      <x:c r="B4" s="20" t="str">
        <x:v>2007 Toyota Camry Hybrid Gen 1 (AHV40)</x:v>
      </x:c>
      <x:c r="C4" s="20" t="str">
        <x:v>CAMRY_2007_HYBRID_POWER_OFF_TO_DRIVE_01.csv</x:v>
      </x:c>
      <x:c r="D4" s="20" t="str">
        <x:v>POWER OFF → ACC → READY → drive/windows/ICE-EV/A-C/B-mode → OFF</x:v>
      </x:c>
      <x:c r="E4" s="22" t="n">
        <x:v>267498</x:v>
      </x:c>
      <x:c r="F4" s="22" t="n">
        <x:v>61</x:v>
      </x:c>
      <x:c r="G4" s="22" t="n">
        <x:v>0</x:v>
      </x:c>
      <x:c r="H4" s="22" t="str"/>
      <x:c r="I4" s="22" t="n">
        <x:v>227.737</x:v>
      </x:c>
      <x:c r="J4" s="22" t="n">
        <x:v>1174.59</x:v>
      </x:c>
      <x:c r="K4" s="20" t="str">
        <x:v>Camry_07_log_01_Voice 260816_183952_sd(1).m4a</x:v>
      </x:c>
      <x:c r="L4" s="20" t="n">
        <x:v>217.788604</x:v>
      </x:c>
      <x:c r="M4" s="20" t="str">
        <x:v>500 kbit/s</x:v>
      </x:c>
      <x:c r="N4" s="20" t="str">
        <x:v>TWAI LISTEN_ONLY</x:v>
      </x:c>
      <x:c r="O4" s="20" t="str">
        <x:v>GVRET Binary / SavvyCAN</x:v>
      </x:c>
    </x:row>
    <x:row r="5">
      <x:c r="A5" s="20" t="str">
        <x:v>CAMRY_DRIVE_02</x:v>
      </x:c>
      <x:c r="B5" s="20" t="str">
        <x:v>2007 Toyota Camry Hybrid Gen 1 (AHV40)</x:v>
      </x:c>
      <x:c r="C5" s="20" t="str">
        <x:v>CAMRY_2007_HYBRID_POWER_OFF_TO_DRIVE_02.csv</x:v>
      </x:c>
      <x:c r="D5" s="20" t="str">
        <x:v>OFF low-rate traffic → ACC wake → READY → steering/P-R-N-D-B/brakes/HVAC/lights/ICE-EV/drive → OFF/sleep</x:v>
      </x:c>
      <x:c r="E5" s="20" t="n">
        <x:v>740728</x:v>
      </x:c>
      <x:c r="F5" s="20" t="n">
        <x:v>61</x:v>
      </x:c>
      <x:c r="G5" s="20" t="n">
        <x:v>0</x:v>
      </x:c>
      <x:c r="H5" s="20" t="str"/>
      <x:c r="I5" s="20" t="n">
        <x:v>589.084</x:v>
      </x:c>
      <x:c r="J5" s="20" t="n">
        <x:v>1257.42</x:v>
      </x:c>
      <x:c r="K5" s="20" t="str">
        <x:v>Camry_07_log_02_Voice 260816_204529_sd.m4a</x:v>
      </x:c>
      <x:c r="L5" s="20" t="str"/>
      <x:c r="M5" s="20" t="str">
        <x:v>500 kbit/s</x:v>
      </x:c>
      <x:c r="N5" s="20" t="str">
        <x:v>TWAI LISTEN_ONLY</x:v>
      </x:c>
      <x:c r="O5" s="20" t="str">
        <x:v>GVRET Binary / SavvyCAN</x:v>
      </x:c>
    </x:row>
  </x:sheetData>
  <x:pageMargins left="0.7" right="0.7" top="0.75" bottom="0.75" header="0.3" footer="0.3"/>
  <x:tableParts count="1">
    <x:tablePart xmlns:r="http://schemas.openxmlformats.org/officeDocument/2006/relationships" r:id="R8c97d6939c1d4e41"/>
  </x:tableParts>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14" hidden="0" customWidth="1"/>
    <x:col min="5" max="5" width="12" hidden="0" customWidth="1"/>
    <x:col min="6" max="6" width="16" hidden="0" customWidth="1"/>
    <x:col min="7" max="7" width="14" hidden="0" customWidth="1"/>
    <x:col min="8" max="8" width="28" hidden="0" customWidth="1"/>
    <x:col min="9" max="9" width="28" hidden="0" customWidth="1"/>
    <x:col min="10" max="10" width="16" hidden="0" customWidth="1"/>
    <x:col min="11" max="11" width="14" hidden="0" customWidth="1"/>
    <x:col min="12" max="12" width="12" hidden="0" customWidth="1"/>
    <x:col min="13" max="13" width="16" hidden="0" customWidth="1"/>
    <x:col min="14" max="14" width="14" hidden="0" customWidth="1"/>
    <x:col min="15" max="15" width="28" hidden="0" customWidth="1"/>
    <x:col min="16" max="16" width="28" hidden="0" customWidth="1"/>
    <x:col min="17" max="17" width="16" hidden="0" customWidth="1"/>
    <x:col min="18" max="18" width="14" hidden="0" customWidth="1"/>
    <x:col min="19" max="19" width="12" hidden="0" customWidth="1"/>
    <x:col min="20" max="20" width="16" hidden="0" customWidth="1"/>
    <x:col min="21" max="21" width="14" hidden="0" customWidth="1"/>
    <x:col min="22" max="22" width="28" hidden="0" customWidth="1"/>
    <x:col min="23" max="23" width="28" hidden="0" customWidth="1"/>
    <x:col min="24" max="24" width="34" hidden="0" customWidth="1"/>
  </x:cols>
  <x:sheetData>
    <x:row r="1">
      <x:c r="A1" s="14" t="str">
        <x:v>CAN ID</x:v>
      </x:c>
      <x:c r="B1" s="14" t="str">
        <x:v>Frame Type</x:v>
      </x:c>
      <x:c r="C1" s="14" t="str">
        <x:v>PRIUS_READY_01 Frames</x:v>
      </x:c>
      <x:c r="D1" s="14" t="str">
        <x:v>PRIUS_READY_01 Capture %</x:v>
      </x:c>
      <x:c r="E1" s="14" t="str">
        <x:v>PRIUS_READY_01 DLC Mode</x:v>
      </x:c>
      <x:c r="F1" s="14" t="str">
        <x:v>PRIUS_READY_01 Mean Period ms</x:v>
      </x:c>
      <x:c r="G1" s="14" t="str">
        <x:v>PRIUS_READY_01 Approx Hz</x:v>
      </x:c>
      <x:c r="H1" s="14" t="str">
        <x:v>PRIUS_READY_01 First Data</x:v>
      </x:c>
      <x:c r="I1" s="14" t="str">
        <x:v>PRIUS_READY_01 Last Data</x:v>
      </x:c>
      <x:c r="J1" s="14" t="str">
        <x:v>PRIUS_DRIVE_02 Frames</x:v>
      </x:c>
      <x:c r="K1" s="14" t="str">
        <x:v>PRIUS_DRIVE_02 Capture %</x:v>
      </x:c>
      <x:c r="L1" s="14" t="str">
        <x:v>PRIUS_DRIVE_02 DLC Mode</x:v>
      </x:c>
      <x:c r="M1" s="14" t="str">
        <x:v>PRIUS_DRIVE_02 Mean Period ms</x:v>
      </x:c>
      <x:c r="N1" s="14" t="str">
        <x:v>PRIUS_DRIVE_02 Approx Hz</x:v>
      </x:c>
      <x:c r="O1" s="14" t="str">
        <x:v>PRIUS_DRIVE_02 First Data</x:v>
      </x:c>
      <x:c r="P1" s="14" t="str">
        <x:v>PRIUS_DRIVE_02 Last Data</x:v>
      </x:c>
      <x:c r="Q1" s="14" t="str">
        <x:v>CAMRY_DRIVE_01 Frames</x:v>
      </x:c>
      <x:c r="R1" s="14" t="str">
        <x:v>CAMRY_DRIVE_01 Capture %</x:v>
      </x:c>
      <x:c r="S1" s="14" t="str">
        <x:v>CAMRY_DRIVE_01 DLC Mode</x:v>
      </x:c>
      <x:c r="T1" s="14" t="str">
        <x:v>CAMRY_DRIVE_01 Mean Period ms</x:v>
      </x:c>
      <x:c r="U1" s="14" t="str">
        <x:v>CAMRY_DRIVE_01 Approx Hz</x:v>
      </x:c>
      <x:c r="V1" s="14" t="str">
        <x:v>CAMRY_DRIVE_01 First Data</x:v>
      </x:c>
      <x:c r="W1" s="14" t="str">
        <x:v>CAMRY_DRIVE_01 Last Data</x:v>
      </x:c>
      <x:c r="X1" s="14" t="str">
        <x:v>Cross-Capture Status</x:v>
      </x:c>
    </x:row>
    <x:row r="2">
      <x:c r="A2" s="20" t="str">
        <x:v>0x020</x:v>
      </x:c>
      <x:c r="B2" s="20" t="str">
        <x:v>STD</x:v>
      </x:c>
      <x:c r="C2" s="20" t="n">
        <x:v>19814</x:v>
      </x:c>
      <x:c r="D2" s="20" t="n">
        <x:v>4.9088</x:v>
      </x:c>
      <x:c r="E2" s="20" t="n">
        <x:v>3</x:v>
      </x:c>
      <x:c r="F2" s="20" t="n">
        <x:v>12.2573</x:v>
      </x:c>
      <x:c r="G2" s="20" t="n">
        <x:v>81.584</x:v>
      </x:c>
      <x:c r="H2" s="20" t="str">
        <x:v>00 00 07</x:v>
      </x:c>
      <x:c r="I2" s="20" t="str">
        <x:v>00 00 07</x:v>
      </x:c>
      <x:c r="J2" s="20" t="n">
        <x:v>17833</x:v>
      </x:c>
      <x:c r="K2" s="20" t="n">
        <x:v>4.8768</x:v>
      </x:c>
      <x:c r="L2" s="20" t="n">
        <x:v>3</x:v>
      </x:c>
      <x:c r="M2" s="20" t="n">
        <x:v>12.4132</x:v>
      </x:c>
      <x:c r="N2" s="20" t="n">
        <x:v>80.559</x:v>
      </x:c>
      <x:c r="O2" s="20" t="str">
        <x:v>00 00 07</x:v>
      </x:c>
      <x:c r="P2" s="20" t="str">
        <x:v>00 00 07</x:v>
      </x:c>
      <x:c r="Q2" s="20" t="n">
        <x:v>16824</x:v>
      </x:c>
      <x:c r="R2" s="20" t="n">
        <x:v>6.2894</x:v>
      </x:c>
      <x:c r="S2" s="20" t="n">
        <x:v>3</x:v>
      </x:c>
      <x:c r="T2" s="20" t="n">
        <x:v>13.5372</x:v>
      </x:c>
      <x:c r="U2" s="20" t="n">
        <x:v>73.87</x:v>
      </x:c>
      <x:c r="V2" s="20" t="str">
        <x:v>00 00 07</x:v>
      </x:c>
      <x:c r="W2" s="20" t="str">
        <x:v>0F FA 07</x:v>
      </x:c>
      <x:c r="X2" s="20" t="str">
        <x:v>Prius/Camry common</x:v>
      </x:c>
    </x:row>
    <x:row r="3">
      <x:c r="A3" s="20" t="str">
        <x:v>0x022</x:v>
      </x:c>
      <x:c r="B3" s="20" t="str">
        <x:v>STD</x:v>
      </x:c>
      <x:c r="C3" s="20" t="n">
        <x:v>19813</x:v>
      </x:c>
      <x:c r="D3" s="20" t="n">
        <x:v>4.9085</x:v>
      </x:c>
      <x:c r="E3" s="20" t="n">
        <x:v>8</x:v>
      </x:c>
      <x:c r="F3" s="20" t="n">
        <x:v>12.258</x:v>
      </x:c>
      <x:c r="G3" s="20" t="n">
        <x:v>81.58</x:v>
      </x:c>
      <x:c r="H3" s="20" t="str">
        <x:v>00 FC 01 2C 00 39 00 8C</x:v>
      </x:c>
      <x:c r="I3" s="20" t="str">
        <x:v>02 06 02 04 00 08 00 40</x:v>
      </x:c>
      <x:c r="J3" s="20" t="n">
        <x:v>17832</x:v>
      </x:c>
      <x:c r="K3" s="20" t="n">
        <x:v>4.8766</x:v>
      </x:c>
      <x:c r="L3" s="20" t="n">
        <x:v>8</x:v>
      </x:c>
      <x:c r="M3" s="20" t="n">
        <x:v>12.4139</x:v>
      </x:c>
      <x:c r="N3" s="20" t="n">
        <x:v>80.555</x:v>
      </x:c>
      <x:c r="O3" s="20" t="str">
        <x:v>01 07 01 29 00 39 00 95</x:v>
      </x:c>
      <x:c r="P3" s="20" t="str">
        <x:v>02 04 02 05 00 00 00 37</x:v>
      </x:c>
      <x:c r="Q3" s="20" t="n">
        <x:v>16808</x:v>
      </x:c>
      <x:c r="R3" s="20" t="n">
        <x:v>6.2834</x:v>
      </x:c>
      <x:c r="S3" s="20" t="n">
        <x:v>8</x:v>
      </x:c>
      <x:c r="T3" s="20" t="n">
        <x:v>13.5501</x:v>
      </x:c>
      <x:c r="U3" s="20" t="n">
        <x:v>73.8</x:v>
      </x:c>
      <x:c r="V3" s="20" t="str">
        <x:v>01 28 01 31 00 38 00 BD</x:v>
      </x:c>
      <x:c r="W3" s="20" t="str">
        <x:v>01 F5 02 00 00 08 00 2A</x:v>
      </x:c>
      <x:c r="X3" s="20" t="str">
        <x:v>Prius/Camry common</x:v>
      </x:c>
    </x:row>
    <x:row r="4">
      <x:c r="A4" s="20" t="str">
        <x:v>0x023</x:v>
      </x:c>
      <x:c r="B4" s="20" t="str">
        <x:v>STD</x:v>
      </x:c>
      <x:c r="C4" s="20" t="n">
        <x:v>19812</x:v>
      </x:c>
      <x:c r="D4" s="20" t="n">
        <x:v>4.9083</x:v>
      </x:c>
      <x:c r="E4" s="20" t="n">
        <x:v>7</x:v>
      </x:c>
      <x:c r="F4" s="20" t="n">
        <x:v>12.2586</x:v>
      </x:c>
      <x:c r="G4" s="20" t="n">
        <x:v>81.576</x:v>
      </x:c>
      <x:c r="H4" s="20" t="str">
        <x:v>02 09 02 01 39 00 71</x:v>
      </x:c>
      <x:c r="I4" s="20" t="str">
        <x:v>01 FE 01 F9 08 00 2B</x:v>
      </x:c>
      <x:c r="J4" s="20" t="n">
        <x:v>17832</x:v>
      </x:c>
      <x:c r="K4" s="20" t="n">
        <x:v>4.8766</x:v>
      </x:c>
      <x:c r="L4" s="20" t="n">
        <x:v>7</x:v>
      </x:c>
      <x:c r="M4" s="20" t="n">
        <x:v>12.4139</x:v>
      </x:c>
      <x:c r="N4" s="20" t="n">
        <x:v>80.555</x:v>
      </x:c>
      <x:c r="O4" s="20" t="str">
        <x:v>02 07 02 01 39 00 6F</x:v>
      </x:c>
      <x:c r="P4" s="20" t="str">
        <x:v>01 FE 01 F8 00 00 22</x:v>
      </x:c>
      <x:c r="Q4" s="20" t="n">
        <x:v>16808</x:v>
      </x:c>
      <x:c r="R4" s="20" t="n">
        <x:v>6.2834</x:v>
      </x:c>
      <x:c r="S4" s="20" t="n">
        <x:v>7</x:v>
      </x:c>
      <x:c r="T4" s="20" t="n">
        <x:v>13.5501</x:v>
      </x:c>
      <x:c r="U4" s="20" t="n">
        <x:v>73.8</x:v>
      </x:c>
      <x:c r="V4" s="20" t="str">
        <x:v>01 FE 02 11 38 00 74</x:v>
      </x:c>
      <x:c r="W4" s="20" t="str">
        <x:v>01 FE 02 11 08 00 44</x:v>
      </x:c>
      <x:c r="X4" s="20" t="str">
        <x:v>Prius/Camry common</x:v>
      </x:c>
    </x:row>
    <x:row r="5">
      <x:c r="A5" s="20" t="str">
        <x:v>0x025</x:v>
      </x:c>
      <x:c r="B5" s="20" t="str">
        <x:v>STD</x:v>
      </x:c>
      <x:c r="C5" s="20" t="n">
        <x:v>19829</x:v>
      </x:c>
      <x:c r="D5" s="20" t="n">
        <x:v>4.9125</x:v>
      </x:c>
      <x:c r="E5" s="20" t="n">
        <x:v>8</x:v>
      </x:c>
      <x:c r="F5" s="20" t="n">
        <x:v>12.2481</x:v>
      </x:c>
      <x:c r="G5" s="20" t="n">
        <x:v>81.646</x:v>
      </x:c>
      <x:c r="H5" s="20" t="str">
        <x:v>1F 2E 0F 77 FF FF FF FD</x:v>
      </x:c>
      <x:c r="I5" s="20" t="str">
        <x:v>0F 2E 0F 77 83 83 83 79</x:v>
      </x:c>
      <x:c r="J5" s="20" t="n">
        <x:v>17849</x:v>
      </x:c>
      <x:c r="K5" s="20" t="n">
        <x:v>4.8812</x:v>
      </x:c>
      <x:c r="L5" s="20" t="n">
        <x:v>8</x:v>
      </x:c>
      <x:c r="M5" s="20" t="n">
        <x:v>12.4021</x:v>
      </x:c>
      <x:c r="N5" s="20" t="n">
        <x:v>80.632</x:v>
      </x:c>
      <x:c r="O5" s="20" t="str">
        <x:v>10 0B 0F 77 FF FF FF CB</x:v>
      </x:c>
      <x:c r="P5" s="20" t="str">
        <x:v>1E ED 0F 77 B5 B5 B5 DD</x:v>
      </x:c>
      <x:c r="Q5" s="20" t="n">
        <x:v>16819</x:v>
      </x:c>
      <x:c r="R5" s="20" t="n">
        <x:v>6.2875</x:v>
      </x:c>
      <x:c r="S5" s="20" t="n">
        <x:v>8</x:v>
      </x:c>
      <x:c r="T5" s="20" t="n">
        <x:v>13.5413</x:v>
      </x:c>
      <x:c r="U5" s="20" t="n">
        <x:v>73.848</x:v>
      </x:c>
      <x:c r="V5" s="20" t="str">
        <x:v>00 01 0F FA FF FF FF 34</x:v>
      </x:c>
      <x:c r="W5" s="20" t="str">
        <x:v>10 06 0F FA 78 78 78 B4</x:v>
      </x:c>
      <x:c r="X5" s="20" t="str">
        <x:v>Prius/Camry common</x:v>
      </x:c>
    </x:row>
    <x:row r="6">
      <x:c r="A6" s="20" t="str">
        <x:v>0x030</x:v>
      </x:c>
      <x:c r="B6" s="20" t="str">
        <x:v>STD</x:v>
      </x:c>
      <x:c r="C6" s="20" t="n">
        <x:v>39626</x:v>
      </x:c>
      <x:c r="D6" s="20" t="n">
        <x:v>9.8171</x:v>
      </x:c>
      <x:c r="E6" s="20" t="n">
        <x:v>8</x:v>
      </x:c>
      <x:c r="F6" s="20" t="n">
        <x:v>6.1288</x:v>
      </x:c>
      <x:c r="G6" s="20" t="n">
        <x:v>163.163</x:v>
      </x:c>
      <x:c r="H6" s="20" t="str">
        <x:v>04 00 00 00 00 00 00 3C</x:v>
      </x:c>
      <x:c r="I6" s="20" t="str">
        <x:v>04 00 00 00 72 20 00 CE</x:v>
      </x:c>
      <x:c r="J6" s="20" t="n">
        <x:v>35664</x:v>
      </x:c>
      <x:c r="K6" s="20" t="n">
        <x:v>9.7531</x:v>
      </x:c>
      <x:c r="L6" s="20" t="n">
        <x:v>8</x:v>
      </x:c>
      <x:c r="M6" s="20" t="n">
        <x:v>6.2068</x:v>
      </x:c>
      <x:c r="N6" s="20" t="n">
        <x:v>161.114</x:v>
      </x:c>
      <x:c r="O6" s="20" t="str">
        <x:v>04 00 00 00 00 00 00 3C</x:v>
      </x:c>
      <x:c r="P6" s="20" t="str">
        <x:v>04 00 00 00 0E 20 00 6A</x:v>
      </x:c>
      <x:c r="Q6" s="20" t="n">
        <x:v>0</x:v>
      </x:c>
      <x:c r="R6" s="20" t="n">
        <x:v>0</x:v>
      </x:c>
      <x:c r="S6" s="20" t="str"/>
      <x:c r="T6" s="20" t="str"/>
      <x:c r="U6" s="20" t="str"/>
      <x:c r="V6" s="20" t="str"/>
      <x:c r="W6" s="20" t="str"/>
      <x:c r="X6" s="20" t="str">
        <x:v>Prius-only in these captures</x:v>
      </x:c>
    </x:row>
    <x:row r="7">
      <x:c r="A7" s="20" t="str">
        <x:v>0x038</x:v>
      </x:c>
      <x:c r="B7" s="20" t="str">
        <x:v>STD</x:v>
      </x:c>
      <x:c r="C7" s="20" t="n">
        <x:v>29480</x:v>
      </x:c>
      <x:c r="D7" s="20" t="n">
        <x:v>7.3035</x:v>
      </x:c>
      <x:c r="E7" s="20" t="n">
        <x:v>7</x:v>
      </x:c>
      <x:c r="F7" s="20" t="n">
        <x:v>8.2382</x:v>
      </x:c>
      <x:c r="G7" s="20" t="n">
        <x:v>121.385</x:v>
      </x:c>
      <x:c r="H7" s="20" t="str">
        <x:v>80 00 08 00 00 00 C7</x:v>
      </x:c>
      <x:c r="I7" s="20" t="str">
        <x:v>C0 00 08 00 00 00 07</x:v>
      </x:c>
      <x:c r="J7" s="20" t="n">
        <x:v>26858</x:v>
      </x:c>
      <x:c r="K7" s="20" t="n">
        <x:v>7.3449</x:v>
      </x:c>
      <x:c r="L7" s="20" t="n">
        <x:v>7</x:v>
      </x:c>
      <x:c r="M7" s="20" t="n">
        <x:v>8.2419</x:v>
      </x:c>
      <x:c r="N7" s="20" t="n">
        <x:v>121.332</x:v>
      </x:c>
      <x:c r="O7" s="20" t="str">
        <x:v>80 00 08 00 00 00 C7</x:v>
      </x:c>
      <x:c r="P7" s="20" t="str">
        <x:v>C0 00 08 00 00 00 07</x:v>
      </x:c>
      <x:c r="Q7" s="20" t="n">
        <x:v>0</x:v>
      </x:c>
      <x:c r="R7" s="20" t="n">
        <x:v>0</x:v>
      </x:c>
      <x:c r="S7" s="20" t="str"/>
      <x:c r="T7" s="20" t="str"/>
      <x:c r="U7" s="20" t="str"/>
      <x:c r="V7" s="20" t="str"/>
      <x:c r="W7" s="20" t="str"/>
      <x:c r="X7" s="20" t="str">
        <x:v>Prius-only in these captures</x:v>
      </x:c>
    </x:row>
    <x:row r="8">
      <x:c r="A8" s="20" t="str">
        <x:v>0x039</x:v>
      </x:c>
      <x:c r="B8" s="20" t="str">
        <x:v>STD</x:v>
      </x:c>
      <x:c r="C8" s="20" t="n">
        <x:v>29236</x:v>
      </x:c>
      <x:c r="D8" s="20" t="n">
        <x:v>7.243</x:v>
      </x:c>
      <x:c r="E8" s="20" t="n">
        <x:v>4</x:v>
      </x:c>
      <x:c r="F8" s="20" t="n">
        <x:v>8.307</x:v>
      </x:c>
      <x:c r="G8" s="20" t="n">
        <x:v>120.381</x:v>
      </x:c>
      <x:c r="H8" s="20" t="str">
        <x:v>1B 00 00 58</x:v>
      </x:c>
      <x:c r="I8" s="20" t="str">
        <x:v>2E 02 0D 7A</x:v>
      </x:c>
      <x:c r="J8" s="20" t="n">
        <x:v>26617</x:v>
      </x:c>
      <x:c r="K8" s="20" t="n">
        <x:v>7.279</x:v>
      </x:c>
      <x:c r="L8" s="20" t="n">
        <x:v>4</x:v>
      </x:c>
      <x:c r="M8" s="20" t="n">
        <x:v>8.3165</x:v>
      </x:c>
      <x:c r="N8" s="20" t="n">
        <x:v>120.243</x:v>
      </x:c>
      <x:c r="O8" s="20" t="str">
        <x:v>50 00 00 8D</x:v>
      </x:c>
      <x:c r="P8" s="20" t="str">
        <x:v>5A 02 09 A2</x:v>
      </x:c>
      <x:c r="Q8" s="20" t="n">
        <x:v>0</x:v>
      </x:c>
      <x:c r="R8" s="20" t="n">
        <x:v>0</x:v>
      </x:c>
      <x:c r="S8" s="20" t="str"/>
      <x:c r="T8" s="20" t="str"/>
      <x:c r="U8" s="20" t="str"/>
      <x:c r="V8" s="20" t="str"/>
      <x:c r="W8" s="20" t="str"/>
      <x:c r="X8" s="20" t="str">
        <x:v>Prius-only in these captures</x:v>
      </x:c>
    </x:row>
    <x:row r="9">
      <x:c r="A9" s="20" t="str">
        <x:v>0x03A</x:v>
      </x:c>
      <x:c r="B9" s="20" t="str">
        <x:v>STD</x:v>
      </x:c>
      <x:c r="C9" s="20" t="n">
        <x:v>29479</x:v>
      </x:c>
      <x:c r="D9" s="20" t="n">
        <x:v>7.3032</x:v>
      </x:c>
      <x:c r="E9" s="20" t="n">
        <x:v>7</x:v>
      </x:c>
      <x:c r="F9" s="20" t="n">
        <x:v>8.2385</x:v>
      </x:c>
      <x:c r="G9" s="20" t="n">
        <x:v>121.381</x:v>
      </x:c>
      <x:c r="H9" s="20" t="str">
        <x:v>00 00 00 00 44 05 8A</x:v>
      </x:c>
      <x:c r="I9" s="20" t="str">
        <x:v>00 00 00 00 84 02 C7</x:v>
      </x:c>
      <x:c r="J9" s="20" t="n">
        <x:v>26858</x:v>
      </x:c>
      <x:c r="K9" s="20" t="n">
        <x:v>7.3449</x:v>
      </x:c>
      <x:c r="L9" s="20" t="n">
        <x:v>7</x:v>
      </x:c>
      <x:c r="M9" s="20" t="n">
        <x:v>8.2419</x:v>
      </x:c>
      <x:c r="N9" s="20" t="n">
        <x:v>121.332</x:v>
      </x:c>
      <x:c r="O9" s="20" t="str">
        <x:v>00 00 00 00 44 02 87</x:v>
      </x:c>
      <x:c r="P9" s="20" t="str">
        <x:v>00 00 00 00 84 04 C9</x:v>
      </x:c>
      <x:c r="Q9" s="20" t="n">
        <x:v>0</x:v>
      </x:c>
      <x:c r="R9" s="20" t="n">
        <x:v>0</x:v>
      </x:c>
      <x:c r="S9" s="20" t="str"/>
      <x:c r="T9" s="20" t="str"/>
      <x:c r="U9" s="20" t="str"/>
      <x:c r="V9" s="20" t="str"/>
      <x:c r="W9" s="20" t="str"/>
      <x:c r="X9" s="20" t="str">
        <x:v>Prius-only in these captures</x:v>
      </x:c>
    </x:row>
    <x:row r="10">
      <x:c r="A10" s="20" t="str">
        <x:v>0x03B</x:v>
      </x:c>
      <x:c r="B10" s="20" t="str">
        <x:v>STD</x:v>
      </x:c>
      <x:c r="C10" s="20" t="n">
        <x:v>30323</x:v>
      </x:c>
      <x:c r="D10" s="20" t="n">
        <x:v>7.5123</x:v>
      </x:c>
      <x:c r="E10" s="20" t="n">
        <x:v>5</x:v>
      </x:c>
      <x:c r="F10" s="20" t="n">
        <x:v>8.0092</x:v>
      </x:c>
      <x:c r="G10" s="20" t="n">
        <x:v>124.857</x:v>
      </x:c>
      <x:c r="H10" s="20" t="str">
        <x:v>00 00 00 DB 1B</x:v>
      </x:c>
      <x:c r="I10" s="20" t="str">
        <x:v>00 00 00 D1 11</x:v>
      </x:c>
      <x:c r="J10" s="20" t="n">
        <x:v>27637</x:v>
      </x:c>
      <x:c r="K10" s="20" t="n">
        <x:v>7.558</x:v>
      </x:c>
      <x:c r="L10" s="20" t="n">
        <x:v>5</x:v>
      </x:c>
      <x:c r="M10" s="20" t="n">
        <x:v>8.0096</x:v>
      </x:c>
      <x:c r="N10" s="20" t="n">
        <x:v>124.851</x:v>
      </x:c>
      <x:c r="O10" s="20" t="str">
        <x:v>00 00 00 E3 23</x:v>
      </x:c>
      <x:c r="P10" s="20" t="str">
        <x:v>00 00 00 DB 1B</x:v>
      </x:c>
      <x:c r="Q10" s="20" t="n">
        <x:v>0</x:v>
      </x:c>
      <x:c r="R10" s="20" t="n">
        <x:v>0</x:v>
      </x:c>
      <x:c r="S10" s="20" t="str"/>
      <x:c r="T10" s="20" t="str"/>
      <x:c r="U10" s="20" t="str"/>
      <x:c r="V10" s="20" t="str"/>
      <x:c r="W10" s="20" t="str"/>
      <x:c r="X10" s="20" t="str">
        <x:v>Prius-only in these captures; Gen2 HV-battery high-confidence candidate</x:v>
      </x:c>
    </x:row>
    <x:row r="11">
      <x:c r="A11" s="20" t="str">
        <x:v>0x03D</x:v>
      </x:c>
      <x:c r="B11" s="20" t="str">
        <x:v>STD</x:v>
      </x:c>
      <x:c r="C11" s="20" t="n">
        <x:v>0</x:v>
      </x:c>
      <x:c r="D11" s="20" t="n">
        <x:v>0</x:v>
      </x:c>
      <x:c r="E11" s="20" t="str"/>
      <x:c r="F11" s="20" t="str"/>
      <x:c r="G11" s="20" t="str"/>
      <x:c r="H11" s="20" t="str"/>
      <x:c r="I11" s="20" t="str"/>
      <x:c r="J11" s="20" t="n">
        <x:v>0</x:v>
      </x:c>
      <x:c r="K11" s="20" t="n">
        <x:v>0</x:v>
      </x:c>
      <x:c r="L11" s="20" t="str"/>
      <x:c r="M11" s="20" t="str"/>
      <x:c r="N11" s="20" t="str"/>
      <x:c r="O11" s="20" t="str"/>
      <x:c r="P11" s="20" t="str"/>
      <x:c r="Q11" s="20" t="n">
        <x:v>24702</x:v>
      </x:c>
      <x:c r="R11" s="20" t="n">
        <x:v>9.2345</x:v>
      </x:c>
      <x:c r="S11" s="20" t="n">
        <x:v>8</x:v>
      </x:c>
      <x:c r="T11" s="20" t="n">
        <x:v>9.2197</x:v>
      </x:c>
      <x:c r="U11" s="20" t="n">
        <x:v>108.463</x:v>
      </x:c>
      <x:c r="V11" s="20" t="str">
        <x:v>40 00 00 00 00 00 00 85</x:v>
      </x:c>
      <x:c r="W11" s="20" t="str">
        <x:v>40 00 00 00 00 19 DA 78</x:v>
      </x:c>
      <x:c r="X11" s="20" t="str">
        <x:v>Camry-only in these captures</x:v>
      </x:c>
    </x:row>
    <x:row r="12">
      <x:c r="A12" s="20" t="str">
        <x:v>0x03E</x:v>
      </x:c>
      <x:c r="B12" s="20" t="str">
        <x:v>STD</x:v>
      </x:c>
      <x:c r="C12" s="20" t="n">
        <x:v>29480</x:v>
      </x:c>
      <x:c r="D12" s="20" t="n">
        <x:v>7.3035</x:v>
      </x:c>
      <x:c r="E12" s="20" t="n">
        <x:v>3</x:v>
      </x:c>
      <x:c r="F12" s="20" t="n">
        <x:v>8.2382</x:v>
      </x:c>
      <x:c r="G12" s="20" t="n">
        <x:v>121.385</x:v>
      </x:c>
      <x:c r="H12" s="20" t="str">
        <x:v>1F FE 5E</x:v>
      </x:c>
      <x:c r="I12" s="20" t="str">
        <x:v>10 00 51</x:v>
      </x:c>
      <x:c r="J12" s="20" t="n">
        <x:v>26858</x:v>
      </x:c>
      <x:c r="K12" s="20" t="n">
        <x:v>7.3449</x:v>
      </x:c>
      <x:c r="L12" s="20" t="n">
        <x:v>3</x:v>
      </x:c>
      <x:c r="M12" s="20" t="n">
        <x:v>8.2419</x:v>
      </x:c>
      <x:c r="N12" s="20" t="n">
        <x:v>121.332</x:v>
      </x:c>
      <x:c r="O12" s="20" t="str">
        <x:v>12 6A BD</x:v>
      </x:c>
      <x:c r="P12" s="20" t="str">
        <x:v>15 5E B4</x:v>
      </x:c>
      <x:c r="Q12" s="20" t="n">
        <x:v>0</x:v>
      </x:c>
      <x:c r="R12" s="20" t="n">
        <x:v>0</x:v>
      </x:c>
      <x:c r="S12" s="20" t="str"/>
      <x:c r="T12" s="20" t="str"/>
      <x:c r="U12" s="20" t="str"/>
      <x:c r="V12" s="20" t="str"/>
      <x:c r="W12" s="20" t="str"/>
      <x:c r="X12" s="20" t="str">
        <x:v>Prius-only in these captures</x:v>
      </x:c>
    </x:row>
    <x:row r="13">
      <x:c r="A13" s="20" t="str">
        <x:v>0x0A4</x:v>
      </x:c>
      <x:c r="B13" s="20" t="str">
        <x:v>STD</x:v>
      </x:c>
      <x:c r="C13" s="20" t="n">
        <x:v>0</x:v>
      </x:c>
      <x:c r="D13" s="20" t="n">
        <x:v>0</x:v>
      </x:c>
      <x:c r="E13" s="20" t="str"/>
      <x:c r="F13" s="20" t="str"/>
      <x:c r="G13" s="20" t="str"/>
      <x:c r="H13" s="20" t="str"/>
      <x:c r="I13" s="20" t="str"/>
      <x:c r="J13" s="20" t="n">
        <x:v>0</x:v>
      </x:c>
      <x:c r="K13" s="20" t="n">
        <x:v>0</x:v>
      </x:c>
      <x:c r="L13" s="20" t="str"/>
      <x:c r="M13" s="20" t="str"/>
      <x:c r="N13" s="20" t="str"/>
      <x:c r="O13" s="20" t="str"/>
      <x:c r="P13" s="20" t="str"/>
      <x:c r="Q13" s="20" t="n">
        <x:v>16824</x:v>
      </x:c>
      <x:c r="R13" s="20" t="n">
        <x:v>6.2894</x:v>
      </x:c>
      <x:c r="S13" s="20" t="n">
        <x:v>6</x:v>
      </x:c>
      <x:c r="T13" s="20" t="n">
        <x:v>13.5372</x:v>
      </x:c>
      <x:c r="U13" s="20" t="n">
        <x:v>73.87</x:v>
      </x:c>
      <x:c r="V13" s="20" t="str">
        <x:v>40 00 00 00 00 EA</x:v>
      </x:c>
      <x:c r="W13" s="20" t="str">
        <x:v>40 00 00 00 00 EA</x:v>
      </x:c>
      <x:c r="X13" s="20" t="str">
        <x:v>Camry-only in these captures</x:v>
      </x:c>
    </x:row>
    <x:row r="14">
      <x:c r="A14" s="20" t="str">
        <x:v>0x0A6</x:v>
      </x:c>
      <x:c r="B14" s="20" t="str">
        <x:v>STD</x:v>
      </x:c>
      <x:c r="C14" s="20" t="n">
        <x:v>0</x:v>
      </x:c>
      <x:c r="D14" s="20" t="n">
        <x:v>0</x:v>
      </x:c>
      <x:c r="E14" s="20" t="str"/>
      <x:c r="F14" s="20" t="str"/>
      <x:c r="G14" s="20" t="str"/>
      <x:c r="H14" s="20" t="str"/>
      <x:c r="I14" s="20" t="str"/>
      <x:c r="J14" s="20" t="n">
        <x:v>0</x:v>
      </x:c>
      <x:c r="K14" s="20" t="n">
        <x:v>0</x:v>
      </x:c>
      <x:c r="L14" s="20" t="str"/>
      <x:c r="M14" s="20" t="str"/>
      <x:c r="N14" s="20" t="str"/>
      <x:c r="O14" s="20" t="str"/>
      <x:c r="P14" s="20" t="str"/>
      <x:c r="Q14" s="20" t="n">
        <x:v>16824</x:v>
      </x:c>
      <x:c r="R14" s="20" t="n">
        <x:v>6.2894</x:v>
      </x:c>
      <x:c r="S14" s="20" t="n">
        <x:v>8</x:v>
      </x:c>
      <x:c r="T14" s="20" t="n">
        <x:v>13.5372</x:v>
      </x:c>
      <x:c r="U14" s="20" t="n">
        <x:v>73.87</x:v>
      </x:c>
      <x:c r="V14" s="20" t="str">
        <x:v>00 00 00 48 00 00 00 F6</x:v>
      </x:c>
      <x:c r="W14" s="20" t="str">
        <x:v>00 00 DA 40 00 00 00 C8</x:v>
      </x:c>
      <x:c r="X14" s="20" t="str">
        <x:v>Camry-only in these captures</x:v>
      </x:c>
    </x:row>
    <x:row r="15">
      <x:c r="A15" s="20" t="str">
        <x:v>0x0B0</x:v>
      </x:c>
      <x:c r="B15" s="20" t="str">
        <x:v>STD</x:v>
      </x:c>
      <x:c r="C15" s="20" t="n">
        <x:v>0</x:v>
      </x:c>
      <x:c r="D15" s="20" t="n">
        <x:v>0</x:v>
      </x:c>
      <x:c r="E15" s="20" t="str"/>
      <x:c r="F15" s="20" t="str"/>
      <x:c r="G15" s="20" t="str"/>
      <x:c r="H15" s="20" t="str"/>
      <x:c r="I15" s="20" t="str"/>
      <x:c r="J15" s="20" t="n">
        <x:v>0</x:v>
      </x:c>
      <x:c r="K15" s="20" t="n">
        <x:v>0</x:v>
      </x:c>
      <x:c r="L15" s="20" t="str"/>
      <x:c r="M15" s="20" t="str"/>
      <x:c r="N15" s="20" t="str"/>
      <x:c r="O15" s="20" t="str"/>
      <x:c r="P15" s="20" t="str"/>
      <x:c r="Q15" s="20" t="n">
        <x:v>16824</x:v>
      </x:c>
      <x:c r="R15" s="20" t="n">
        <x:v>6.2894</x:v>
      </x:c>
      <x:c r="S15" s="20" t="n">
        <x:v>8</x:v>
      </x:c>
      <x:c r="T15" s="20" t="n">
        <x:v>13.5372</x:v>
      </x:c>
      <x:c r="U15" s="20" t="n">
        <x:v>73.87</x:v>
      </x:c>
      <x:c r="V15" s="20" t="str">
        <x:v>00 00 00 00 11 00 00 C9</x:v>
      </x:c>
      <x:c r="W15" s="20" t="str">
        <x:v>00 00 00 00 11 00 00 C9</x:v>
      </x:c>
      <x:c r="X15" s="20" t="str">
        <x:v>Camry-only in these captures</x:v>
      </x:c>
    </x:row>
    <x:row r="16">
      <x:c r="A16" s="20" t="str">
        <x:v>0x0B1</x:v>
      </x:c>
      <x:c r="B16" s="20" t="str">
        <x:v>STD</x:v>
      </x:c>
      <x:c r="C16" s="20" t="n">
        <x:v>19814</x:v>
      </x:c>
      <x:c r="D16" s="20" t="n">
        <x:v>4.9088</x:v>
      </x:c>
      <x:c r="E16" s="20" t="n">
        <x:v>6</x:v>
      </x:c>
      <x:c r="F16" s="20" t="n">
        <x:v>12.2573</x:v>
      </x:c>
      <x:c r="G16" s="20" t="n">
        <x:v>81.584</x:v>
      </x:c>
      <x:c r="H16" s="20" t="str">
        <x:v>00 00 00 00 11 C8</x:v>
      </x:c>
      <x:c r="I16" s="20" t="str">
        <x:v>00 00 00 00 11 C8</x:v>
      </x:c>
      <x:c r="J16" s="20" t="n">
        <x:v>17833</x:v>
      </x:c>
      <x:c r="K16" s="20" t="n">
        <x:v>4.8768</x:v>
      </x:c>
      <x:c r="L16" s="20" t="n">
        <x:v>6</x:v>
      </x:c>
      <x:c r="M16" s="20" t="n">
        <x:v>12.4132</x:v>
      </x:c>
      <x:c r="N16" s="20" t="n">
        <x:v>80.559</x:v>
      </x:c>
      <x:c r="O16" s="20" t="str">
        <x:v>00 00 00 00 11 C8</x:v>
      </x:c>
      <x:c r="P16" s="20" t="str">
        <x:v>00 00 00 00 91 48</x:v>
      </x:c>
      <x:c r="Q16" s="20" t="n">
        <x:v>0</x:v>
      </x:c>
      <x:c r="R16" s="20" t="n">
        <x:v>0</x:v>
      </x:c>
      <x:c r="S16" s="20" t="str"/>
      <x:c r="T16" s="20" t="str"/>
      <x:c r="U16" s="20" t="str"/>
      <x:c r="V16" s="20" t="str"/>
      <x:c r="W16" s="20" t="str"/>
      <x:c r="X16" s="20" t="str">
        <x:v>Prius-only in these captures</x:v>
      </x:c>
    </x:row>
    <x:row r="17">
      <x:c r="A17" s="20" t="str">
        <x:v>0x0B2</x:v>
      </x:c>
      <x:c r="B17" s="20" t="str">
        <x:v>STD</x:v>
      </x:c>
      <x:c r="C17" s="20" t="n">
        <x:v>0</x:v>
      </x:c>
      <x:c r="D17" s="20" t="n">
        <x:v>0</x:v>
      </x:c>
      <x:c r="E17" s="20" t="str"/>
      <x:c r="F17" s="20" t="str"/>
      <x:c r="G17" s="20" t="str"/>
      <x:c r="H17" s="20" t="str"/>
      <x:c r="I17" s="20" t="str"/>
      <x:c r="J17" s="20" t="n">
        <x:v>0</x:v>
      </x:c>
      <x:c r="K17" s="20" t="n">
        <x:v>0</x:v>
      </x:c>
      <x:c r="L17" s="20" t="str"/>
      <x:c r="M17" s="20" t="str"/>
      <x:c r="N17" s="20" t="str"/>
      <x:c r="O17" s="20" t="str"/>
      <x:c r="P17" s="20" t="str"/>
      <x:c r="Q17" s="20" t="n">
        <x:v>16824</x:v>
      </x:c>
      <x:c r="R17" s="20" t="n">
        <x:v>6.2894</x:v>
      </x:c>
      <x:c r="S17" s="20" t="n">
        <x:v>8</x:v>
      </x:c>
      <x:c r="T17" s="20" t="n">
        <x:v>13.5372</x:v>
      </x:c>
      <x:c r="U17" s="20" t="n">
        <x:v>73.87</x:v>
      </x:c>
      <x:c r="V17" s="20" t="str">
        <x:v>00 00 00 00 11 00 00 CB</x:v>
      </x:c>
      <x:c r="W17" s="20" t="str">
        <x:v>00 00 00 00 11 00 00 CB</x:v>
      </x:c>
      <x:c r="X17" s="20" t="str">
        <x:v>Camry-only in these captures</x:v>
      </x:c>
    </x:row>
    <x:row r="18">
      <x:c r="A18" s="20" t="str">
        <x:v>0x0B3</x:v>
      </x:c>
      <x:c r="B18" s="20" t="str">
        <x:v>STD</x:v>
      </x:c>
      <x:c r="C18" s="20" t="n">
        <x:v>19812</x:v>
      </x:c>
      <x:c r="D18" s="20" t="n">
        <x:v>4.9083</x:v>
      </x:c>
      <x:c r="E18" s="20" t="n">
        <x:v>6</x:v>
      </x:c>
      <x:c r="F18" s="20" t="n">
        <x:v>12.2586</x:v>
      </x:c>
      <x:c r="G18" s="20" t="n">
        <x:v>81.576</x:v>
      </x:c>
      <x:c r="H18" s="20" t="str">
        <x:v>00 00 00 00 11 CA</x:v>
      </x:c>
      <x:c r="I18" s="20" t="str">
        <x:v>00 00 00 00 11 CA</x:v>
      </x:c>
      <x:c r="J18" s="20" t="n">
        <x:v>17831</x:v>
      </x:c>
      <x:c r="K18" s="20" t="n">
        <x:v>4.8763</x:v>
      </x:c>
      <x:c r="L18" s="20" t="n">
        <x:v>6</x:v>
      </x:c>
      <x:c r="M18" s="20" t="n">
        <x:v>12.4146</x:v>
      </x:c>
      <x:c r="N18" s="20" t="n">
        <x:v>80.55</x:v>
      </x:c>
      <x:c r="O18" s="20" t="str">
        <x:v>00 00 00 00 11 CA</x:v>
      </x:c>
      <x:c r="P18" s="20" t="str">
        <x:v>00 00 00 00 91 4A</x:v>
      </x:c>
      <x:c r="Q18" s="20" t="n">
        <x:v>0</x:v>
      </x:c>
      <x:c r="R18" s="20" t="n">
        <x:v>0</x:v>
      </x:c>
      <x:c r="S18" s="20" t="str"/>
      <x:c r="T18" s="20" t="str"/>
      <x:c r="U18" s="20" t="str"/>
      <x:c r="V18" s="20" t="str"/>
      <x:c r="W18" s="20" t="str"/>
      <x:c r="X18" s="20" t="str">
        <x:v>Prius-only in these captures</x:v>
      </x:c>
    </x:row>
    <x:row r="19">
      <x:c r="A19" s="20" t="str">
        <x:v>0x0B4</x:v>
      </x:c>
      <x:c r="B19" s="20" t="str">
        <x:v>STD</x:v>
      </x:c>
      <x:c r="C19" s="20" t="n">
        <x:v>19814</x:v>
      </x:c>
      <x:c r="D19" s="20" t="n">
        <x:v>4.9088</x:v>
      </x:c>
      <x:c r="E19" s="20" t="n">
        <x:v>8</x:v>
      </x:c>
      <x:c r="F19" s="20" t="n">
        <x:v>12.2573</x:v>
      </x:c>
      <x:c r="G19" s="20" t="n">
        <x:v>81.584</x:v>
      </x:c>
      <x:c r="H19" s="20" t="str">
        <x:v>00 00 00 00 02 00 00 BE</x:v>
      </x:c>
      <x:c r="I19" s="20" t="str">
        <x:v>00 00 00 00 00 00 00 BC</x:v>
      </x:c>
      <x:c r="J19" s="20" t="n">
        <x:v>17833</x:v>
      </x:c>
      <x:c r="K19" s="20" t="n">
        <x:v>4.8768</x:v>
      </x:c>
      <x:c r="L19" s="20" t="n">
        <x:v>8</x:v>
      </x:c>
      <x:c r="M19" s="20" t="n">
        <x:v>12.4132</x:v>
      </x:c>
      <x:c r="N19" s="20" t="n">
        <x:v>80.559</x:v>
      </x:c>
      <x:c r="O19" s="20" t="str">
        <x:v>00 00 00 00 02 00 00 BE</x:v>
      </x:c>
      <x:c r="P19" s="20" t="str">
        <x:v>00 00 00 00 00 00 00 BC</x:v>
      </x:c>
      <x:c r="Q19" s="20" t="n">
        <x:v>16824</x:v>
      </x:c>
      <x:c r="R19" s="20" t="n">
        <x:v>6.2894</x:v>
      </x:c>
      <x:c r="S19" s="20" t="n">
        <x:v>8</x:v>
      </x:c>
      <x:c r="T19" s="20" t="n">
        <x:v>13.5372</x:v>
      </x:c>
      <x:c r="U19" s="20" t="n">
        <x:v>73.87</x:v>
      </x:c>
      <x:c r="V19" s="20" t="str">
        <x:v>00 00 00 00 00 00 00 BC</x:v>
      </x:c>
      <x:c r="W19" s="20" t="str">
        <x:v>00 00 00 00 60 00 00 1C</x:v>
      </x:c>
      <x:c r="X19" s="20" t="str">
        <x:v>Prius/Camry common</x:v>
      </x:c>
    </x:row>
    <x:row r="20">
      <x:c r="A20" s="20" t="str">
        <x:v>0x120</x:v>
      </x:c>
      <x:c r="B20" s="20" t="str">
        <x:v>STD</x:v>
      </x:c>
      <x:c r="C20" s="20" t="n">
        <x:v>14740</x:v>
      </x:c>
      <x:c r="D20" s="20" t="n">
        <x:v>3.6517</x:v>
      </x:c>
      <x:c r="E20" s="20" t="n">
        <x:v>8</x:v>
      </x:c>
      <x:c r="F20" s="20" t="n">
        <x:v>16.477</x:v>
      </x:c>
      <x:c r="G20" s="20" t="n">
        <x:v>60.691</x:v>
      </x:c>
      <x:c r="H20" s="20" t="str">
        <x:v>00 00 00 00 10 12 00 4B</x:v>
      </x:c>
      <x:c r="I20" s="20" t="str">
        <x:v>00 00 00 00 10 10 00 49</x:v>
      </x:c>
      <x:c r="J20" s="20" t="n">
        <x:v>13429</x:v>
      </x:c>
      <x:c r="K20" s="20" t="n">
        <x:v>3.6725</x:v>
      </x:c>
      <x:c r="L20" s="20" t="n">
        <x:v>8</x:v>
      </x:c>
      <x:c r="M20" s="20" t="n">
        <x:v>16.4844</x:v>
      </x:c>
      <x:c r="N20" s="20" t="n">
        <x:v>60.664</x:v>
      </x:c>
      <x:c r="O20" s="20" t="str">
        <x:v>00 00 00 00 10 12 00 4B</x:v>
      </x:c>
      <x:c r="P20" s="20" t="str">
        <x:v>00 00 00 00 10 10 00 49</x:v>
      </x:c>
      <x:c r="Q20" s="20" t="n">
        <x:v>12351</x:v>
      </x:c>
      <x:c r="R20" s="20" t="n">
        <x:v>4.6172</x:v>
      </x:c>
      <x:c r="S20" s="20" t="n">
        <x:v>8</x:v>
      </x:c>
      <x:c r="T20" s="20" t="n">
        <x:v>18.4402</x:v>
      </x:c>
      <x:c r="U20" s="20" t="n">
        <x:v>54.229</x:v>
      </x:c>
      <x:c r="V20" s="20" t="str">
        <x:v>00 00 00 00 10 00 00 39</x:v>
      </x:c>
      <x:c r="W20" s="20" t="str">
        <x:v>00 00 00 00 10 10 04 4D</x:v>
      </x:c>
      <x:c r="X20" s="20" t="str">
        <x:v>Prius/Camry common</x:v>
      </x:c>
    </x:row>
    <x:row r="21">
      <x:c r="A21" s="20" t="str">
        <x:v>0x124</x:v>
      </x:c>
      <x:c r="B21" s="20" t="str">
        <x:v>STD</x:v>
      </x:c>
      <x:c r="C21" s="20" t="n">
        <x:v>0</x:v>
      </x:c>
      <x:c r="D21" s="20" t="n">
        <x:v>0</x:v>
      </x:c>
      <x:c r="E21" s="20" t="str"/>
      <x:c r="F21" s="20" t="str"/>
      <x:c r="G21" s="20" t="str"/>
      <x:c r="H21" s="20" t="str"/>
      <x:c r="I21" s="20" t="str"/>
      <x:c r="J21" s="20" t="n">
        <x:v>0</x:v>
      </x:c>
      <x:c r="K21" s="20" t="n">
        <x:v>0</x:v>
      </x:c>
      <x:c r="L21" s="20" t="str"/>
      <x:c r="M21" s="20" t="str"/>
      <x:c r="N21" s="20" t="str"/>
      <x:c r="O21" s="20" t="str"/>
      <x:c r="P21" s="20" t="str"/>
      <x:c r="Q21" s="20" t="n">
        <x:v>12351</x:v>
      </x:c>
      <x:c r="R21" s="20" t="n">
        <x:v>4.6172</x:v>
      </x:c>
      <x:c r="S21" s="20" t="n">
        <x:v>5</x:v>
      </x:c>
      <x:c r="T21" s="20" t="n">
        <x:v>18.4402</x:v>
      </x:c>
      <x:c r="U21" s="20" t="n">
        <x:v>54.229</x:v>
      </x:c>
      <x:c r="V21" s="20" t="str">
        <x:v>00 00 00 00 2A</x:v>
      </x:c>
      <x:c r="W21" s="20" t="str">
        <x:v>00 00 00 00 2A</x:v>
      </x:c>
      <x:c r="X21" s="20" t="str">
        <x:v>Camry-only in these captures</x:v>
      </x:c>
    </x:row>
    <x:row r="22">
      <x:c r="A22" s="20" t="str">
        <x:v>0x230</x:v>
      </x:c>
      <x:c r="B22" s="20" t="str">
        <x:v>STD</x:v>
      </x:c>
      <x:c r="C22" s="20" t="n">
        <x:v>9907</x:v>
      </x:c>
      <x:c r="D22" s="20" t="n">
        <x:v>2.4544</x:v>
      </x:c>
      <x:c r="E22" s="20" t="n">
        <x:v>7</x:v>
      </x:c>
      <x:c r="F22" s="20" t="n">
        <x:v>24.5159</x:v>
      </x:c>
      <x:c r="G22" s="20" t="n">
        <x:v>40.79</x:v>
      </x:c>
      <x:c r="H22" s="20" t="str">
        <x:v>00 06 00 00 00 00 3F</x:v>
      </x:c>
      <x:c r="I22" s="20" t="str">
        <x:v>00 06 00 24 00 00 63</x:v>
      </x:c>
      <x:c r="J22" s="20" t="n">
        <x:v>8917</x:v>
      </x:c>
      <x:c r="K22" s="20" t="n">
        <x:v>2.4386</x:v>
      </x:c>
      <x:c r="L22" s="20" t="n">
        <x:v>7</x:v>
      </x:c>
      <x:c r="M22" s="20" t="n">
        <x:v>24.8264</x:v>
      </x:c>
      <x:c r="N22" s="20" t="n">
        <x:v>40.28</x:v>
      </x:c>
      <x:c r="O22" s="20" t="str">
        <x:v>00 06 00 00 00 00 3F</x:v>
      </x:c>
      <x:c r="P22" s="20" t="str">
        <x:v>51 28 00 04 00 00 B6</x:v>
      </x:c>
      <x:c r="Q22" s="20" t="n">
        <x:v>8412</x:v>
      </x:c>
      <x:c r="R22" s="20" t="n">
        <x:v>3.1447</x:v>
      </x:c>
      <x:c r="S22" s="20" t="n">
        <x:v>7</x:v>
      </x:c>
      <x:c r="T22" s="20" t="n">
        <x:v>27.0761</x:v>
      </x:c>
      <x:c r="U22" s="20" t="n">
        <x:v>36.933</x:v>
      </x:c>
      <x:c r="V22" s="20" t="str">
        <x:v>00 00 00 00 00 00 39</x:v>
      </x:c>
      <x:c r="W22" s="20" t="str">
        <x:v>00 00 00 04 00 00 3D</x:v>
      </x:c>
      <x:c r="X22" s="20" t="str">
        <x:v>Prius/Camry common</x:v>
      </x:c>
    </x:row>
    <x:row r="23">
      <x:c r="A23" s="20" t="str">
        <x:v>0x236</x:v>
      </x:c>
      <x:c r="B23" s="20" t="str">
        <x:v>STD</x:v>
      </x:c>
      <x:c r="C23" s="20" t="n">
        <x:v>0</x:v>
      </x:c>
      <x:c r="D23" s="20" t="n">
        <x:v>0</x:v>
      </x:c>
      <x:c r="E23" s="20" t="str"/>
      <x:c r="F23" s="20" t="str"/>
      <x:c r="G23" s="20" t="str"/>
      <x:c r="H23" s="20" t="str"/>
      <x:c r="I23" s="20" t="str"/>
      <x:c r="J23" s="20" t="n">
        <x:v>0</x:v>
      </x:c>
      <x:c r="K23" s="20" t="n">
        <x:v>0</x:v>
      </x:c>
      <x:c r="L23" s="20" t="str"/>
      <x:c r="M23" s="20" t="str"/>
      <x:c r="N23" s="20" t="str"/>
      <x:c r="O23" s="20" t="str"/>
      <x:c r="P23" s="20" t="str"/>
      <x:c r="Q23" s="20" t="n">
        <x:v>8412</x:v>
      </x:c>
      <x:c r="R23" s="20" t="n">
        <x:v>3.1447</x:v>
      </x:c>
      <x:c r="S23" s="20" t="n">
        <x:v>4</x:v>
      </x:c>
      <x:c r="T23" s="20" t="n">
        <x:v>27.0761</x:v>
      </x:c>
      <x:c r="U23" s="20" t="n">
        <x:v>36.933</x:v>
      </x:c>
      <x:c r="V23" s="20" t="str">
        <x:v>03 FF 00 3E</x:v>
      </x:c>
      <x:c r="W23" s="20" t="str">
        <x:v>43 FF 00 7E</x:v>
      </x:c>
      <x:c r="X23" s="20" t="str">
        <x:v>Camry-only in these captures</x:v>
      </x:c>
    </x:row>
    <x:row r="24">
      <x:c r="A24" s="20" t="str">
        <x:v>0x244</x:v>
      </x:c>
      <x:c r="B24" s="20" t="str">
        <x:v>STD</x:v>
      </x:c>
      <x:c r="C24" s="20" t="n">
        <x:v>9826</x:v>
      </x:c>
      <x:c r="D24" s="20" t="n">
        <x:v>2.4343</x:v>
      </x:c>
      <x:c r="E24" s="20" t="n">
        <x:v>8</x:v>
      </x:c>
      <x:c r="F24" s="20" t="n">
        <x:v>24.718</x:v>
      </x:c>
      <x:c r="G24" s="20" t="n">
        <x:v>40.456</x:v>
      </x:c>
      <x:c r="H24" s="20" t="str">
        <x:v>10 00 00 00 00 00 00 5E</x:v>
      </x:c>
      <x:c r="I24" s="20" t="str">
        <x:v>10 00 00 00 00 00 00 5E</x:v>
      </x:c>
      <x:c r="J24" s="20" t="n">
        <x:v>8952</x:v>
      </x:c>
      <x:c r="K24" s="20" t="n">
        <x:v>2.4481</x:v>
      </x:c>
      <x:c r="L24" s="20" t="n">
        <x:v>8</x:v>
      </x:c>
      <x:c r="M24" s="20" t="n">
        <x:v>24.7293</x:v>
      </x:c>
      <x:c r="N24" s="20" t="n">
        <x:v>40.438</x:v>
      </x:c>
      <x:c r="O24" s="20" t="str">
        <x:v>10 00 00 00 00 00 00 5E</x:v>
      </x:c>
      <x:c r="P24" s="20" t="str">
        <x:v>10 00 00 00 00 00 00 5E</x:v>
      </x:c>
      <x:c r="Q24" s="20" t="n">
        <x:v>8592</x:v>
      </x:c>
      <x:c r="R24" s="20" t="n">
        <x:v>3.212</x:v>
      </x:c>
      <x:c r="S24" s="20" t="n">
        <x:v>8</x:v>
      </x:c>
      <x:c r="T24" s="20" t="n">
        <x:v>26.5088</x:v>
      </x:c>
      <x:c r="U24" s="20" t="n">
        <x:v>37.723</x:v>
      </x:c>
      <x:c r="V24" s="20" t="str">
        <x:v>10 00 00 00 00 00 00 5E</x:v>
      </x:c>
      <x:c r="W24" s="20" t="str">
        <x:v>10 00 00 00 00 01 00 5F</x:v>
      </x:c>
      <x:c r="X24" s="20" t="str">
        <x:v>Prius/Camry common</x:v>
      </x:c>
    </x:row>
    <x:row r="25">
      <x:c r="A25" s="20" t="str">
        <x:v>0x246</x:v>
      </x:c>
      <x:c r="B25" s="20" t="str">
        <x:v>STD</x:v>
      </x:c>
      <x:c r="C25" s="20" t="n">
        <x:v>0</x:v>
      </x:c>
      <x:c r="D25" s="20" t="n">
        <x:v>0</x:v>
      </x:c>
      <x:c r="E25" s="20" t="str"/>
      <x:c r="F25" s="20" t="str"/>
      <x:c r="G25" s="20" t="str"/>
      <x:c r="H25" s="20" t="str"/>
      <x:c r="I25" s="20" t="str"/>
      <x:c r="J25" s="20" t="n">
        <x:v>0</x:v>
      </x:c>
      <x:c r="K25" s="20" t="n">
        <x:v>0</x:v>
      </x:c>
      <x:c r="L25" s="20" t="str"/>
      <x:c r="M25" s="20" t="str"/>
      <x:c r="N25" s="20" t="str"/>
      <x:c r="O25" s="20" t="str"/>
      <x:c r="P25" s="20" t="str"/>
      <x:c r="Q25" s="20" t="n">
        <x:v>8592</x:v>
      </x:c>
      <x:c r="R25" s="20" t="n">
        <x:v>3.212</x:v>
      </x:c>
      <x:c r="S25" s="20" t="n">
        <x:v>2</x:v>
      </x:c>
      <x:c r="T25" s="20" t="n">
        <x:v>26.5088</x:v>
      </x:c>
      <x:c r="U25" s="20" t="n">
        <x:v>37.723</x:v>
      </x:c>
      <x:c r="V25" s="20" t="str">
        <x:v>00 00</x:v>
      </x:c>
      <x:c r="W25" s="20" t="str">
        <x:v>00 00</x:v>
      </x:c>
      <x:c r="X25" s="20" t="str">
        <x:v>Camry-only in these captures</x:v>
      </x:c>
    </x:row>
    <x:row r="26">
      <x:c r="A26" s="20" t="str">
        <x:v>0x262</x:v>
      </x:c>
      <x:c r="B26" s="20" t="str">
        <x:v>STD</x:v>
      </x:c>
      <x:c r="C26" s="20" t="n">
        <x:v>11993</x:v>
      </x:c>
      <x:c r="D26" s="20" t="n">
        <x:v>2.9712</x:v>
      </x:c>
      <x:c r="E26" s="20" t="n">
        <x:v>4</x:v>
      </x:c>
      <x:c r="F26" s="20" t="n">
        <x:v>20.2514</x:v>
      </x:c>
      <x:c r="G26" s="20" t="n">
        <x:v>49.379</x:v>
      </x:c>
      <x:c r="H26" s="20" t="str">
        <x:v>00 01 00 69</x:v>
      </x:c>
      <x:c r="I26" s="20" t="str">
        <x:v>00 01 00 69</x:v>
      </x:c>
      <x:c r="J26" s="20" t="n">
        <x:v>10918</x:v>
      </x:c>
      <x:c r="K26" s="20" t="n">
        <x:v>2.9858</x:v>
      </x:c>
      <x:c r="L26" s="20" t="n">
        <x:v>4</x:v>
      </x:c>
      <x:c r="M26" s="20" t="n">
        <x:v>20.2759</x:v>
      </x:c>
      <x:c r="N26" s="20" t="n">
        <x:v>49.32</x:v>
      </x:c>
      <x:c r="O26" s="20" t="str">
        <x:v>00 01 00 69</x:v>
      </x:c>
      <x:c r="P26" s="20" t="str">
        <x:v>00 01 00 69</x:v>
      </x:c>
      <x:c r="Q26" s="20" t="n">
        <x:v>0</x:v>
      </x:c>
      <x:c r="R26" s="20" t="n">
        <x:v>0</x:v>
      </x:c>
      <x:c r="S26" s="20" t="str"/>
      <x:c r="T26" s="20" t="str"/>
      <x:c r="U26" s="20" t="str"/>
      <x:c r="V26" s="20" t="str"/>
      <x:c r="W26" s="20" t="str"/>
      <x:c r="X26" s="20" t="str">
        <x:v>Prius-only in these captures</x:v>
      </x:c>
    </x:row>
    <x:row r="27">
      <x:c r="A27" s="20" t="str">
        <x:v>0x2C4</x:v>
      </x:c>
      <x:c r="B27" s="20" t="str">
        <x:v>STD</x:v>
      </x:c>
      <x:c r="C27" s="20" t="n">
        <x:v>0</x:v>
      </x:c>
      <x:c r="D27" s="20" t="n">
        <x:v>0</x:v>
      </x:c>
      <x:c r="E27" s="20" t="str"/>
      <x:c r="F27" s="20" t="str"/>
      <x:c r="G27" s="20" t="str"/>
      <x:c r="H27" s="20" t="str"/>
      <x:c r="I27" s="20" t="str"/>
      <x:c r="J27" s="20" t="n">
        <x:v>0</x:v>
      </x:c>
      <x:c r="K27" s="20" t="n">
        <x:v>0</x:v>
      </x:c>
      <x:c r="L27" s="20" t="str"/>
      <x:c r="M27" s="20" t="str"/>
      <x:c r="N27" s="20" t="str"/>
      <x:c r="O27" s="20" t="str"/>
      <x:c r="P27" s="20" t="str"/>
      <x:c r="Q27" s="20" t="n">
        <x:v>8594</x:v>
      </x:c>
      <x:c r="R27" s="20" t="n">
        <x:v>3.2127</x:v>
      </x:c>
      <x:c r="S27" s="20" t="n">
        <x:v>8</x:v>
      </x:c>
      <x:c r="T27" s="20" t="n">
        <x:v>26.5026</x:v>
      </x:c>
      <x:c r="U27" s="20" t="n">
        <x:v>37.732</x:v>
      </x:c>
      <x:c r="V27" s="20" t="str">
        <x:v>00 00 00 00 00 00 00 CE</x:v>
      </x:c>
      <x:c r="W27" s="20" t="str">
        <x:v>00 00 00 00 00 00 00 CE</x:v>
      </x:c>
      <x:c r="X27" s="20" t="str">
        <x:v>Camry-only in these captures</x:v>
      </x:c>
    </x:row>
    <x:row r="28">
      <x:c r="A28" s="20" t="str">
        <x:v>0x2D0</x:v>
      </x:c>
      <x:c r="B28" s="20" t="str">
        <x:v>STD</x:v>
      </x:c>
      <x:c r="C28" s="20" t="n">
        <x:v>0</x:v>
      </x:c>
      <x:c r="D28" s="20" t="n">
        <x:v>0</x:v>
      </x:c>
      <x:c r="E28" s="20" t="str"/>
      <x:c r="F28" s="20" t="str"/>
      <x:c r="G28" s="20" t="str"/>
      <x:c r="H28" s="20" t="str"/>
      <x:c r="I28" s="20" t="str"/>
      <x:c r="J28" s="20" t="n">
        <x:v>0</x:v>
      </x:c>
      <x:c r="K28" s="20" t="n">
        <x:v>0</x:v>
      </x:c>
      <x:c r="L28" s="20" t="str"/>
      <x:c r="M28" s="20" t="str"/>
      <x:c r="N28" s="20" t="str"/>
      <x:c r="O28" s="20" t="str"/>
      <x:c r="P28" s="20" t="str"/>
      <x:c r="Q28" s="20" t="n">
        <x:v>6375</x:v>
      </x:c>
      <x:c r="R28" s="20" t="n">
        <x:v>2.3832</x:v>
      </x:c>
      <x:c r="S28" s="20" t="n">
        <x:v>8</x:v>
      </x:c>
      <x:c r="T28" s="20" t="n">
        <x:v>35.729</x:v>
      </x:c>
      <x:c r="U28" s="20" t="n">
        <x:v>27.988</x:v>
      </x:c>
      <x:c r="V28" s="20" t="str">
        <x:v>00 00 01 00 00 00 00 DB</x:v>
      </x:c>
      <x:c r="W28" s="20" t="str">
        <x:v>00 00 01 00 00 00 00 DB</x:v>
      </x:c>
      <x:c r="X28" s="20" t="str">
        <x:v>Camry-only in these captures</x:v>
      </x:c>
    </x:row>
    <x:row r="29">
      <x:c r="A29" s="20" t="str">
        <x:v>0x348</x:v>
      </x:c>
      <x:c r="B29" s="20" t="str">
        <x:v>STD</x:v>
      </x:c>
      <x:c r="C29" s="20" t="n">
        <x:v>5897</x:v>
      </x:c>
      <x:c r="D29" s="20" t="n">
        <x:v>1.4609</x:v>
      </x:c>
      <x:c r="E29" s="20" t="n">
        <x:v>6</x:v>
      </x:c>
      <x:c r="F29" s="20" t="n">
        <x:v>41.1897</x:v>
      </x:c>
      <x:c r="G29" s="20" t="n">
        <x:v>24.278</x:v>
      </x:c>
      <x:c r="H29" s="20" t="str">
        <x:v>00 05 00 00 00 56</x:v>
      </x:c>
      <x:c r="I29" s="20" t="str">
        <x:v>00 01 00 00 00 52</x:v>
      </x:c>
      <x:c r="J29" s="20" t="n">
        <x:v>5372</x:v>
      </x:c>
      <x:c r="K29" s="20" t="n">
        <x:v>1.4691</x:v>
      </x:c>
      <x:c r="L29" s="20" t="n">
        <x:v>6</x:v>
      </x:c>
      <x:c r="M29" s="20" t="n">
        <x:v>41.2124</x:v>
      </x:c>
      <x:c r="N29" s="20" t="n">
        <x:v>24.265</x:v>
      </x:c>
      <x:c r="O29" s="20" t="str">
        <x:v>00 05 00 00 00 56</x:v>
      </x:c>
      <x:c r="P29" s="20" t="str">
        <x:v>00 01 00 00 00 52</x:v>
      </x:c>
      <x:c r="Q29" s="20" t="n">
        <x:v>0</x:v>
      </x:c>
      <x:c r="R29" s="20" t="n">
        <x:v>0</x:v>
      </x:c>
      <x:c r="S29" s="20" t="str"/>
      <x:c r="T29" s="20" t="str"/>
      <x:c r="U29" s="20" t="str"/>
      <x:c r="V29" s="20" t="str"/>
      <x:c r="W29" s="20" t="str"/>
      <x:c r="X29" s="20" t="str">
        <x:v>Prius-only in these captures; Gen2 hybrid/engine high-candidate</x:v>
      </x:c>
    </x:row>
    <x:row r="30">
      <x:c r="A30" s="20" t="str">
        <x:v>0x380</x:v>
      </x:c>
      <x:c r="B30" s="20" t="str">
        <x:v>STD</x:v>
      </x:c>
      <x:c r="C30" s="20" t="n">
        <x:v>0</x:v>
      </x:c>
      <x:c r="D30" s="20" t="n">
        <x:v>0</x:v>
      </x:c>
      <x:c r="E30" s="20" t="str"/>
      <x:c r="F30" s="20" t="str"/>
      <x:c r="G30" s="20" t="str"/>
      <x:c r="H30" s="20" t="str"/>
      <x:c r="I30" s="20" t="str"/>
      <x:c r="J30" s="20" t="n">
        <x:v>0</x:v>
      </x:c>
      <x:c r="K30" s="20" t="n">
        <x:v>0</x:v>
      </x:c>
      <x:c r="L30" s="20" t="str"/>
      <x:c r="M30" s="20" t="str"/>
      <x:c r="N30" s="20" t="str"/>
      <x:c r="O30" s="20" t="str"/>
      <x:c r="P30" s="20" t="str"/>
      <x:c r="Q30" s="20" t="n">
        <x:v>206</x:v>
      </x:c>
      <x:c r="R30" s="20" t="n">
        <x:v>0.077</x:v>
      </x:c>
      <x:c r="S30" s="20" t="n">
        <x:v>8</x:v>
      </x:c>
      <x:c r="T30" s="20" t="n">
        <x:v>1110.911</x:v>
      </x:c>
      <x:c r="U30" s="20" t="n">
        <x:v>0.9</x:v>
      </x:c>
      <x:c r="V30" s="20" t="str">
        <x:v>00 00 00 00 00 00 2D 00</x:v>
      </x:c>
      <x:c r="W30" s="20" t="str">
        <x:v>00 00 00 00 00 00 2D 00</x:v>
      </x:c>
      <x:c r="X30" s="20" t="str">
        <x:v>Camry-only in these captures</x:v>
      </x:c>
    </x:row>
    <x:row r="31">
      <x:c r="A31" s="20" t="str">
        <x:v>0x381</x:v>
      </x:c>
      <x:c r="B31" s="20" t="str">
        <x:v>STD</x:v>
      </x:c>
      <x:c r="C31" s="20" t="n">
        <x:v>0</x:v>
      </x:c>
      <x:c r="D31" s="20" t="n">
        <x:v>0</x:v>
      </x:c>
      <x:c r="E31" s="20" t="str"/>
      <x:c r="F31" s="20" t="str"/>
      <x:c r="G31" s="20" t="str"/>
      <x:c r="H31" s="20" t="str"/>
      <x:c r="I31" s="20" t="str"/>
      <x:c r="J31" s="20" t="n">
        <x:v>0</x:v>
      </x:c>
      <x:c r="K31" s="20" t="n">
        <x:v>0</x:v>
      </x:c>
      <x:c r="L31" s="20" t="str"/>
      <x:c r="M31" s="20" t="str"/>
      <x:c r="N31" s="20" t="str"/>
      <x:c r="O31" s="20" t="str"/>
      <x:c r="P31" s="20" t="str"/>
      <x:c r="Q31" s="20" t="n">
        <x:v>55</x:v>
      </x:c>
      <x:c r="R31" s="20" t="n">
        <x:v>0.0206</x:v>
      </x:c>
      <x:c r="S31" s="20" t="n">
        <x:v>8</x:v>
      </x:c>
      <x:c r="T31" s="20" t="n">
        <x:v>4217.3473</x:v>
      </x:c>
      <x:c r="U31" s="20" t="n">
        <x:v>0.237</x:v>
      </x:c>
      <x:c r="V31" s="20" t="str">
        <x:v>00 00 00 00 00 00 00 00</x:v>
      </x:c>
      <x:c r="W31" s="20" t="str">
        <x:v>00 00 00 00 00 00 00 00</x:v>
      </x:c>
      <x:c r="X31" s="20" t="str">
        <x:v>Camry-only in these captures</x:v>
      </x:c>
    </x:row>
    <x:row r="32">
      <x:c r="A32" s="20" t="str">
        <x:v>0x383</x:v>
      </x:c>
      <x:c r="B32" s="20" t="str">
        <x:v>STD</x:v>
      </x:c>
      <x:c r="C32" s="20" t="n">
        <x:v>0</x:v>
      </x:c>
      <x:c r="D32" s="20" t="n">
        <x:v>0</x:v>
      </x:c>
      <x:c r="E32" s="20" t="str"/>
      <x:c r="F32" s="20" t="str"/>
      <x:c r="G32" s="20" t="str"/>
      <x:c r="H32" s="20" t="str"/>
      <x:c r="I32" s="20" t="str"/>
      <x:c r="J32" s="20" t="n">
        <x:v>0</x:v>
      </x:c>
      <x:c r="K32" s="20" t="n">
        <x:v>0</x:v>
      </x:c>
      <x:c r="L32" s="20" t="str"/>
      <x:c r="M32" s="20" t="str"/>
      <x:c r="N32" s="20" t="str"/>
      <x:c r="O32" s="20" t="str"/>
      <x:c r="P32" s="20" t="str"/>
      <x:c r="Q32" s="20" t="n">
        <x:v>103</x:v>
      </x:c>
      <x:c r="R32" s="20" t="n">
        <x:v>0.0385</x:v>
      </x:c>
      <x:c r="S32" s="20" t="n">
        <x:v>8</x:v>
      </x:c>
      <x:c r="T32" s="20" t="n">
        <x:v>2232.7133</x:v>
      </x:c>
      <x:c r="U32" s="20" t="n">
        <x:v>0.448</x:v>
      </x:c>
      <x:c r="V32" s="20" t="str">
        <x:v>10 00 00 00 00 00 00 00</x:v>
      </x:c>
      <x:c r="W32" s="20" t="str">
        <x:v>10 00 00 00 00 00 00 00</x:v>
      </x:c>
      <x:c r="X32" s="20" t="str">
        <x:v>Camry-only in these captures</x:v>
      </x:c>
    </x:row>
    <x:row r="33">
      <x:c r="A33" s="20" t="str">
        <x:v>0x38B</x:v>
      </x:c>
      <x:c r="B33" s="20" t="str">
        <x:v>STD</x:v>
      </x:c>
      <x:c r="C33" s="20" t="n">
        <x:v>0</x:v>
      </x:c>
      <x:c r="D33" s="20" t="n">
        <x:v>0</x:v>
      </x:c>
      <x:c r="E33" s="20" t="str"/>
      <x:c r="F33" s="20" t="str"/>
      <x:c r="G33" s="20" t="str"/>
      <x:c r="H33" s="20" t="str"/>
      <x:c r="I33" s="20" t="str"/>
      <x:c r="J33" s="20" t="n">
        <x:v>0</x:v>
      </x:c>
      <x:c r="K33" s="20" t="n">
        <x:v>0</x:v>
      </x:c>
      <x:c r="L33" s="20" t="str"/>
      <x:c r="M33" s="20" t="str"/>
      <x:c r="N33" s="20" t="str"/>
      <x:c r="O33" s="20" t="str"/>
      <x:c r="P33" s="20" t="str"/>
      <x:c r="Q33" s="20" t="n">
        <x:v>203</x:v>
      </x:c>
      <x:c r="R33" s="20" t="n">
        <x:v>0.0759</x:v>
      </x:c>
      <x:c r="S33" s="20" t="n">
        <x:v>7</x:v>
      </x:c>
      <x:c r="T33" s="20" t="n">
        <x:v>1127.4097</x:v>
      </x:c>
      <x:c r="U33" s="20" t="n">
        <x:v>0.887</x:v>
      </x:c>
      <x:c r="V33" s="20" t="str">
        <x:v>00 00 00 00 00 00 00</x:v>
      </x:c>
      <x:c r="W33" s="20" t="str">
        <x:v>00 00 00 00 9C 47 00</x:v>
      </x:c>
      <x:c r="X33" s="20" t="str">
        <x:v>Camry-only in these captures</x:v>
      </x:c>
    </x:row>
    <x:row r="34">
      <x:c r="A34" s="20" t="str">
        <x:v>0x394</x:v>
      </x:c>
      <x:c r="B34" s="20" t="str">
        <x:v>STD</x:v>
      </x:c>
      <x:c r="C34" s="20" t="n">
        <x:v>0</x:v>
      </x:c>
      <x:c r="D34" s="20" t="n">
        <x:v>0</x:v>
      </x:c>
      <x:c r="E34" s="20" t="str"/>
      <x:c r="F34" s="20" t="str"/>
      <x:c r="G34" s="20" t="str"/>
      <x:c r="H34" s="20" t="str"/>
      <x:c r="I34" s="20" t="str"/>
      <x:c r="J34" s="20" t="n">
        <x:v>0</x:v>
      </x:c>
      <x:c r="K34" s="20" t="n">
        <x:v>0</x:v>
      </x:c>
      <x:c r="L34" s="20" t="str"/>
      <x:c r="M34" s="20" t="str"/>
      <x:c r="N34" s="20" t="str"/>
      <x:c r="O34" s="20" t="str"/>
      <x:c r="P34" s="20" t="str"/>
      <x:c r="Q34" s="20" t="n">
        <x:v>671</x:v>
      </x:c>
      <x:c r="R34" s="20" t="n">
        <x:v>0.2508</x:v>
      </x:c>
      <x:c r="S34" s="20" t="n">
        <x:v>1</x:v>
      </x:c>
      <x:c r="T34" s="20" t="n">
        <x:v>339.9056</x:v>
      </x:c>
      <x:c r="U34" s="20" t="n">
        <x:v>2.942</x:v>
      </x:c>
      <x:c r="V34" s="20" t="str">
        <x:v>00</x:v>
      </x:c>
      <x:c r="W34" s="20" t="str">
        <x:v>00</x:v>
      </x:c>
      <x:c r="X34" s="20" t="str">
        <x:v>Camry-only in these captures</x:v>
      </x:c>
    </x:row>
    <x:row r="35">
      <x:c r="A35" s="20" t="str">
        <x:v>0x398</x:v>
      </x:c>
      <x:c r="B35" s="20" t="str">
        <x:v>STD</x:v>
      </x:c>
      <x:c r="C35" s="20" t="n">
        <x:v>0</x:v>
      </x:c>
      <x:c r="D35" s="20" t="n">
        <x:v>0</x:v>
      </x:c>
      <x:c r="E35" s="20" t="str"/>
      <x:c r="F35" s="20" t="str"/>
      <x:c r="G35" s="20" t="str"/>
      <x:c r="H35" s="20" t="str"/>
      <x:c r="I35" s="20" t="str"/>
      <x:c r="J35" s="20" t="n">
        <x:v>0</x:v>
      </x:c>
      <x:c r="K35" s="20" t="n">
        <x:v>0</x:v>
      </x:c>
      <x:c r="L35" s="20" t="str"/>
      <x:c r="M35" s="20" t="str"/>
      <x:c r="N35" s="20" t="str"/>
      <x:c r="O35" s="20" t="str"/>
      <x:c r="P35" s="20" t="str"/>
      <x:c r="Q35" s="20" t="n">
        <x:v>79</x:v>
      </x:c>
      <x:c r="R35" s="20" t="n">
        <x:v>0.0295</x:v>
      </x:c>
      <x:c r="S35" s="20" t="n">
        <x:v>2</x:v>
      </x:c>
      <x:c r="T35" s="20" t="n">
        <x:v>2919.7019</x:v>
      </x:c>
      <x:c r="U35" s="20" t="n">
        <x:v>0.343</x:v>
      </x:c>
      <x:c r="V35" s="20" t="str">
        <x:v>03 BF</x:v>
      </x:c>
      <x:c r="W35" s="20" t="str">
        <x:v>00 B0</x:v>
      </x:c>
      <x:c r="X35" s="20" t="str">
        <x:v>Camry-only in these captures</x:v>
      </x:c>
    </x:row>
    <x:row r="36">
      <x:c r="A36" s="20" t="str">
        <x:v>0x39B</x:v>
      </x:c>
      <x:c r="B36" s="20" t="str">
        <x:v>STD</x:v>
      </x:c>
      <x:c r="C36" s="20" t="n">
        <x:v>0</x:v>
      </x:c>
      <x:c r="D36" s="20" t="n">
        <x:v>0</x:v>
      </x:c>
      <x:c r="E36" s="20" t="str"/>
      <x:c r="F36" s="20" t="str"/>
      <x:c r="G36" s="20" t="str"/>
      <x:c r="H36" s="20" t="str"/>
      <x:c r="I36" s="20" t="str"/>
      <x:c r="J36" s="20" t="n">
        <x:v>0</x:v>
      </x:c>
      <x:c r="K36" s="20" t="n">
        <x:v>0</x:v>
      </x:c>
      <x:c r="L36" s="20" t="str"/>
      <x:c r="M36" s="20" t="str"/>
      <x:c r="N36" s="20" t="str"/>
      <x:c r="O36" s="20" t="str"/>
      <x:c r="P36" s="20" t="str"/>
      <x:c r="Q36" s="20" t="n">
        <x:v>203</x:v>
      </x:c>
      <x:c r="R36" s="20" t="n">
        <x:v>0.0759</x:v>
      </x:c>
      <x:c r="S36" s="20" t="n">
        <x:v>4</x:v>
      </x:c>
      <x:c r="T36" s="20" t="n">
        <x:v>1127.4097</x:v>
      </x:c>
      <x:c r="U36" s="20" t="n">
        <x:v>0.887</x:v>
      </x:c>
      <x:c r="V36" s="20" t="str">
        <x:v>00 00 00 00</x:v>
      </x:c>
      <x:c r="W36" s="20" t="str">
        <x:v>00 04 00 00</x:v>
      </x:c>
      <x:c r="X36" s="20" t="str">
        <x:v>Camry-only in these captures</x:v>
      </x:c>
    </x:row>
    <x:row r="37">
      <x:c r="A37" s="20" t="str">
        <x:v>0x3A0</x:v>
      </x:c>
      <x:c r="B37" s="20" t="str">
        <x:v>STD</x:v>
      </x:c>
      <x:c r="C37" s="20" t="n">
        <x:v>0</x:v>
      </x:c>
      <x:c r="D37" s="20" t="n">
        <x:v>0</x:v>
      </x:c>
      <x:c r="E37" s="20" t="str"/>
      <x:c r="F37" s="20" t="str"/>
      <x:c r="G37" s="20" t="str"/>
      <x:c r="H37" s="20" t="str"/>
      <x:c r="I37" s="20" t="str"/>
      <x:c r="J37" s="20" t="n">
        <x:v>0</x:v>
      </x:c>
      <x:c r="K37" s="20" t="n">
        <x:v>0</x:v>
      </x:c>
      <x:c r="L37" s="20" t="str"/>
      <x:c r="M37" s="20" t="str"/>
      <x:c r="N37" s="20" t="str"/>
      <x:c r="O37" s="20" t="str"/>
      <x:c r="P37" s="20" t="str"/>
      <x:c r="Q37" s="20" t="n">
        <x:v>2027</x:v>
      </x:c>
      <x:c r="R37" s="20" t="n">
        <x:v>0.7578</x:v>
      </x:c>
      <x:c r="S37" s="20" t="n">
        <x:v>8</x:v>
      </x:c>
      <x:c r="T37" s="20" t="n">
        <x:v>112.4071</x:v>
      </x:c>
      <x:c r="U37" s="20" t="n">
        <x:v>8.896</x:v>
      </x:c>
      <x:c r="V37" s="20" t="str">
        <x:v>00 00 00 00 00 00 00 2C</x:v>
      </x:c>
      <x:c r="W37" s="20" t="str">
        <x:v>00 00 00 00 00 00 00 57</x:v>
      </x:c>
      <x:c r="X37" s="20" t="str">
        <x:v>Camry-only in these captures</x:v>
      </x:c>
    </x:row>
    <x:row r="38">
      <x:c r="A38" s="20" t="str">
        <x:v>0x3A1</x:v>
      </x:c>
      <x:c r="B38" s="20" t="str">
        <x:v>STD</x:v>
      </x:c>
      <x:c r="C38" s="20" t="n">
        <x:v>0</x:v>
      </x:c>
      <x:c r="D38" s="20" t="n">
        <x:v>0</x:v>
      </x:c>
      <x:c r="E38" s="20" t="str"/>
      <x:c r="F38" s="20" t="str"/>
      <x:c r="G38" s="20" t="str"/>
      <x:c r="H38" s="20" t="str"/>
      <x:c r="I38" s="20" t="str"/>
      <x:c r="J38" s="20" t="n">
        <x:v>0</x:v>
      </x:c>
      <x:c r="K38" s="20" t="n">
        <x:v>0</x:v>
      </x:c>
      <x:c r="L38" s="20" t="str"/>
      <x:c r="M38" s="20" t="str"/>
      <x:c r="N38" s="20" t="str"/>
      <x:c r="O38" s="20" t="str"/>
      <x:c r="P38" s="20" t="str"/>
      <x:c r="Q38" s="20" t="n">
        <x:v>208</x:v>
      </x:c>
      <x:c r="R38" s="20" t="n">
        <x:v>0.0778</x:v>
      </x:c>
      <x:c r="S38" s="20" t="n">
        <x:v>8</x:v>
      </x:c>
      <x:c r="T38" s="20" t="n">
        <x:v>1100.1775</x:v>
      </x:c>
      <x:c r="U38" s="20" t="n">
        <x:v>0.909</x:v>
      </x:c>
      <x:c r="V38" s="20" t="str">
        <x:v>00 00 00 00 00 B1 00 00</x:v>
      </x:c>
      <x:c r="W38" s="20" t="str">
        <x:v>00 00 FF 00 40 A5 00 00</x:v>
      </x:c>
      <x:c r="X38" s="20" t="str">
        <x:v>Camry-only in these captures</x:v>
      </x:c>
    </x:row>
    <x:row r="39">
      <x:c r="A39" s="20" t="str">
        <x:v>0x3B0</x:v>
      </x:c>
      <x:c r="B39" s="20" t="str">
        <x:v>STD</x:v>
      </x:c>
      <x:c r="C39" s="20" t="n">
        <x:v>0</x:v>
      </x:c>
      <x:c r="D39" s="20" t="n">
        <x:v>0</x:v>
      </x:c>
      <x:c r="E39" s="20" t="str"/>
      <x:c r="F39" s="20" t="str"/>
      <x:c r="G39" s="20" t="str"/>
      <x:c r="H39" s="20" t="str"/>
      <x:c r="I39" s="20" t="str"/>
      <x:c r="J39" s="20" t="n">
        <x:v>0</x:v>
      </x:c>
      <x:c r="K39" s="20" t="n">
        <x:v>0</x:v>
      </x:c>
      <x:c r="L39" s="20" t="str"/>
      <x:c r="M39" s="20" t="str"/>
      <x:c r="N39" s="20" t="str"/>
      <x:c r="O39" s="20" t="str"/>
      <x:c r="P39" s="20" t="str"/>
      <x:c r="Q39" s="20" t="n">
        <x:v>203</x:v>
      </x:c>
      <x:c r="R39" s="20" t="n">
        <x:v>0.0759</x:v>
      </x:c>
      <x:c r="S39" s="20" t="n">
        <x:v>6</x:v>
      </x:c>
      <x:c r="T39" s="20" t="n">
        <x:v>1127.4097</x:v>
      </x:c>
      <x:c r="U39" s="20" t="n">
        <x:v>0.887</x:v>
      </x:c>
      <x:c r="V39" s="20" t="str">
        <x:v>00 00 00 4C 00 00</x:v>
      </x:c>
      <x:c r="W39" s="20" t="str">
        <x:v>00 00 00 4C 00 00</x:v>
      </x:c>
      <x:c r="X39" s="20" t="str">
        <x:v>Camry-only in these captures</x:v>
      </x:c>
    </x:row>
    <x:row r="40">
      <x:c r="A40" s="20" t="str">
        <x:v>0x3B1</x:v>
      </x:c>
      <x:c r="B40" s="20" t="str">
        <x:v>STD</x:v>
      </x:c>
      <x:c r="C40" s="20" t="n">
        <x:v>0</x:v>
      </x:c>
      <x:c r="D40" s="20" t="n">
        <x:v>0</x:v>
      </x:c>
      <x:c r="E40" s="20" t="str"/>
      <x:c r="F40" s="20" t="str"/>
      <x:c r="G40" s="20" t="str"/>
      <x:c r="H40" s="20" t="str"/>
      <x:c r="I40" s="20" t="str"/>
      <x:c r="J40" s="20" t="n">
        <x:v>0</x:v>
      </x:c>
      <x:c r="K40" s="20" t="n">
        <x:v>0</x:v>
      </x:c>
      <x:c r="L40" s="20" t="str"/>
      <x:c r="M40" s="20" t="str"/>
      <x:c r="N40" s="20" t="str"/>
      <x:c r="O40" s="20" t="str"/>
      <x:c r="P40" s="20" t="str"/>
      <x:c r="Q40" s="20" t="n">
        <x:v>205</x:v>
      </x:c>
      <x:c r="R40" s="20" t="n">
        <x:v>0.0766</x:v>
      </x:c>
      <x:c r="S40" s="20" t="n">
        <x:v>8</x:v>
      </x:c>
      <x:c r="T40" s="20" t="n">
        <x:v>1116.3566</x:v>
      </x:c>
      <x:c r="U40" s="20" t="n">
        <x:v>0.896</x:v>
      </x:c>
      <x:c r="V40" s="20" t="str">
        <x:v>00 00 06 2A 00 00 00 00</x:v>
      </x:c>
      <x:c r="W40" s="20" t="str">
        <x:v>00 00 01 21 00 00 00 00</x:v>
      </x:c>
      <x:c r="X40" s="20" t="str">
        <x:v>Camry-only in these captures</x:v>
      </x:c>
    </x:row>
    <x:row r="41">
      <x:c r="A41" s="20" t="str">
        <x:v>0x3B3</x:v>
      </x:c>
      <x:c r="B41" s="20" t="str">
        <x:v>STD</x:v>
      </x:c>
      <x:c r="C41" s="20" t="n">
        <x:v>0</x:v>
      </x:c>
      <x:c r="D41" s="20" t="n">
        <x:v>0</x:v>
      </x:c>
      <x:c r="E41" s="20" t="str"/>
      <x:c r="F41" s="20" t="str"/>
      <x:c r="G41" s="20" t="str"/>
      <x:c r="H41" s="20" t="str"/>
      <x:c r="I41" s="20" t="str"/>
      <x:c r="J41" s="20" t="n">
        <x:v>0</x:v>
      </x:c>
      <x:c r="K41" s="20" t="n">
        <x:v>0</x:v>
      </x:c>
      <x:c r="L41" s="20" t="str"/>
      <x:c r="M41" s="20" t="str"/>
      <x:c r="N41" s="20" t="str"/>
      <x:c r="O41" s="20" t="str"/>
      <x:c r="P41" s="20" t="str"/>
      <x:c r="Q41" s="20" t="n">
        <x:v>396</x:v>
      </x:c>
      <x:c r="R41" s="20" t="n">
        <x:v>0.148</x:v>
      </x:c>
      <x:c r="S41" s="20" t="n">
        <x:v>3</x:v>
      </x:c>
      <x:c r="T41" s="20" t="n">
        <x:v>576.5487</x:v>
      </x:c>
      <x:c r="U41" s="20" t="n">
        <x:v>1.734</x:v>
      </x:c>
      <x:c r="V41" s="20" t="str">
        <x:v>00 00 28</x:v>
      </x:c>
      <x:c r="W41" s="20" t="str">
        <x:v>00 00 28</x:v>
      </x:c>
      <x:c r="X41" s="20" t="str">
        <x:v>Camry-only in these captures</x:v>
      </x:c>
    </x:row>
    <x:row r="42">
      <x:c r="A42" s="20" t="str">
        <x:v>0x3B4</x:v>
      </x:c>
      <x:c r="B42" s="20" t="str">
        <x:v>STD</x:v>
      </x:c>
      <x:c r="C42" s="20" t="n">
        <x:v>0</x:v>
      </x:c>
      <x:c r="D42" s="20" t="n">
        <x:v>0</x:v>
      </x:c>
      <x:c r="E42" s="20" t="str"/>
      <x:c r="F42" s="20" t="str"/>
      <x:c r="G42" s="20" t="str"/>
      <x:c r="H42" s="20" t="str"/>
      <x:c r="I42" s="20" t="str"/>
      <x:c r="J42" s="20" t="n">
        <x:v>0</x:v>
      </x:c>
      <x:c r="K42" s="20" t="n">
        <x:v>0</x:v>
      </x:c>
      <x:c r="L42" s="20" t="str"/>
      <x:c r="M42" s="20" t="str"/>
      <x:c r="N42" s="20" t="str"/>
      <x:c r="O42" s="20" t="str"/>
      <x:c r="P42" s="20" t="str"/>
      <x:c r="Q42" s="20" t="n">
        <x:v>216</x:v>
      </x:c>
      <x:c r="R42" s="20" t="n">
        <x:v>0.0807</x:v>
      </x:c>
      <x:c r="S42" s="20" t="n">
        <x:v>8</x:v>
      </x:c>
      <x:c r="T42" s="20" t="n">
        <x:v>1059.2407</x:v>
      </x:c>
      <x:c r="U42" s="20" t="n">
        <x:v>0.944</x:v>
      </x:c>
      <x:c r="V42" s="20" t="str">
        <x:v>00 00 20 00 80 00 00 00</x:v>
      </x:c>
      <x:c r="W42" s="20" t="str">
        <x:v>00 00 20 00 81 00 00 00</x:v>
      </x:c>
      <x:c r="X42" s="20" t="str">
        <x:v>Camry-only in these captures</x:v>
      </x:c>
    </x:row>
    <x:row r="43">
      <x:c r="A43" s="20" t="str">
        <x:v>0x3B6</x:v>
      </x:c>
      <x:c r="B43" s="20" t="str">
        <x:v>STD</x:v>
      </x:c>
      <x:c r="C43" s="20" t="n">
        <x:v>0</x:v>
      </x:c>
      <x:c r="D43" s="20" t="n">
        <x:v>0</x:v>
      </x:c>
      <x:c r="E43" s="20" t="str"/>
      <x:c r="F43" s="20" t="str"/>
      <x:c r="G43" s="20" t="str"/>
      <x:c r="H43" s="20" t="str"/>
      <x:c r="I43" s="20" t="str"/>
      <x:c r="J43" s="20" t="n">
        <x:v>0</x:v>
      </x:c>
      <x:c r="K43" s="20" t="n">
        <x:v>0</x:v>
      </x:c>
      <x:c r="L43" s="20" t="str"/>
      <x:c r="M43" s="20" t="str"/>
      <x:c r="N43" s="20" t="str"/>
      <x:c r="O43" s="20" t="str"/>
      <x:c r="P43" s="20" t="str"/>
      <x:c r="Q43" s="20" t="n">
        <x:v>209</x:v>
      </x:c>
      <x:c r="R43" s="20" t="n">
        <x:v>0.0781</x:v>
      </x:c>
      <x:c r="S43" s="20" t="n">
        <x:v>8</x:v>
      </x:c>
      <x:c r="T43" s="20" t="n">
        <x:v>1094.8882</x:v>
      </x:c>
      <x:c r="U43" s="20" t="n">
        <x:v>0.913</x:v>
      </x:c>
      <x:c r="V43" s="20" t="str">
        <x:v>10 00 03 20 00 00 00 00</x:v>
      </x:c>
      <x:c r="W43" s="20" t="str">
        <x:v>80 72 01 10 00 02 00 00</x:v>
      </x:c>
      <x:c r="X43" s="20" t="str">
        <x:v>Camry-only in these captures</x:v>
      </x:c>
    </x:row>
    <x:row r="44">
      <x:c r="A44" s="20" t="str">
        <x:v>0x3B7</x:v>
      </x:c>
      <x:c r="B44" s="20" t="str">
        <x:v>STD</x:v>
      </x:c>
      <x:c r="C44" s="20" t="n">
        <x:v>0</x:v>
      </x:c>
      <x:c r="D44" s="20" t="n">
        <x:v>0</x:v>
      </x:c>
      <x:c r="E44" s="20" t="str"/>
      <x:c r="F44" s="20" t="str"/>
      <x:c r="G44" s="20" t="str"/>
      <x:c r="H44" s="20" t="str"/>
      <x:c r="I44" s="20" t="str"/>
      <x:c r="J44" s="20" t="n">
        <x:v>0</x:v>
      </x:c>
      <x:c r="K44" s="20" t="n">
        <x:v>0</x:v>
      </x:c>
      <x:c r="L44" s="20" t="str"/>
      <x:c r="M44" s="20" t="str"/>
      <x:c r="N44" s="20" t="str"/>
      <x:c r="O44" s="20" t="str"/>
      <x:c r="P44" s="20" t="str"/>
      <x:c r="Q44" s="20" t="n">
        <x:v>673</x:v>
      </x:c>
      <x:c r="R44" s="20" t="n">
        <x:v>0.2516</x:v>
      </x:c>
      <x:c r="S44" s="20" t="n">
        <x:v>8</x:v>
      </x:c>
      <x:c r="T44" s="20" t="n">
        <x:v>338.894</x:v>
      </x:c>
      <x:c r="U44" s="20" t="n">
        <x:v>2.951</x:v>
      </x:c>
      <x:c r="V44" s="20" t="str">
        <x:v>5E 1E 00 00 00 00 00 00</x:v>
      </x:c>
      <x:c r="W44" s="20" t="str">
        <x:v>00 00 00 00 00 00 00 00</x:v>
      </x:c>
      <x:c r="X44" s="20" t="str">
        <x:v>Camry-only in these captures</x:v>
      </x:c>
    </x:row>
    <x:row r="45">
      <x:c r="A45" s="20" t="str">
        <x:v>0x3B9</x:v>
      </x:c>
      <x:c r="B45" s="20" t="str">
        <x:v>STD</x:v>
      </x:c>
      <x:c r="C45" s="20" t="n">
        <x:v>0</x:v>
      </x:c>
      <x:c r="D45" s="20" t="n">
        <x:v>0</x:v>
      </x:c>
      <x:c r="E45" s="20" t="str"/>
      <x:c r="F45" s="20" t="str"/>
      <x:c r="G45" s="20" t="str"/>
      <x:c r="H45" s="20" t="str"/>
      <x:c r="I45" s="20" t="str"/>
      <x:c r="J45" s="20" t="n">
        <x:v>0</x:v>
      </x:c>
      <x:c r="K45" s="20" t="n">
        <x:v>0</x:v>
      </x:c>
      <x:c r="L45" s="20" t="str"/>
      <x:c r="M45" s="20" t="str"/>
      <x:c r="N45" s="20" t="str"/>
      <x:c r="O45" s="20" t="str"/>
      <x:c r="P45" s="20" t="str"/>
      <x:c r="Q45" s="20" t="n">
        <x:v>198</x:v>
      </x:c>
      <x:c r="R45" s="20" t="n">
        <x:v>0.074</x:v>
      </x:c>
      <x:c r="S45" s="20" t="n">
        <x:v>3</x:v>
      </x:c>
      <x:c r="T45" s="20" t="n">
        <x:v>1156.0241</x:v>
      </x:c>
      <x:c r="U45" s="20" t="n">
        <x:v>0.865</x:v>
      </x:c>
      <x:c r="V45" s="20" t="str">
        <x:v>20 00 00</x:v>
      </x:c>
      <x:c r="W45" s="20" t="str">
        <x:v>5E 00 00</x:v>
      </x:c>
      <x:c r="X45" s="20" t="str">
        <x:v>Camry-only in these captures</x:v>
      </x:c>
    </x:row>
    <x:row r="46">
      <x:c r="A46" s="20" t="str">
        <x:v>0x3C1</x:v>
      </x:c>
      <x:c r="B46" s="20" t="str">
        <x:v>STD</x:v>
      </x:c>
      <x:c r="C46" s="20" t="n">
        <x:v>0</x:v>
      </x:c>
      <x:c r="D46" s="20" t="n">
        <x:v>0</x:v>
      </x:c>
      <x:c r="E46" s="20" t="str"/>
      <x:c r="F46" s="20" t="str"/>
      <x:c r="G46" s="20" t="str"/>
      <x:c r="H46" s="20" t="str"/>
      <x:c r="I46" s="20" t="str"/>
      <x:c r="J46" s="20" t="n">
        <x:v>0</x:v>
      </x:c>
      <x:c r="K46" s="20" t="n">
        <x:v>0</x:v>
      </x:c>
      <x:c r="L46" s="20" t="str"/>
      <x:c r="M46" s="20" t="str"/>
      <x:c r="N46" s="20" t="str"/>
      <x:c r="O46" s="20" t="str"/>
      <x:c r="P46" s="20" t="str"/>
      <x:c r="Q46" s="20" t="n">
        <x:v>3138</x:v>
      </x:c>
      <x:c r="R46" s="20" t="n">
        <x:v>1.1731</x:v>
      </x:c>
      <x:c r="S46" s="20" t="n">
        <x:v>3</x:v>
      </x:c>
      <x:c r="T46" s="20" t="n">
        <x:v>72.597</x:v>
      </x:c>
      <x:c r="U46" s="20" t="n">
        <x:v>13.775</x:v>
      </x:c>
      <x:c r="V46" s="20" t="str">
        <x:v>A0 00 2F</x:v>
      </x:c>
      <x:c r="W46" s="20" t="str">
        <x:v>A0 00 4B</x:v>
      </x:c>
      <x:c r="X46" s="20" t="str">
        <x:v>Camry-only in these captures</x:v>
      </x:c>
    </x:row>
    <x:row r="47">
      <x:c r="A47" s="20" t="str">
        <x:v>0x3C8</x:v>
      </x:c>
      <x:c r="B47" s="20" t="str">
        <x:v>STD</x:v>
      </x:c>
      <x:c r="C47" s="20" t="n">
        <x:v>3655</x:v>
      </x:c>
      <x:c r="D47" s="20" t="n">
        <x:v>0.9055</x:v>
      </x:c>
      <x:c r="E47" s="20" t="n">
        <x:v>5</x:v>
      </x:c>
      <x:c r="F47" s="20" t="n">
        <x:v>66.4627</x:v>
      </x:c>
      <x:c r="G47" s="20" t="n">
        <x:v>15.046</x:v>
      </x:c>
      <x:c r="H47" s="20" t="str">
        <x:v>00 34 00 00 04</x:v>
      </x:c>
      <x:c r="I47" s="20" t="str">
        <x:v>00 34 00 00 04</x:v>
      </x:c>
      <x:c r="J47" s="20" t="n">
        <x:v>3327</x:v>
      </x:c>
      <x:c r="K47" s="20" t="n">
        <x:v>0.9098</x:v>
      </x:c>
      <x:c r="L47" s="20" t="n">
        <x:v>5</x:v>
      </x:c>
      <x:c r="M47" s="20" t="n">
        <x:v>66.552</x:v>
      </x:c>
      <x:c r="N47" s="20" t="n">
        <x:v>15.026</x:v>
      </x:c>
      <x:c r="O47" s="20" t="str">
        <x:v>00 28 00 00 F8</x:v>
      </x:c>
      <x:c r="P47" s="20" t="str">
        <x:v>00 28 00 00 F8</x:v>
      </x:c>
      <x:c r="Q47" s="20" t="n">
        <x:v>0</x:v>
      </x:c>
      <x:c r="R47" s="20" t="n">
        <x:v>0</x:v>
      </x:c>
      <x:c r="S47" s="20" t="str"/>
      <x:c r="T47" s="20" t="str"/>
      <x:c r="U47" s="20" t="str"/>
      <x:c r="V47" s="20" t="str"/>
      <x:c r="W47" s="20" t="str"/>
      <x:c r="X47" s="20" t="str">
        <x:v>Prius-only in these captures; Gen2 hybrid/engine high-candidate</x:v>
      </x:c>
    </x:row>
    <x:row r="48">
      <x:c r="A48" s="20" t="str">
        <x:v>0x3C9</x:v>
      </x:c>
      <x:c r="B48" s="20" t="str">
        <x:v>STD</x:v>
      </x:c>
      <x:c r="C48" s="20" t="n">
        <x:v>2426</x:v>
      </x:c>
      <x:c r="D48" s="20" t="n">
        <x:v>0.601</x:v>
      </x:c>
      <x:c r="E48" s="20" t="n">
        <x:v>8</x:v>
      </x:c>
      <x:c r="F48" s="20" t="n">
        <x:v>100.1463</x:v>
      </x:c>
      <x:c r="G48" s="20" t="n">
        <x:v>9.985</x:v>
      </x:c>
      <x:c r="H48" s="20" t="str">
        <x:v>01 21 25 02 84 03 09 AD</x:v>
      </x:c>
      <x:c r="I48" s="20" t="str">
        <x:v>03 FF 01 02 84 03 09 69</x:v>
      </x:c>
      <x:c r="J48" s="20" t="n">
        <x:v>2211</x:v>
      </x:c>
      <x:c r="K48" s="20" t="n">
        <x:v>0.6046</x:v>
      </x:c>
      <x:c r="L48" s="20" t="n">
        <x:v>8</x:v>
      </x:c>
      <x:c r="M48" s="20" t="n">
        <x:v>100.1592</x:v>
      </x:c>
      <x:c r="N48" s="20" t="n">
        <x:v>9.984</x:v>
      </x:c>
      <x:c r="O48" s="20" t="str">
        <x:v>01 23 25 02 84 03 09 AF</x:v>
      </x:c>
      <x:c r="P48" s="20" t="str">
        <x:v>03 FF 01 02 84 03 09 69</x:v>
      </x:c>
      <x:c r="Q48" s="20" t="n">
        <x:v>0</x:v>
      </x:c>
      <x:c r="R48" s="20" t="n">
        <x:v>0</x:v>
      </x:c>
      <x:c r="S48" s="20" t="str"/>
      <x:c r="T48" s="20" t="str"/>
      <x:c r="U48" s="20" t="str"/>
      <x:c r="V48" s="20" t="str"/>
      <x:c r="W48" s="20" t="str"/>
      <x:c r="X48" s="20" t="str">
        <x:v>Prius-only in these captures; Gen2 hybrid/engine high-candidate</x:v>
      </x:c>
    </x:row>
    <x:row r="49">
      <x:c r="A49" s="20" t="str">
        <x:v>0x3CA</x:v>
      </x:c>
      <x:c r="B49" s="20" t="str">
        <x:v>STD</x:v>
      </x:c>
      <x:c r="C49" s="20" t="n">
        <x:v>2407</x:v>
      </x:c>
      <x:c r="D49" s="20" t="n">
        <x:v>0.5963</x:v>
      </x:c>
      <x:c r="E49" s="20" t="n">
        <x:v>5</x:v>
      </x:c>
      <x:c r="F49" s="20" t="n">
        <x:v>100.9371</x:v>
      </x:c>
      <x:c r="G49" s="20" t="n">
        <x:v>9.907</x:v>
      </x:c>
      <x:c r="H49" s="20" t="str">
        <x:v>00 20 00 00 F2</x:v>
      </x:c>
      <x:c r="I49" s="20" t="str">
        <x:v>00 20 00 00 F2</x:v>
      </x:c>
      <x:c r="J49" s="20" t="n">
        <x:v>2193</x:v>
      </x:c>
      <x:c r="K49" s="20" t="n">
        <x:v>0.5997</x:v>
      </x:c>
      <x:c r="L49" s="20" t="n">
        <x:v>5</x:v>
      </x:c>
      <x:c r="M49" s="20" t="n">
        <x:v>100.9817</x:v>
      </x:c>
      <x:c r="N49" s="20" t="n">
        <x:v>9.903</x:v>
      </x:c>
      <x:c r="O49" s="20" t="str">
        <x:v>00 20 00 00 F2</x:v>
      </x:c>
      <x:c r="P49" s="20" t="str">
        <x:v>00 20 00 00 F2</x:v>
      </x:c>
      <x:c r="Q49" s="20" t="n">
        <x:v>0</x:v>
      </x:c>
      <x:c r="R49" s="20" t="n">
        <x:v>0</x:v>
      </x:c>
      <x:c r="S49" s="20" t="str"/>
      <x:c r="T49" s="20" t="str"/>
      <x:c r="U49" s="20" t="str"/>
      <x:c r="V49" s="20" t="str"/>
      <x:c r="W49" s="20" t="str"/>
      <x:c r="X49" s="20" t="str">
        <x:v>Prius-only in these captures</x:v>
      </x:c>
    </x:row>
    <x:row r="50">
      <x:c r="A50" s="20" t="str">
        <x:v>0x3CB</x:v>
      </x:c>
      <x:c r="B50" s="20" t="str">
        <x:v>STD</x:v>
      </x:c>
      <x:c r="C50" s="20" t="n">
        <x:v>2426</x:v>
      </x:c>
      <x:c r="D50" s="20" t="n">
        <x:v>0.601</x:v>
      </x:c>
      <x:c r="E50" s="20" t="n">
        <x:v>7</x:v>
      </x:c>
      <x:c r="F50" s="20" t="n">
        <x:v>100.1463</x:v>
      </x:c>
      <x:c r="G50" s="20" t="n">
        <x:v>9.985</x:v>
      </x:c>
      <x:c r="H50" s="20" t="str">
        <x:v>69 7D 00 73 1C 1B 65</x:v>
      </x:c>
      <x:c r="I50" s="20" t="str">
        <x:v>69 7D 00 68 1C 1C 5B</x:v>
      </x:c>
      <x:c r="J50" s="20" t="n">
        <x:v>2211</x:v>
      </x:c>
      <x:c r="K50" s="20" t="n">
        <x:v>0.6046</x:v>
      </x:c>
      <x:c r="L50" s="20" t="n">
        <x:v>7</x:v>
      </x:c>
      <x:c r="M50" s="20" t="n">
        <x:v>100.1592</x:v>
      </x:c>
      <x:c r="N50" s="20" t="n">
        <x:v>9.984</x:v>
      </x:c>
      <x:c r="O50" s="20" t="str">
        <x:v>69 7D 00 78 29 28 84</x:v>
      </x:c>
      <x:c r="P50" s="20" t="str">
        <x:v>69 6B 00 6F 2A 29 6B</x:v>
      </x:c>
      <x:c r="Q50" s="20" t="n">
        <x:v>0</x:v>
      </x:c>
      <x:c r="R50" s="20" t="n">
        <x:v>0</x:v>
      </x:c>
      <x:c r="S50" s="20" t="str"/>
      <x:c r="T50" s="20" t="str"/>
      <x:c r="U50" s="20" t="str"/>
      <x:c r="V50" s="20" t="str"/>
      <x:c r="W50" s="20" t="str"/>
      <x:c r="X50" s="20" t="str">
        <x:v>Prius-only in these captures; Gen2 HV-battery high-confidence candidate</x:v>
      </x:c>
    </x:row>
    <x:row r="51">
      <x:c r="A51" s="20" t="str">
        <x:v>0x3CD</x:v>
      </x:c>
      <x:c r="B51" s="20" t="str">
        <x:v>STD</x:v>
      </x:c>
      <x:c r="C51" s="20" t="n">
        <x:v>2426</x:v>
      </x:c>
      <x:c r="D51" s="20" t="n">
        <x:v>0.601</x:v>
      </x:c>
      <x:c r="E51" s="20" t="n">
        <x:v>5</x:v>
      </x:c>
      <x:c r="F51" s="20" t="n">
        <x:v>100.1463</x:v>
      </x:c>
      <x:c r="G51" s="20" t="n">
        <x:v>9.985</x:v>
      </x:c>
      <x:c r="H51" s="20" t="str">
        <x:v>00 00 00 DA AF</x:v>
      </x:c>
      <x:c r="I51" s="20" t="str">
        <x:v>00 00 00 D0 A5</x:v>
      </x:c>
      <x:c r="J51" s="20" t="n">
        <x:v>2211</x:v>
      </x:c>
      <x:c r="K51" s="20" t="n">
        <x:v>0.6046</x:v>
      </x:c>
      <x:c r="L51" s="20" t="n">
        <x:v>5</x:v>
      </x:c>
      <x:c r="M51" s="20" t="n">
        <x:v>100.1592</x:v>
      </x:c>
      <x:c r="N51" s="20" t="n">
        <x:v>9.984</x:v>
      </x:c>
      <x:c r="O51" s="20" t="str">
        <x:v>00 00 00 E2 B7</x:v>
      </x:c>
      <x:c r="P51" s="20" t="str">
        <x:v>00 00 00 DA AF</x:v>
      </x:c>
      <x:c r="Q51" s="20" t="n">
        <x:v>0</x:v>
      </x:c>
      <x:c r="R51" s="20" t="n">
        <x:v>0</x:v>
      </x:c>
      <x:c r="S51" s="20" t="str"/>
      <x:c r="T51" s="20" t="str"/>
      <x:c r="U51" s="20" t="str"/>
      <x:c r="V51" s="20" t="str"/>
      <x:c r="W51" s="20" t="str"/>
      <x:c r="X51" s="20" t="str">
        <x:v>Prius-only in these captures; Gen2 HV-battery high-confidence candidate</x:v>
      </x:c>
    </x:row>
    <x:row r="52">
      <x:c r="A52" s="20" t="str">
        <x:v>0x3CF</x:v>
      </x:c>
      <x:c r="B52" s="20" t="str">
        <x:v>STD</x:v>
      </x:c>
      <x:c r="C52" s="20" t="n">
        <x:v>1828</x:v>
      </x:c>
      <x:c r="D52" s="20" t="n">
        <x:v>0.4529</x:v>
      </x:c>
      <x:c r="E52" s="20" t="n">
        <x:v>5</x:v>
      </x:c>
      <x:c r="F52" s="20" t="n">
        <x:v>132.9254</x:v>
      </x:c>
      <x:c r="G52" s="20" t="n">
        <x:v>7.523</x:v>
      </x:c>
      <x:c r="H52" s="20" t="str">
        <x:v>00 1E 1E 00 13</x:v>
      </x:c>
      <x:c r="I52" s="20" t="str">
        <x:v>10 21 24 04 30</x:v>
      </x:c>
      <x:c r="J52" s="20" t="n">
        <x:v>1664</x:v>
      </x:c>
      <x:c r="K52" s="20" t="n">
        <x:v>0.4551</x:v>
      </x:c>
      <x:c r="L52" s="20" t="n">
        <x:v>5</x:v>
      </x:c>
      <x:c r="M52" s="20" t="n">
        <x:v>133.104</x:v>
      </x:c>
      <x:c r="N52" s="20" t="n">
        <x:v>7.513</x:v>
      </x:c>
      <x:c r="O52" s="20" t="str">
        <x:v>00 1E 2C 04 25</x:v>
      </x:c>
      <x:c r="P52" s="20" t="str">
        <x:v>10 1D 2D 04 35</x:v>
      </x:c>
      <x:c r="Q52" s="20" t="n">
        <x:v>1545</x:v>
      </x:c>
      <x:c r="R52" s="20" t="n">
        <x:v>0.5776</x:v>
      </x:c>
      <x:c r="S52" s="20" t="n">
        <x:v>5</x:v>
      </x:c>
      <x:c r="T52" s="20" t="n">
        <x:v>147.4979</x:v>
      </x:c>
      <x:c r="U52" s="20" t="n">
        <x:v>6.78</x:v>
      </x:c>
      <x:c r="V52" s="20" t="str">
        <x:v>00 00 00 00 D7</x:v>
      </x:c>
      <x:c r="W52" s="20" t="str">
        <x:v>10 00 23 00 0A</x:v>
      </x:c>
      <x:c r="X52" s="20" t="str">
        <x:v>Prius/Camry common</x:v>
      </x:c>
    </x:row>
    <x:row r="53">
      <x:c r="A53" s="20" t="str">
        <x:v>0x420</x:v>
      </x:c>
      <x:c r="B53" s="20" t="str">
        <x:v>STD</x:v>
      </x:c>
      <x:c r="C53" s="20" t="n">
        <x:v>0</x:v>
      </x:c>
      <x:c r="D53" s="20" t="n">
        <x:v>0</x:v>
      </x:c>
      <x:c r="E53" s="20" t="str"/>
      <x:c r="F53" s="20" t="str"/>
      <x:c r="G53" s="20" t="str"/>
      <x:c r="H53" s="20" t="str"/>
      <x:c r="I53" s="20" t="str"/>
      <x:c r="J53" s="20" t="n">
        <x:v>0</x:v>
      </x:c>
      <x:c r="K53" s="20" t="n">
        <x:v>0</x:v>
      </x:c>
      <x:c r="L53" s="20" t="str"/>
      <x:c r="M53" s="20" t="str"/>
      <x:c r="N53" s="20" t="str"/>
      <x:c r="O53" s="20" t="str"/>
      <x:c r="P53" s="20" t="str"/>
      <x:c r="Q53" s="20" t="n">
        <x:v>203</x:v>
      </x:c>
      <x:c r="R53" s="20" t="n">
        <x:v>0.0759</x:v>
      </x:c>
      <x:c r="S53" s="20" t="n">
        <x:v>8</x:v>
      </x:c>
      <x:c r="T53" s="20" t="n">
        <x:v>1127.4097</x:v>
      </x:c>
      <x:c r="U53" s="20" t="n">
        <x:v>0.887</x:v>
      </x:c>
      <x:c r="V53" s="20" t="str">
        <x:v>00 00 00 00 00 00 02 2E</x:v>
      </x:c>
      <x:c r="W53" s="20" t="str">
        <x:v>FF B6 FF FA 00 00 00 DA</x:v>
      </x:c>
      <x:c r="X53" s="20" t="str">
        <x:v>Camry-only in these captures</x:v>
      </x:c>
    </x:row>
    <x:row r="54">
      <x:c r="A54" s="20" t="str">
        <x:v>0x423</x:v>
      </x:c>
      <x:c r="B54" s="20" t="str">
        <x:v>STD</x:v>
      </x:c>
      <x:c r="C54" s="20" t="n">
        <x:v>238</x:v>
      </x:c>
      <x:c r="D54" s="20" t="n">
        <x:v>0.059</x:v>
      </x:c>
      <x:c r="E54" s="20" t="n">
        <x:v>1</x:v>
      </x:c>
      <x:c r="F54" s="20" t="n">
        <x:v>1024.7032</x:v>
      </x:c>
      <x:c r="G54" s="20" t="n">
        <x:v>0.976</x:v>
      </x:c>
      <x:c r="H54" s="20" t="str">
        <x:v>00</x:v>
      </x:c>
      <x:c r="I54" s="20" t="str">
        <x:v>00</x:v>
      </x:c>
      <x:c r="J54" s="20" t="n">
        <x:v>217</x:v>
      </x:c>
      <x:c r="K54" s="20" t="n">
        <x:v>0.0593</x:v>
      </x:c>
      <x:c r="L54" s="20" t="n">
        <x:v>1</x:v>
      </x:c>
      <x:c r="M54" s="20" t="n">
        <x:v>1024.7774</x:v>
      </x:c>
      <x:c r="N54" s="20" t="n">
        <x:v>0.976</x:v>
      </x:c>
      <x:c r="O54" s="20" t="str">
        <x:v>00</x:v>
      </x:c>
      <x:c r="P54" s="20" t="str">
        <x:v>00</x:v>
      </x:c>
      <x:c r="Q54" s="20" t="n">
        <x:v>200</x:v>
      </x:c>
      <x:c r="R54" s="20" t="n">
        <x:v>0.0748</x:v>
      </x:c>
      <x:c r="S54" s="20" t="n">
        <x:v>1</x:v>
      </x:c>
      <x:c r="T54" s="20" t="n">
        <x:v>1144.4058</x:v>
      </x:c>
      <x:c r="U54" s="20" t="n">
        <x:v>0.874</x:v>
      </x:c>
      <x:c r="V54" s="20" t="str">
        <x:v>00</x:v>
      </x:c>
      <x:c r="W54" s="20" t="str">
        <x:v>00</x:v>
      </x:c>
      <x:c r="X54" s="20" t="str">
        <x:v>Prius/Camry common</x:v>
      </x:c>
    </x:row>
    <x:row r="55">
      <x:c r="A55" s="20" t="str">
        <x:v>0x440</x:v>
      </x:c>
      <x:c r="B55" s="20" t="str">
        <x:v>STD</x:v>
      </x:c>
      <x:c r="C55" s="20" t="n">
        <x:v>0</x:v>
      </x:c>
      <x:c r="D55" s="20" t="n">
        <x:v>0</x:v>
      </x:c>
      <x:c r="E55" s="20" t="str"/>
      <x:c r="F55" s="20" t="str"/>
      <x:c r="G55" s="20" t="str"/>
      <x:c r="H55" s="20" t="str"/>
      <x:c r="I55" s="20" t="str"/>
      <x:c r="J55" s="20" t="n">
        <x:v>0</x:v>
      </x:c>
      <x:c r="K55" s="20" t="n">
        <x:v>0</x:v>
      </x:c>
      <x:c r="L55" s="20" t="str"/>
      <x:c r="M55" s="20" t="str"/>
      <x:c r="N55" s="20" t="str"/>
      <x:c r="O55" s="20" t="str"/>
      <x:c r="P55" s="20" t="str"/>
      <x:c r="Q55" s="20" t="n">
        <x:v>1149</x:v>
      </x:c>
      <x:c r="R55" s="20" t="n">
        <x:v>0.4295</x:v>
      </x:c>
      <x:c r="S55" s="20" t="n">
        <x:v>8</x:v>
      </x:c>
      <x:c r="T55" s="20" t="n">
        <x:v>198.377</x:v>
      </x:c>
      <x:c r="U55" s="20" t="n">
        <x:v>5.041</x:v>
      </x:c>
      <x:c r="V55" s="20" t="str">
        <x:v>40 00 80 00 00 00 00 00</x:v>
      </x:c>
      <x:c r="W55" s="20" t="str">
        <x:v>42 12 00 00 07 00 00 00</x:v>
      </x:c>
      <x:c r="X55" s="20" t="str">
        <x:v>Camry-only in these captures</x:v>
      </x:c>
    </x:row>
    <x:row r="56">
      <x:c r="A56" s="20" t="str">
        <x:v>0x442</x:v>
      </x:c>
      <x:c r="B56" s="20" t="str">
        <x:v>STD</x:v>
      </x:c>
      <x:c r="C56" s="20" t="n">
        <x:v>0</x:v>
      </x:c>
      <x:c r="D56" s="20" t="n">
        <x:v>0</x:v>
      </x:c>
      <x:c r="E56" s="20" t="str"/>
      <x:c r="F56" s="20" t="str"/>
      <x:c r="G56" s="20" t="str"/>
      <x:c r="H56" s="20" t="str"/>
      <x:c r="I56" s="20" t="str"/>
      <x:c r="J56" s="20" t="n">
        <x:v>0</x:v>
      </x:c>
      <x:c r="K56" s="20" t="n">
        <x:v>0</x:v>
      </x:c>
      <x:c r="L56" s="20" t="str"/>
      <x:c r="M56" s="20" t="str"/>
      <x:c r="N56" s="20" t="str"/>
      <x:c r="O56" s="20" t="str"/>
      <x:c r="P56" s="20" t="str"/>
      <x:c r="Q56" s="20" t="n">
        <x:v>1149</x:v>
      </x:c>
      <x:c r="R56" s="20" t="n">
        <x:v>0.4295</x:v>
      </x:c>
      <x:c r="S56" s="20" t="n">
        <x:v>8</x:v>
      </x:c>
      <x:c r="T56" s="20" t="n">
        <x:v>198.377</x:v>
      </x:c>
      <x:c r="U56" s="20" t="n">
        <x:v>5.041</x:v>
      </x:c>
      <x:c r="V56" s="20" t="str">
        <x:v>42 00 80 00 00 00 00 00</x:v>
      </x:c>
      <x:c r="W56" s="20" t="str">
        <x:v>40 02 00 00 05 00 00 00</x:v>
      </x:c>
      <x:c r="X56" s="20" t="str">
        <x:v>Camry-only in these captures</x:v>
      </x:c>
    </x:row>
    <x:row r="57">
      <x:c r="A57" s="20" t="str">
        <x:v>0x484</x:v>
      </x:c>
      <x:c r="B57" s="20" t="str">
        <x:v>STD</x:v>
      </x:c>
      <x:c r="C57" s="20" t="n">
        <x:v>240</x:v>
      </x:c>
      <x:c r="D57" s="20" t="n">
        <x:v>0.0595</x:v>
      </x:c>
      <x:c r="E57" s="20" t="n">
        <x:v>5</x:v>
      </x:c>
      <x:c r="F57" s="20" t="n">
        <x:v>1016.1283</x:v>
      </x:c>
      <x:c r="G57" s="20" t="n">
        <x:v>0.984</x:v>
      </x:c>
      <x:c r="H57" s="20" t="str">
        <x:v>00 2C 00 09 44</x:v>
      </x:c>
      <x:c r="I57" s="20" t="str">
        <x:v>00 4C 00 0A 50</x:v>
      </x:c>
      <x:c r="J57" s="20" t="n">
        <x:v>218</x:v>
      </x:c>
      <x:c r="K57" s="20" t="n">
        <x:v>0.0596</x:v>
      </x:c>
      <x:c r="L57" s="20" t="n">
        <x:v>5</x:v>
      </x:c>
      <x:c r="M57" s="20" t="n">
        <x:v>1020.055</x:v>
      </x:c>
      <x:c r="N57" s="20" t="n">
        <x:v>0.98</x:v>
      </x:c>
      <x:c r="O57" s="20" t="str">
        <x:v>00 80 00 09 40</x:v>
      </x:c>
      <x:c r="P57" s="20" t="str">
        <x:v>00 91 00 09 88</x:v>
      </x:c>
      <x:c r="Q57" s="20" t="n">
        <x:v>0</x:v>
      </x:c>
      <x:c r="R57" s="20" t="n">
        <x:v>0</x:v>
      </x:c>
      <x:c r="S57" s="20" t="str"/>
      <x:c r="T57" s="20" t="str"/>
      <x:c r="U57" s="20" t="str"/>
      <x:c r="V57" s="20" t="str"/>
      <x:c r="W57" s="20" t="str"/>
      <x:c r="X57" s="20" t="str">
        <x:v>Prius-only in these captures</x:v>
      </x:c>
    </x:row>
    <x:row r="58">
      <x:c r="A58" s="20" t="str">
        <x:v>0x4C1</x:v>
      </x:c>
      <x:c r="B58" s="20" t="str">
        <x:v>STD</x:v>
      </x:c>
      <x:c r="C58" s="20" t="n">
        <x:v>264</x:v>
      </x:c>
      <x:c r="D58" s="20" t="n">
        <x:v>0.0654</x:v>
      </x:c>
      <x:c r="E58" s="20" t="n">
        <x:v>8</x:v>
      </x:c>
      <x:c r="F58" s="20" t="n">
        <x:v>923.4018</x:v>
      </x:c>
      <x:c r="G58" s="20" t="n">
        <x:v>1.083</x:v>
      </x:c>
      <x:c r="H58" s="20" t="str">
        <x:v>01 00 09 00 00 00 00 00</x:v>
      </x:c>
      <x:c r="I58" s="20" t="str">
        <x:v>01 00 09 00 00 00 00 00</x:v>
      </x:c>
      <x:c r="J58" s="20" t="n">
        <x:v>240</x:v>
      </x:c>
      <x:c r="K58" s="20" t="n">
        <x:v>0.0656</x:v>
      </x:c>
      <x:c r="L58" s="20" t="n">
        <x:v>8</x:v>
      </x:c>
      <x:c r="M58" s="20" t="n">
        <x:v>926.1587</x:v>
      </x:c>
      <x:c r="N58" s="20" t="n">
        <x:v>1.08</x:v>
      </x:c>
      <x:c r="O58" s="20" t="str">
        <x:v>01 00 09 00 00 00 00 00</x:v>
      </x:c>
      <x:c r="P58" s="20" t="str">
        <x:v>01 00 09 00 00 00 00 00</x:v>
      </x:c>
      <x:c r="Q58" s="20" t="n">
        <x:v>223</x:v>
      </x:c>
      <x:c r="R58" s="20" t="n">
        <x:v>0.0834</x:v>
      </x:c>
      <x:c r="S58" s="20" t="n">
        <x:v>8</x:v>
      </x:c>
      <x:c r="T58" s="20" t="n">
        <x:v>1025.8412</x:v>
      </x:c>
      <x:c r="U58" s="20" t="n">
        <x:v>0.975</x:v>
      </x:c>
      <x:c r="V58" s="20" t="str">
        <x:v>01 00 09 03 00 00 00 00</x:v>
      </x:c>
      <x:c r="W58" s="20" t="str">
        <x:v>01 00 09 03 00 00 00 00</x:v>
      </x:c>
      <x:c r="X58" s="20" t="str">
        <x:v>Prius/Camry common</x:v>
      </x:c>
    </x:row>
    <x:row r="59">
      <x:c r="A59" s="20" t="str">
        <x:v>0x4C3</x:v>
      </x:c>
      <x:c r="B59" s="20" t="str">
        <x:v>STD</x:v>
      </x:c>
      <x:c r="C59" s="20" t="n">
        <x:v>256</x:v>
      </x:c>
      <x:c r="D59" s="20" t="n">
        <x:v>0.0634</x:v>
      </x:c>
      <x:c r="E59" s="20" t="n">
        <x:v>8</x:v>
      </x:c>
      <x:c r="F59" s="20" t="n">
        <x:v>952.3713</x:v>
      </x:c>
      <x:c r="G59" s="20" t="n">
        <x:v>1.05</x:v>
      </x:c>
      <x:c r="H59" s="20" t="str">
        <x:v>03 00 03 00 00 00 00 00</x:v>
      </x:c>
      <x:c r="I59" s="20" t="str">
        <x:v>03 00 03 00 00 00 00 00</x:v>
      </x:c>
      <x:c r="J59" s="20" t="n">
        <x:v>231</x:v>
      </x:c>
      <x:c r="K59" s="20" t="n">
        <x:v>0.0632</x:v>
      </x:c>
      <x:c r="L59" s="20" t="n">
        <x:v>8</x:v>
      </x:c>
      <x:c r="M59" s="20" t="n">
        <x:v>962.3997</x:v>
      </x:c>
      <x:c r="N59" s="20" t="n">
        <x:v>1.039</x:v>
      </x:c>
      <x:c r="O59" s="20" t="str">
        <x:v>03 00 03 00 00 00 00 00</x:v>
      </x:c>
      <x:c r="P59" s="20" t="str">
        <x:v>03 00 03 00 00 00 00 00</x:v>
      </x:c>
      <x:c r="Q59" s="20" t="n">
        <x:v>219</x:v>
      </x:c>
      <x:c r="R59" s="20" t="n">
        <x:v>0.0819</x:v>
      </x:c>
      <x:c r="S59" s="20" t="n">
        <x:v>8</x:v>
      </x:c>
      <x:c r="T59" s="20" t="n">
        <x:v>1044.664</x:v>
      </x:c>
      <x:c r="U59" s="20" t="n">
        <x:v>0.957</x:v>
      </x:c>
      <x:c r="V59" s="20" t="str">
        <x:v>03 00 07 02 00 00 00 00</x:v>
      </x:c>
      <x:c r="W59" s="20" t="str">
        <x:v>03 00 07 02 00 00 00 00</x:v>
      </x:c>
      <x:c r="X59" s="20" t="str">
        <x:v>Prius/Camry common</x:v>
      </x:c>
    </x:row>
    <x:row r="60">
      <x:c r="A60" s="20" t="str">
        <x:v>0x4C6</x:v>
      </x:c>
      <x:c r="B60" s="20" t="str">
        <x:v>STD</x:v>
      </x:c>
      <x:c r="C60" s="20" t="n">
        <x:v>250</x:v>
      </x:c>
      <x:c r="D60" s="20" t="n">
        <x:v>0.0619</x:v>
      </x:c>
      <x:c r="E60" s="20" t="n">
        <x:v>8</x:v>
      </x:c>
      <x:c r="F60" s="20" t="n">
        <x:v>975.32</x:v>
      </x:c>
      <x:c r="G60" s="20" t="n">
        <x:v>1.025</x:v>
      </x:c>
      <x:c r="H60" s="20" t="str">
        <x:v>07 00 01 00 00 00 00 00</x:v>
      </x:c>
      <x:c r="I60" s="20" t="str">
        <x:v>07 00 01 00 00 00 00 00</x:v>
      </x:c>
      <x:c r="J60" s="20" t="n">
        <x:v>228</x:v>
      </x:c>
      <x:c r="K60" s="20" t="n">
        <x:v>0.0624</x:v>
      </x:c>
      <x:c r="L60" s="20" t="n">
        <x:v>8</x:v>
      </x:c>
      <x:c r="M60" s="20" t="n">
        <x:v>975.1186</x:v>
      </x:c>
      <x:c r="N60" s="20" t="n">
        <x:v>1.026</x:v>
      </x:c>
      <x:c r="O60" s="20" t="str">
        <x:v>07 00 01 00 00 00 00 00</x:v>
      </x:c>
      <x:c r="P60" s="20" t="str">
        <x:v>07 00 01 00 00 00 00 00</x:v>
      </x:c>
      <x:c r="Q60" s="20" t="n">
        <x:v>212</x:v>
      </x:c>
      <x:c r="R60" s="20" t="n">
        <x:v>0.0793</x:v>
      </x:c>
      <x:c r="S60" s="20" t="n">
        <x:v>8</x:v>
      </x:c>
      <x:c r="T60" s="20" t="n">
        <x:v>1079.3211</x:v>
      </x:c>
      <x:c r="U60" s="20" t="n">
        <x:v>0.927</x:v>
      </x:c>
      <x:c r="V60" s="20" t="str">
        <x:v>07 00 01 00 00 00 00 00</x:v>
      </x:c>
      <x:c r="W60" s="20" t="str">
        <x:v>07 00 01 00 00 00 00 00</x:v>
      </x:c>
      <x:c r="X60" s="20" t="str">
        <x:v>Prius/Camry common</x:v>
      </x:c>
    </x:row>
    <x:row r="61">
      <x:c r="A61" s="20" t="str">
        <x:v>0x4C7</x:v>
      </x:c>
      <x:c r="B61" s="20" t="str">
        <x:v>STD</x:v>
      </x:c>
      <x:c r="C61" s="20" t="n">
        <x:v>248</x:v>
      </x:c>
      <x:c r="D61" s="20" t="n">
        <x:v>0.0614</x:v>
      </x:c>
      <x:c r="E61" s="20" t="n">
        <x:v>8</x:v>
      </x:c>
      <x:c r="F61" s="20" t="n">
        <x:v>983.2173</x:v>
      </x:c>
      <x:c r="G61" s="20" t="n">
        <x:v>1.017</x:v>
      </x:c>
      <x:c r="H61" s="20" t="str">
        <x:v>08 00 01 00 00 00 00 00</x:v>
      </x:c>
      <x:c r="I61" s="20" t="str">
        <x:v>08 00 01 00 00 00 00 00</x:v>
      </x:c>
      <x:c r="J61" s="20" t="n">
        <x:v>225</x:v>
      </x:c>
      <x:c r="K61" s="20" t="n">
        <x:v>0.0615</x:v>
      </x:c>
      <x:c r="L61" s="20" t="n">
        <x:v>8</x:v>
      </x:c>
      <x:c r="M61" s="20" t="n">
        <x:v>988.1783</x:v>
      </x:c>
      <x:c r="N61" s="20" t="n">
        <x:v>1.012</x:v>
      </x:c>
      <x:c r="O61" s="20" t="str">
        <x:v>08 00 01 00 00 00 00 00</x:v>
      </x:c>
      <x:c r="P61" s="20" t="str">
        <x:v>08 00 01 00 00 00 00 00</x:v>
      </x:c>
      <x:c r="Q61" s="20" t="n">
        <x:v>209</x:v>
      </x:c>
      <x:c r="R61" s="20" t="n">
        <x:v>0.0781</x:v>
      </x:c>
      <x:c r="S61" s="20" t="n">
        <x:v>8</x:v>
      </x:c>
      <x:c r="T61" s="20" t="n">
        <x:v>1094.8882</x:v>
      </x:c>
      <x:c r="U61" s="20" t="n">
        <x:v>0.913</x:v>
      </x:c>
      <x:c r="V61" s="20" t="str">
        <x:v>08 00 01 00 00 00 00 00</x:v>
      </x:c>
      <x:c r="W61" s="20" t="str">
        <x:v>08 00 01 00 00 00 00 00</x:v>
      </x:c>
      <x:c r="X61" s="20" t="str">
        <x:v>Prius/Camry common</x:v>
      </x:c>
    </x:row>
    <x:row r="62">
      <x:c r="A62" s="20" t="str">
        <x:v>0x4C8</x:v>
      </x:c>
      <x:c r="B62" s="20" t="str">
        <x:v>STD</x:v>
      </x:c>
      <x:c r="C62" s="20" t="n">
        <x:v>245</x:v>
      </x:c>
      <x:c r="D62" s="20" t="n">
        <x:v>0.0607</x:v>
      </x:c>
      <x:c r="E62" s="20" t="n">
        <x:v>8</x:v>
      </x:c>
      <x:c r="F62" s="20" t="n">
        <x:v>995.306</x:v>
      </x:c>
      <x:c r="G62" s="20" t="n">
        <x:v>1.005</x:v>
      </x:c>
      <x:c r="H62" s="20" t="str">
        <x:v>09 00 05 01 00 00 00 00</x:v>
      </x:c>
      <x:c r="I62" s="20" t="str">
        <x:v>09 00 05 01 00 00 00 00</x:v>
      </x:c>
      <x:c r="J62" s="20" t="n">
        <x:v>223</x:v>
      </x:c>
      <x:c r="K62" s="20" t="n">
        <x:v>0.061</x:v>
      </x:c>
      <x:c r="L62" s="20" t="n">
        <x:v>8</x:v>
      </x:c>
      <x:c r="M62" s="20" t="n">
        <x:v>997.0808</x:v>
      </x:c>
      <x:c r="N62" s="20" t="n">
        <x:v>1.003</x:v>
      </x:c>
      <x:c r="O62" s="20" t="str">
        <x:v>09 00 05 01 00 00 00 00</x:v>
      </x:c>
      <x:c r="P62" s="20" t="str">
        <x:v>09 00 05 01 00 00 00 00</x:v>
      </x:c>
      <x:c r="Q62" s="20" t="n">
        <x:v>205</x:v>
      </x:c>
      <x:c r="R62" s="20" t="n">
        <x:v>0.0766</x:v>
      </x:c>
      <x:c r="S62" s="20" t="n">
        <x:v>8</x:v>
      </x:c>
      <x:c r="T62" s="20" t="n">
        <x:v>1116.3566</x:v>
      </x:c>
      <x:c r="U62" s="20" t="n">
        <x:v>0.896</x:v>
      </x:c>
      <x:c r="V62" s="20" t="str">
        <x:v>09 00 08 01 00 00 00 00</x:v>
      </x:c>
      <x:c r="W62" s="20" t="str">
        <x:v>09 00 08 01 00 00 00 00</x:v>
      </x:c>
      <x:c r="X62" s="20" t="str">
        <x:v>Prius/Camry common</x:v>
      </x:c>
    </x:row>
    <x:row r="63">
      <x:c r="A63" s="20" t="str">
        <x:v>0x4CE</x:v>
      </x:c>
      <x:c r="B63" s="20" t="str">
        <x:v>STD</x:v>
      </x:c>
      <x:c r="C63" s="20" t="n">
        <x:v>232</x:v>
      </x:c>
      <x:c r="D63" s="20" t="n">
        <x:v>0.0575</x:v>
      </x:c>
      <x:c r="E63" s="20" t="n">
        <x:v>8</x:v>
      </x:c>
      <x:c r="F63" s="20" t="n">
        <x:v>1051.3189</x:v>
      </x:c>
      <x:c r="G63" s="20" t="n">
        <x:v>0.951</x:v>
      </x:c>
      <x:c r="H63" s="20" t="str">
        <x:v>0F 00 01 01 00 00 00 00</x:v>
      </x:c>
      <x:c r="I63" s="20" t="str">
        <x:v>0F 00 01 01 00 00 00 00</x:v>
      </x:c>
      <x:c r="J63" s="20" t="n">
        <x:v>211</x:v>
      </x:c>
      <x:c r="K63" s="20" t="n">
        <x:v>0.0577</x:v>
      </x:c>
      <x:c r="L63" s="20" t="n">
        <x:v>8</x:v>
      </x:c>
      <x:c r="M63" s="20" t="n">
        <x:v>1054.0568</x:v>
      </x:c>
      <x:c r="N63" s="20" t="n">
        <x:v>0.949</x:v>
      </x:c>
      <x:c r="O63" s="20" t="str">
        <x:v>0F 00 01 01 00 00 00 00</x:v>
      </x:c>
      <x:c r="P63" s="20" t="str">
        <x:v>0F 00 01 01 00 00 00 00</x:v>
      </x:c>
      <x:c r="Q63" s="20" t="n">
        <x:v>0</x:v>
      </x:c>
      <x:c r="R63" s="20" t="n">
        <x:v>0</x:v>
      </x:c>
      <x:c r="S63" s="20" t="str"/>
      <x:c r="T63" s="20" t="str"/>
      <x:c r="U63" s="20" t="str"/>
      <x:c r="V63" s="20" t="str"/>
      <x:c r="W63" s="20" t="str"/>
      <x:c r="X63" s="20" t="str">
        <x:v>Prius-only in these captures</x:v>
      </x:c>
    </x:row>
    <x:row r="64">
      <x:c r="A64" s="20" t="str">
        <x:v>0x4D0</x:v>
      </x:c>
      <x:c r="B64" s="20" t="str">
        <x:v>STD</x:v>
      </x:c>
      <x:c r="C64" s="20" t="n">
        <x:v>230</x:v>
      </x:c>
      <x:c r="D64" s="20" t="n">
        <x:v>0.057</x:v>
      </x:c>
      <x:c r="E64" s="20" t="n">
        <x:v>8</x:v>
      </x:c>
      <x:c r="F64" s="20" t="n">
        <x:v>1060.5007</x:v>
      </x:c>
      <x:c r="G64" s="20" t="n">
        <x:v>0.943</x:v>
      </x:c>
      <x:c r="H64" s="20" t="str">
        <x:v>10 00 02 01 00 00 00 00</x:v>
      </x:c>
      <x:c r="I64" s="20" t="str">
        <x:v>10 00 02 01 00 00 00 00</x:v>
      </x:c>
      <x:c r="J64" s="20" t="n">
        <x:v>210</x:v>
      </x:c>
      <x:c r="K64" s="20" t="n">
        <x:v>0.0574</x:v>
      </x:c>
      <x:c r="L64" s="20" t="n">
        <x:v>8</x:v>
      </x:c>
      <x:c r="M64" s="20" t="n">
        <x:v>1059.1001</x:v>
      </x:c>
      <x:c r="N64" s="20" t="n">
        <x:v>0.944</x:v>
      </x:c>
      <x:c r="O64" s="20" t="str">
        <x:v>10 00 02 01 00 00 00 00</x:v>
      </x:c>
      <x:c r="P64" s="20" t="str">
        <x:v>10 00 02 01 00 00 00 00</x:v>
      </x:c>
      <x:c r="Q64" s="20" t="n">
        <x:v>193</x:v>
      </x:c>
      <x:c r="R64" s="20" t="n">
        <x:v>0.0722</x:v>
      </x:c>
      <x:c r="S64" s="20" t="n">
        <x:v>8</x:v>
      </x:c>
      <x:c r="T64" s="20" t="n">
        <x:v>1186.1289</x:v>
      </x:c>
      <x:c r="U64" s="20" t="n">
        <x:v>0.843</x:v>
      </x:c>
      <x:c r="V64" s="20" t="str">
        <x:v>10 00 21 04 00 00 00 00</x:v>
      </x:c>
      <x:c r="W64" s="20" t="str">
        <x:v>10 00 21 04 00 00 00 00</x:v>
      </x:c>
      <x:c r="X64" s="20" t="str">
        <x:v>Prius/Camry common</x:v>
      </x:c>
    </x:row>
    <x:row r="65">
      <x:c r="A65" s="20" t="str">
        <x:v>0x4D1</x:v>
      </x:c>
      <x:c r="B65" s="20" t="str">
        <x:v>STD</x:v>
      </x:c>
      <x:c r="C65" s="20" t="n">
        <x:v>229</x:v>
      </x:c>
      <x:c r="D65" s="20" t="n">
        <x:v>0.0567</x:v>
      </x:c>
      <x:c r="E65" s="20" t="n">
        <x:v>8</x:v>
      </x:c>
      <x:c r="F65" s="20" t="n">
        <x:v>1065.1521</x:v>
      </x:c>
      <x:c r="G65" s="20" t="n">
        <x:v>0.939</x:v>
      </x:c>
      <x:c r="H65" s="20" t="str">
        <x:v>11 00 01 02 00 00 00 00</x:v>
      </x:c>
      <x:c r="I65" s="20" t="str">
        <x:v>11 00 01 02 00 00 00 00</x:v>
      </x:c>
      <x:c r="J65" s="20" t="n">
        <x:v>209</x:v>
      </x:c>
      <x:c r="K65" s="20" t="n">
        <x:v>0.0572</x:v>
      </x:c>
      <x:c r="L65" s="20" t="n">
        <x:v>8</x:v>
      </x:c>
      <x:c r="M65" s="20" t="n">
        <x:v>1064.192</x:v>
      </x:c>
      <x:c r="N65" s="20" t="n">
        <x:v>0.94</x:v>
      </x:c>
      <x:c r="O65" s="20" t="str">
        <x:v>11 00 01 02 00 00 00 00</x:v>
      </x:c>
      <x:c r="P65" s="20" t="str">
        <x:v>11 00 01 02 00 00 00 00</x:v>
      </x:c>
      <x:c r="Q65" s="20" t="n">
        <x:v>0</x:v>
      </x:c>
      <x:c r="R65" s="20" t="n">
        <x:v>0</x:v>
      </x:c>
      <x:c r="S65" s="20" t="str"/>
      <x:c r="T65" s="20" t="str"/>
      <x:c r="U65" s="20" t="str"/>
      <x:c r="V65" s="20" t="str"/>
      <x:c r="W65" s="20" t="str"/>
      <x:c r="X65" s="20" t="str">
        <x:v>Prius-only in these captures</x:v>
      </x:c>
    </x:row>
    <x:row r="66">
      <x:c r="A66" s="20" t="str">
        <x:v>0x4DC</x:v>
      </x:c>
      <x:c r="B66" s="20" t="str">
        <x:v>STD</x:v>
      </x:c>
      <x:c r="C66" s="20" t="n">
        <x:v>0</x:v>
      </x:c>
      <x:c r="D66" s="20" t="n">
        <x:v>0</x:v>
      </x:c>
      <x:c r="E66" s="20" t="str"/>
      <x:c r="F66" s="20" t="str"/>
      <x:c r="G66" s="20" t="str"/>
      <x:c r="H66" s="20" t="str"/>
      <x:c r="I66" s="20" t="str"/>
      <x:c r="J66" s="20" t="n">
        <x:v>0</x:v>
      </x:c>
      <x:c r="K66" s="20" t="n">
        <x:v>0</x:v>
      </x:c>
      <x:c r="L66" s="20" t="str"/>
      <x:c r="M66" s="20" t="str"/>
      <x:c r="N66" s="20" t="str"/>
      <x:c r="O66" s="20" t="str"/>
      <x:c r="P66" s="20" t="str"/>
      <x:c r="Q66" s="20" t="n">
        <x:v>203</x:v>
      </x:c>
      <x:c r="R66" s="20" t="n">
        <x:v>0.0759</x:v>
      </x:c>
      <x:c r="S66" s="20" t="n">
        <x:v>8</x:v>
      </x:c>
      <x:c r="T66" s="20" t="n">
        <x:v>1127.4097</x:v>
      </x:c>
      <x:c r="U66" s="20" t="n">
        <x:v>0.887</x:v>
      </x:c>
      <x:c r="V66" s="20" t="str">
        <x:v>1D 00 03 03 00 00 00 00</x:v>
      </x:c>
      <x:c r="W66" s="20" t="str">
        <x:v>1D 00 03 03 00 00 00 00</x:v>
      </x:c>
      <x:c r="X66" s="20" t="str">
        <x:v>Camry-only in these captures</x:v>
      </x:c>
    </x:row>
    <x:row r="67">
      <x:c r="A67" s="20" t="str">
        <x:v>0x4DD</x:v>
      </x:c>
      <x:c r="B67" s="20" t="str">
        <x:v>STD</x:v>
      </x:c>
      <x:c r="C67" s="20" t="n">
        <x:v>0</x:v>
      </x:c>
      <x:c r="D67" s="20" t="n">
        <x:v>0</x:v>
      </x:c>
      <x:c r="E67" s="20" t="str"/>
      <x:c r="F67" s="20" t="str"/>
      <x:c r="G67" s="20" t="str"/>
      <x:c r="H67" s="20" t="str"/>
      <x:c r="I67" s="20" t="str"/>
      <x:c r="J67" s="20" t="n">
        <x:v>0</x:v>
      </x:c>
      <x:c r="K67" s="20" t="n">
        <x:v>0</x:v>
      </x:c>
      <x:c r="L67" s="20" t="str"/>
      <x:c r="M67" s="20" t="str"/>
      <x:c r="N67" s="20" t="str"/>
      <x:c r="O67" s="20" t="str"/>
      <x:c r="P67" s="20" t="str"/>
      <x:c r="Q67" s="20" t="n">
        <x:v>201</x:v>
      </x:c>
      <x:c r="R67" s="20" t="n">
        <x:v>0.0751</x:v>
      </x:c>
      <x:c r="S67" s="20" t="n">
        <x:v>8</x:v>
      </x:c>
      <x:c r="T67" s="20" t="n">
        <x:v>1138.6838</x:v>
      </x:c>
      <x:c r="U67" s="20" t="n">
        <x:v>0.878</x:v>
      </x:c>
      <x:c r="V67" s="20" t="str">
        <x:v>1E 00 01 00 00 00 00 00</x:v>
      </x:c>
      <x:c r="W67" s="20" t="str">
        <x:v>1E 00 01 00 00 00 00 00</x:v>
      </x:c>
      <x:c r="X67" s="20" t="str">
        <x:v>Camry-only in these captures</x:v>
      </x:c>
    </x:row>
    <x:row r="68">
      <x:c r="A68" s="20" t="str">
        <x:v>0x520</x:v>
      </x:c>
      <x:c r="B68" s="20" t="str">
        <x:v>STD</x:v>
      </x:c>
      <x:c r="C68" s="20" t="n">
        <x:v>103</x:v>
      </x:c>
      <x:c r="D68" s="20" t="n">
        <x:v>0.0255</x:v>
      </x:c>
      <x:c r="E68" s="20" t="n">
        <x:v>3</x:v>
      </x:c>
      <x:c r="F68" s="20" t="n">
        <x:v>2380.9281</x:v>
      </x:c>
      <x:c r="G68" s="20" t="n">
        <x:v>0.42</x:v>
      </x:c>
      <x:c r="H68" s="20" t="str">
        <x:v>A4 04 1D</x:v>
      </x:c>
      <x:c r="I68" s="20" t="str">
        <x:v>A4 01 F9</x:v>
      </x:c>
      <x:c r="J68" s="20" t="n">
        <x:v>99</x:v>
      </x:c>
      <x:c r="K68" s="20" t="n">
        <x:v>0.0271</x:v>
      </x:c>
      <x:c r="L68" s="20" t="n">
        <x:v>3</x:v>
      </x:c>
      <x:c r="M68" s="20" t="n">
        <x:v>2258.6932</x:v>
      </x:c>
      <x:c r="N68" s="20" t="n">
        <x:v>0.443</x:v>
      </x:c>
      <x:c r="O68" s="20" t="str">
        <x:v>A4 01 A6</x:v>
      </x:c>
      <x:c r="P68" s="20" t="str">
        <x:v>A4 02 D4</x:v>
      </x:c>
      <x:c r="Q68" s="20" t="n">
        <x:v>0</x:v>
      </x:c>
      <x:c r="R68" s="20" t="n">
        <x:v>0</x:v>
      </x:c>
      <x:c r="S68" s="20" t="str"/>
      <x:c r="T68" s="20" t="str"/>
      <x:c r="U68" s="20" t="str"/>
      <x:c r="V68" s="20" t="str"/>
      <x:c r="W68" s="20" t="str"/>
      <x:c r="X68" s="20" t="str">
        <x:v>Prius-only in these captures</x:v>
      </x:c>
    </x:row>
    <x:row r="69">
      <x:c r="A69" s="20" t="str">
        <x:v>0x521</x:v>
      </x:c>
      <x:c r="B69" s="20" t="str">
        <x:v>STD</x:v>
      </x:c>
      <x:c r="C69" s="20" t="n">
        <x:v>800</x:v>
      </x:c>
      <x:c r="D69" s="20" t="n">
        <x:v>0.1982</x:v>
      </x:c>
      <x:c r="E69" s="20" t="n">
        <x:v>2</x:v>
      </x:c>
      <x:c r="F69" s="20" t="n">
        <x:v>303.9483</x:v>
      </x:c>
      <x:c r="G69" s="20" t="n">
        <x:v>3.29</x:v>
      </x:c>
      <x:c r="H69" s="20" t="str">
        <x:v>23 00</x:v>
      </x:c>
      <x:c r="I69" s="20" t="str">
        <x:v>23 00</x:v>
      </x:c>
      <x:c r="J69" s="20" t="n">
        <x:v>728</x:v>
      </x:c>
      <x:c r="K69" s="20" t="n">
        <x:v>0.1991</x:v>
      </x:c>
      <x:c r="L69" s="20" t="n">
        <x:v>2</x:v>
      </x:c>
      <x:c r="M69" s="20" t="n">
        <x:v>304.4731</x:v>
      </x:c>
      <x:c r="N69" s="20" t="n">
        <x:v>3.284</x:v>
      </x:c>
      <x:c r="O69" s="20" t="str">
        <x:v>23 00</x:v>
      </x:c>
      <x:c r="P69" s="20" t="str">
        <x:v>23 00</x:v>
      </x:c>
      <x:c r="Q69" s="20" t="n">
        <x:v>0</x:v>
      </x:c>
      <x:c r="R69" s="20" t="n">
        <x:v>0</x:v>
      </x:c>
      <x:c r="S69" s="20" t="str"/>
      <x:c r="T69" s="20" t="str"/>
      <x:c r="U69" s="20" t="str"/>
      <x:c r="V69" s="20" t="str"/>
      <x:c r="W69" s="20" t="str"/>
      <x:c r="X69" s="20" t="str">
        <x:v>Prius-only in these captures</x:v>
      </x:c>
    </x:row>
    <x:row r="70">
      <x:c r="A70" s="20" t="str">
        <x:v>0x526</x:v>
      </x:c>
      <x:c r="B70" s="20" t="str">
        <x:v>STD</x:v>
      </x:c>
      <x:c r="C70" s="20" t="n">
        <x:v>479</x:v>
      </x:c>
      <x:c r="D70" s="20" t="n">
        <x:v>0.1187</x:v>
      </x:c>
      <x:c r="E70" s="20" t="n">
        <x:v>3</x:v>
      </x:c>
      <x:c r="F70" s="20" t="n">
        <x:v>508.0642</x:v>
      </x:c>
      <x:c r="G70" s="20" t="n">
        <x:v>1.968</x:v>
      </x:c>
      <x:c r="H70" s="20" t="str">
        <x:v>24 00 00</x:v>
      </x:c>
      <x:c r="I70" s="20" t="str">
        <x:v>24 00 00</x:v>
      </x:c>
      <x:c r="J70" s="20" t="n">
        <x:v>436</x:v>
      </x:c>
      <x:c r="K70" s="20" t="n">
        <x:v>0.1192</x:v>
      </x:c>
      <x:c r="L70" s="20" t="n">
        <x:v>3</x:v>
      </x:c>
      <x:c r="M70" s="20" t="n">
        <x:v>508.855</x:v>
      </x:c>
      <x:c r="N70" s="20" t="n">
        <x:v>1.965</x:v>
      </x:c>
      <x:c r="O70" s="20" t="str">
        <x:v>24 00 00</x:v>
      </x:c>
      <x:c r="P70" s="20" t="str">
        <x:v>24 00 00</x:v>
      </x:c>
      <x:c r="Q70" s="20" t="n">
        <x:v>0</x:v>
      </x:c>
      <x:c r="R70" s="20" t="n">
        <x:v>0</x:v>
      </x:c>
      <x:c r="S70" s="20" t="str"/>
      <x:c r="T70" s="20" t="str"/>
      <x:c r="U70" s="20" t="str"/>
      <x:c r="V70" s="20" t="str"/>
      <x:c r="W70" s="20" t="str"/>
      <x:c r="X70" s="20" t="str">
        <x:v>Prius-only in these captures</x:v>
      </x:c>
    </x:row>
    <x:row r="71">
      <x:c r="A71" s="20" t="str">
        <x:v>0x527</x:v>
      </x:c>
      <x:c r="B71" s="20" t="str">
        <x:v>STD</x:v>
      </x:c>
      <x:c r="C71" s="20" t="n">
        <x:v>243</x:v>
      </x:c>
      <x:c r="D71" s="20" t="n">
        <x:v>0.0602</x:v>
      </x:c>
      <x:c r="E71" s="20" t="n">
        <x:v>3</x:v>
      </x:c>
      <x:c r="F71" s="20" t="n">
        <x:v>1003.5317</x:v>
      </x:c>
      <x:c r="G71" s="20" t="n">
        <x:v>0.996</x:v>
      </x:c>
      <x:c r="H71" s="20" t="str">
        <x:v>24 00 00</x:v>
      </x:c>
      <x:c r="I71" s="20" t="str">
        <x:v>24 00 00</x:v>
      </x:c>
      <x:c r="J71" s="20" t="n">
        <x:v>222</x:v>
      </x:c>
      <x:c r="K71" s="20" t="n">
        <x:v>0.0607</x:v>
      </x:c>
      <x:c r="L71" s="20" t="n">
        <x:v>3</x:v>
      </x:c>
      <x:c r="M71" s="20" t="n">
        <x:v>1001.5924</x:v>
      </x:c>
      <x:c r="N71" s="20" t="n">
        <x:v>0.998</x:v>
      </x:c>
      <x:c r="O71" s="20" t="str">
        <x:v>24 00 00</x:v>
      </x:c>
      <x:c r="P71" s="20" t="str">
        <x:v>24 00 00</x:v>
      </x:c>
      <x:c r="Q71" s="20" t="n">
        <x:v>0</x:v>
      </x:c>
      <x:c r="R71" s="20" t="n">
        <x:v>0</x:v>
      </x:c>
      <x:c r="S71" s="20" t="str"/>
      <x:c r="T71" s="20" t="str"/>
      <x:c r="U71" s="20" t="str"/>
      <x:c r="V71" s="20" t="str"/>
      <x:c r="W71" s="20" t="str"/>
      <x:c r="X71" s="20" t="str">
        <x:v>Prius-only in these captures</x:v>
      </x:c>
    </x:row>
    <x:row r="72">
      <x:c r="A72" s="20" t="str">
        <x:v>0x528</x:v>
      </x:c>
      <x:c r="B72" s="20" t="str">
        <x:v>STD</x:v>
      </x:c>
      <x:c r="C72" s="20" t="n">
        <x:v>484</x:v>
      </x:c>
      <x:c r="D72" s="20" t="n">
        <x:v>0.1199</x:v>
      </x:c>
      <x:c r="E72" s="20" t="n">
        <x:v>4</x:v>
      </x:c>
      <x:c r="F72" s="20" t="n">
        <x:v>502.8047</x:v>
      </x:c>
      <x:c r="G72" s="20" t="n">
        <x:v>1.989</x:v>
      </x:c>
      <x:c r="H72" s="20" t="str">
        <x:v>25 00 00 00</x:v>
      </x:c>
      <x:c r="I72" s="20" t="str">
        <x:v>25 00 00 00</x:v>
      </x:c>
      <x:c r="J72" s="20" t="n">
        <x:v>441</x:v>
      </x:c>
      <x:c r="K72" s="20" t="n">
        <x:v>0.1206</x:v>
      </x:c>
      <x:c r="L72" s="20" t="n">
        <x:v>4</x:v>
      </x:c>
      <x:c r="M72" s="20" t="n">
        <x:v>503.0726</x:v>
      </x:c>
      <x:c r="N72" s="20" t="n">
        <x:v>1.988</x:v>
      </x:c>
      <x:c r="O72" s="20" t="str">
        <x:v>25 00 00 00</x:v>
      </x:c>
      <x:c r="P72" s="20" t="str">
        <x:v>25 00 00 00</x:v>
      </x:c>
      <x:c r="Q72" s="20" t="n">
        <x:v>0</x:v>
      </x:c>
      <x:c r="R72" s="20" t="n">
        <x:v>0</x:v>
      </x:c>
      <x:c r="S72" s="20" t="str"/>
      <x:c r="T72" s="20" t="str"/>
      <x:c r="U72" s="20" t="str"/>
      <x:c r="V72" s="20" t="str"/>
      <x:c r="W72" s="20" t="str"/>
      <x:c r="X72" s="20" t="str">
        <x:v>Prius-only in these captures</x:v>
      </x:c>
    </x:row>
    <x:row r="73">
      <x:c r="A73" s="20" t="str">
        <x:v>0x529</x:v>
      </x:c>
      <x:c r="B73" s="20" t="str">
        <x:v>STD</x:v>
      </x:c>
      <x:c r="C73" s="20" t="n">
        <x:v>249</x:v>
      </x:c>
      <x:c r="D73" s="20" t="n">
        <x:v>0.0617</x:v>
      </x:c>
      <x:c r="E73" s="20" t="n">
        <x:v>6</x:v>
      </x:c>
      <x:c r="F73" s="20" t="n">
        <x:v>979.2527</x:v>
      </x:c>
      <x:c r="G73" s="20" t="n">
        <x:v>1.021</x:v>
      </x:c>
      <x:c r="H73" s="20" t="str">
        <x:v>A7 00 00 05 00 00</x:v>
      </x:c>
      <x:c r="I73" s="20" t="str">
        <x:v>27 00 00 03 00 00</x:v>
      </x:c>
      <x:c r="J73" s="20" t="n">
        <x:v>245</x:v>
      </x:c>
      <x:c r="K73" s="20" t="n">
        <x:v>0.067</x:v>
      </x:c>
      <x:c r="L73" s="20" t="n">
        <x:v>6</x:v>
      </x:c>
      <x:c r="M73" s="20" t="n">
        <x:v>907.18</x:v>
      </x:c>
      <x:c r="N73" s="20" t="n">
        <x:v>1.102</x:v>
      </x:c>
      <x:c r="O73" s="20" t="str">
        <x:v>A7 00 00 05 00 00</x:v>
      </x:c>
      <x:c r="P73" s="20" t="str">
        <x:v>27 00 00 04 00 00</x:v>
      </x:c>
      <x:c r="Q73" s="20" t="n">
        <x:v>0</x:v>
      </x:c>
      <x:c r="R73" s="20" t="n">
        <x:v>0</x:v>
      </x:c>
      <x:c r="S73" s="20" t="str"/>
      <x:c r="T73" s="20" t="str"/>
      <x:c r="U73" s="20" t="str"/>
      <x:c r="V73" s="20" t="str"/>
      <x:c r="W73" s="20" t="str"/>
      <x:c r="X73" s="20" t="str">
        <x:v>Prius-only in these captures</x:v>
      </x:c>
    </x:row>
    <x:row r="74">
      <x:c r="A74" s="20" t="str">
        <x:v>0x52C</x:v>
      </x:c>
      <x:c r="B74" s="20" t="str">
        <x:v>STD</x:v>
      </x:c>
      <x:c r="C74" s="20" t="n">
        <x:v>240</x:v>
      </x:c>
      <x:c r="D74" s="20" t="n">
        <x:v>0.0595</x:v>
      </x:c>
      <x:c r="E74" s="20" t="n">
        <x:v>2</x:v>
      </x:c>
      <x:c r="F74" s="20" t="n">
        <x:v>1016.1283</x:v>
      </x:c>
      <x:c r="G74" s="20" t="n">
        <x:v>0.984</x:v>
      </x:c>
      <x:c r="H74" s="20" t="str">
        <x:v>23 38</x:v>
      </x:c>
      <x:c r="I74" s="20" t="str">
        <x:v>23 5F</x:v>
      </x:c>
      <x:c r="J74" s="20" t="n">
        <x:v>218</x:v>
      </x:c>
      <x:c r="K74" s="20" t="n">
        <x:v>0.0596</x:v>
      </x:c>
      <x:c r="L74" s="20" t="n">
        <x:v>2</x:v>
      </x:c>
      <x:c r="M74" s="20" t="n">
        <x:v>1020.055</x:v>
      </x:c>
      <x:c r="N74" s="20" t="n">
        <x:v>0.98</x:v>
      </x:c>
      <x:c r="O74" s="20" t="str">
        <x:v>23 A1</x:v>
      </x:c>
      <x:c r="P74" s="20" t="str">
        <x:v>23 B7</x:v>
      </x:c>
      <x:c r="Q74" s="20" t="n">
        <x:v>0</x:v>
      </x:c>
      <x:c r="R74" s="20" t="n">
        <x:v>0</x:v>
      </x:c>
      <x:c r="S74" s="20" t="str"/>
      <x:c r="T74" s="20" t="str"/>
      <x:c r="U74" s="20" t="str"/>
      <x:c r="V74" s="20" t="str"/>
      <x:c r="W74" s="20" t="str"/>
      <x:c r="X74" s="20" t="str">
        <x:v>Prius-only in these captures</x:v>
      </x:c>
    </x:row>
    <x:row r="75">
      <x:c r="A75" s="20" t="str">
        <x:v>0x540</x:v>
      </x:c>
      <x:c r="B75" s="20" t="str">
        <x:v>STD</x:v>
      </x:c>
      <x:c r="C75" s="20" t="n">
        <x:v>243</x:v>
      </x:c>
      <x:c r="D75" s="20" t="n">
        <x:v>0.0602</x:v>
      </x:c>
      <x:c r="E75" s="20" t="n">
        <x:v>4</x:v>
      </x:c>
      <x:c r="F75" s="20" t="n">
        <x:v>1003.5317</x:v>
      </x:c>
      <x:c r="G75" s="20" t="n">
        <x:v>0.996</x:v>
      </x:c>
      <x:c r="H75" s="20" t="str">
        <x:v>25 00 00 00</x:v>
      </x:c>
      <x:c r="I75" s="20" t="str">
        <x:v>25 80 00 00</x:v>
      </x:c>
      <x:c r="J75" s="20" t="n">
        <x:v>224</x:v>
      </x:c>
      <x:c r="K75" s="20" t="n">
        <x:v>0.0613</x:v>
      </x:c>
      <x:c r="L75" s="20" t="n">
        <x:v>4</x:v>
      </x:c>
      <x:c r="M75" s="20" t="n">
        <x:v>992.6095</x:v>
      </x:c>
      <x:c r="N75" s="20" t="n">
        <x:v>1.007</x:v>
      </x:c>
      <x:c r="O75" s="20" t="str">
        <x:v>25 00 00 00</x:v>
      </x:c>
      <x:c r="P75" s="20" t="str">
        <x:v>25 80 00 00</x:v>
      </x:c>
      <x:c r="Q75" s="20" t="n">
        <x:v>0</x:v>
      </x:c>
      <x:c r="R75" s="20" t="n">
        <x:v>0</x:v>
      </x:c>
      <x:c r="S75" s="20" t="str"/>
      <x:c r="T75" s="20" t="str"/>
      <x:c r="U75" s="20" t="str"/>
      <x:c r="V75" s="20" t="str"/>
      <x:c r="W75" s="20" t="str"/>
      <x:c r="X75" s="20" t="str">
        <x:v>Prius-only in these captures</x:v>
      </x:c>
    </x:row>
    <x:row r="76">
      <x:c r="A76" s="20" t="str">
        <x:v>0x553</x:v>
      </x:c>
      <x:c r="B76" s="20" t="str">
        <x:v>STD</x:v>
      </x:c>
      <x:c r="C76" s="20" t="n">
        <x:v>240</x:v>
      </x:c>
      <x:c r="D76" s="20" t="n">
        <x:v>0.0595</x:v>
      </x:c>
      <x:c r="E76" s="20" t="n">
        <x:v>7</x:v>
      </x:c>
      <x:c r="F76" s="20" t="n">
        <x:v>1016.1283</x:v>
      </x:c>
      <x:c r="G76" s="20" t="n">
        <x:v>0.984</x:v>
      </x:c>
      <x:c r="H76" s="20" t="str">
        <x:v>58 49 00 08 00 00 01</x:v>
      </x:c>
      <x:c r="I76" s="20" t="str">
        <x:v>58 49 00 08 00 00 01</x:v>
      </x:c>
      <x:c r="J76" s="20" t="n">
        <x:v>219</x:v>
      </x:c>
      <x:c r="K76" s="20" t="n">
        <x:v>0.0599</x:v>
      </x:c>
      <x:c r="L76" s="20" t="n">
        <x:v>7</x:v>
      </x:c>
      <x:c r="M76" s="20" t="n">
        <x:v>1015.3758</x:v>
      </x:c>
      <x:c r="N76" s="20" t="n">
        <x:v>0.985</x:v>
      </x:c>
      <x:c r="O76" s="20" t="str">
        <x:v>58 49 00 08 00 00 01</x:v>
      </x:c>
      <x:c r="P76" s="20" t="str">
        <x:v>58 49 00 08 00 00 01</x:v>
      </x:c>
      <x:c r="Q76" s="20" t="n">
        <x:v>0</x:v>
      </x:c>
      <x:c r="R76" s="20" t="n">
        <x:v>0</x:v>
      </x:c>
      <x:c r="S76" s="20" t="str"/>
      <x:c r="T76" s="20" t="str"/>
      <x:c r="U76" s="20" t="str"/>
      <x:c r="V76" s="20" t="str"/>
      <x:c r="W76" s="20" t="str"/>
      <x:c r="X76" s="20" t="str">
        <x:v>Prius-only in these captures</x:v>
      </x:c>
    </x:row>
    <x:row r="77">
      <x:c r="A77" s="20" t="str">
        <x:v>0x554</x:v>
      </x:c>
      <x:c r="B77" s="20" t="str">
        <x:v>STD</x:v>
      </x:c>
      <x:c r="C77" s="20" t="n">
        <x:v>240</x:v>
      </x:c>
      <x:c r="D77" s="20" t="n">
        <x:v>0.0595</x:v>
      </x:c>
      <x:c r="E77" s="20" t="n">
        <x:v>7</x:v>
      </x:c>
      <x:c r="F77" s="20" t="n">
        <x:v>1016.1283</x:v>
      </x:c>
      <x:c r="G77" s="20" t="n">
        <x:v>0.984</x:v>
      </x:c>
      <x:c r="H77" s="20" t="str">
        <x:v>58 41 42 4C 41 45 4E</x:v>
      </x:c>
      <x:c r="I77" s="20" t="str">
        <x:v>58 41 42 4C 41 45 4E</x:v>
      </x:c>
      <x:c r="J77" s="20" t="n">
        <x:v>219</x:v>
      </x:c>
      <x:c r="K77" s="20" t="n">
        <x:v>0.0599</x:v>
      </x:c>
      <x:c r="L77" s="20" t="n">
        <x:v>7</x:v>
      </x:c>
      <x:c r="M77" s="20" t="n">
        <x:v>1015.3758</x:v>
      </x:c>
      <x:c r="N77" s="20" t="n">
        <x:v>0.985</x:v>
      </x:c>
      <x:c r="O77" s="20" t="str">
        <x:v>58 41 42 4C 41 45 4E</x:v>
      </x:c>
      <x:c r="P77" s="20" t="str">
        <x:v>58 41 42 4C 41 45 4E</x:v>
      </x:c>
      <x:c r="Q77" s="20" t="n">
        <x:v>0</x:v>
      </x:c>
      <x:c r="R77" s="20" t="n">
        <x:v>0</x:v>
      </x:c>
      <x:c r="S77" s="20" t="str"/>
      <x:c r="T77" s="20" t="str"/>
      <x:c r="U77" s="20" t="str"/>
      <x:c r="V77" s="20" t="str"/>
      <x:c r="W77" s="20" t="str"/>
      <x:c r="X77" s="20" t="str">
        <x:v>Prius-only in these captures</x:v>
      </x:c>
    </x:row>
    <x:row r="78">
      <x:c r="A78" s="20" t="str">
        <x:v>0x56D</x:v>
      </x:c>
      <x:c r="B78" s="20" t="str">
        <x:v>STD</x:v>
      </x:c>
      <x:c r="C78" s="20" t="n">
        <x:v>241</x:v>
      </x:c>
      <x:c r="D78" s="20" t="n">
        <x:v>0.0597</x:v>
      </x:c>
      <x:c r="E78" s="20" t="n">
        <x:v>4</x:v>
      </x:c>
      <x:c r="F78" s="20" t="n">
        <x:v>1011.8945</x:v>
      </x:c>
      <x:c r="G78" s="20" t="n">
        <x:v>0.988</x:v>
      </x:c>
      <x:c r="H78" s="20" t="str">
        <x:v>65 A1 00 FF</x:v>
      </x:c>
      <x:c r="I78" s="20" t="str">
        <x:v>65 9D 60 9F</x:v>
      </x:c>
      <x:c r="J78" s="20" t="n">
        <x:v>220</x:v>
      </x:c>
      <x:c r="K78" s="20" t="n">
        <x:v>0.0602</x:v>
      </x:c>
      <x:c r="L78" s="20" t="n">
        <x:v>4</x:v>
      </x:c>
      <x:c r="M78" s="20" t="n">
        <x:v>1010.7394</x:v>
      </x:c>
      <x:c r="N78" s="20" t="n">
        <x:v>0.989</x:v>
      </x:c>
      <x:c r="O78" s="20" t="str">
        <x:v>65 85 00 FF</x:v>
      </x:c>
      <x:c r="P78" s="20" t="str">
        <x:v>65 85 20 DF</x:v>
      </x:c>
      <x:c r="Q78" s="20" t="n">
        <x:v>0</x:v>
      </x:c>
      <x:c r="R78" s="20" t="n">
        <x:v>0</x:v>
      </x:c>
      <x:c r="S78" s="20" t="str"/>
      <x:c r="T78" s="20" t="str"/>
      <x:c r="U78" s="20" t="str"/>
      <x:c r="V78" s="20" t="str"/>
      <x:c r="W78" s="20" t="str"/>
      <x:c r="X78" s="20" t="str">
        <x:v>Prius-only in these captures</x:v>
      </x:c>
    </x:row>
    <x:row r="79">
      <x:c r="A79" s="20" t="str">
        <x:v>0x57F</x:v>
      </x:c>
      <x:c r="B79" s="20" t="str">
        <x:v>STD</x:v>
      </x:c>
      <x:c r="C79" s="20" t="n">
        <x:v>242</x:v>
      </x:c>
      <x:c r="D79" s="20" t="n">
        <x:v>0.06</x:v>
      </x:c>
      <x:c r="E79" s="20" t="n">
        <x:v>7</x:v>
      </x:c>
      <x:c r="F79" s="20" t="n">
        <x:v>1007.6957</x:v>
      </x:c>
      <x:c r="G79" s="20" t="n">
        <x:v>0.992</x:v>
      </x:c>
      <x:c r="H79" s="20" t="str">
        <x:v>68 00 10 80 00 00 00</x:v>
      </x:c>
      <x:c r="I79" s="20" t="str">
        <x:v>68 00 10 80 00 00 00</x:v>
      </x:c>
      <x:c r="J79" s="20" t="n">
        <x:v>219</x:v>
      </x:c>
      <x:c r="K79" s="20" t="n">
        <x:v>0.0599</x:v>
      </x:c>
      <x:c r="L79" s="20" t="n">
        <x:v>7</x:v>
      </x:c>
      <x:c r="M79" s="20" t="n">
        <x:v>1015.3758</x:v>
      </x:c>
      <x:c r="N79" s="20" t="n">
        <x:v>0.985</x:v>
      </x:c>
      <x:c r="O79" s="20" t="str">
        <x:v>E8 00 10 00 00 00 00</x:v>
      </x:c>
      <x:c r="P79" s="20" t="str">
        <x:v>68 00 10 00 00 00 00</x:v>
      </x:c>
      <x:c r="Q79" s="20" t="n">
        <x:v>0</x:v>
      </x:c>
      <x:c r="R79" s="20" t="n">
        <x:v>0</x:v>
      </x:c>
      <x:c r="S79" s="20" t="str"/>
      <x:c r="T79" s="20" t="str"/>
      <x:c r="U79" s="20" t="str"/>
      <x:c r="V79" s="20" t="str"/>
      <x:c r="W79" s="20" t="str"/>
      <x:c r="X79" s="20" t="str">
        <x:v>Prius-only in these captures</x:v>
      </x:c>
    </x:row>
    <x:row r="80">
      <x:c r="A80" s="20" t="str">
        <x:v>0x591</x:v>
      </x:c>
      <x:c r="B80" s="20" t="str">
        <x:v>STD</x:v>
      </x:c>
      <x:c r="C80" s="20" t="n">
        <x:v>793</x:v>
      </x:c>
      <x:c r="D80" s="20" t="n">
        <x:v>0.1965</x:v>
      </x:c>
      <x:c r="E80" s="20" t="n">
        <x:v>4</x:v>
      </x:c>
      <x:c r="F80" s="20" t="n">
        <x:v>306.6347</x:v>
      </x:c>
      <x:c r="G80" s="20" t="n">
        <x:v>3.261</x:v>
      </x:c>
      <x:c r="H80" s="20" t="str">
        <x:v>A5 A0 1F 06</x:v>
      </x:c>
      <x:c r="I80" s="20" t="str">
        <x:v>25 00 00 00</x:v>
      </x:c>
      <x:c r="J80" s="20" t="n">
        <x:v>714</x:v>
      </x:c>
      <x:c r="K80" s="20" t="n">
        <x:v>0.1953</x:v>
      </x:c>
      <x:c r="L80" s="20" t="n">
        <x:v>4</x:v>
      </x:c>
      <x:c r="M80" s="20" t="n">
        <x:v>310.4515</x:v>
      </x:c>
      <x:c r="N80" s="20" t="n">
        <x:v>3.221</x:v>
      </x:c>
      <x:c r="O80" s="20" t="str">
        <x:v>A5 A0 1F 06</x:v>
      </x:c>
      <x:c r="P80" s="20" t="str">
        <x:v>25 00 00 00</x:v>
      </x:c>
      <x:c r="Q80" s="20" t="n">
        <x:v>0</x:v>
      </x:c>
      <x:c r="R80" s="20" t="n">
        <x:v>0</x:v>
      </x:c>
      <x:c r="S80" s="20" t="str"/>
      <x:c r="T80" s="20" t="str"/>
      <x:c r="U80" s="20" t="str"/>
      <x:c r="V80" s="20" t="str"/>
      <x:c r="W80" s="20" t="str"/>
      <x:c r="X80" s="20" t="str">
        <x:v>Prius-only in these captures</x:v>
      </x:c>
    </x:row>
    <x:row r="81">
      <x:c r="A81" s="20" t="str">
        <x:v>0x5A4</x:v>
      </x:c>
      <x:c r="B81" s="20" t="str">
        <x:v>STD</x:v>
      </x:c>
      <x:c r="C81" s="20" t="n">
        <x:v>75</x:v>
      </x:c>
      <x:c r="D81" s="20" t="n">
        <x:v>0.0186</x:v>
      </x:c>
      <x:c r="E81" s="20" t="n">
        <x:v>2</x:v>
      </x:c>
      <x:c r="F81" s="20" t="n">
        <x:v>3281.8199</x:v>
      </x:c>
      <x:c r="G81" s="20" t="n">
        <x:v>0.305</x:v>
      </x:c>
      <x:c r="H81" s="20" t="str">
        <x:v>63 15</x:v>
      </x:c>
      <x:c r="I81" s="20" t="str">
        <x:v>63 17</x:v>
      </x:c>
      <x:c r="J81" s="20" t="n">
        <x:v>68</x:v>
      </x:c>
      <x:c r="K81" s="20" t="n">
        <x:v>0.0186</x:v>
      </x:c>
      <x:c r="L81" s="20" t="n">
        <x:v>2</x:v>
      </x:c>
      <x:c r="M81" s="20" t="n">
        <x:v>3303.7601</x:v>
      </x:c>
      <x:c r="N81" s="20" t="n">
        <x:v>0.303</x:v>
      </x:c>
      <x:c r="O81" s="20" t="str">
        <x:v>63 12</x:v>
      </x:c>
      <x:c r="P81" s="20" t="str">
        <x:v>63 15</x:v>
      </x:c>
      <x:c r="Q81" s="20" t="n">
        <x:v>0</x:v>
      </x:c>
      <x:c r="R81" s="20" t="n">
        <x:v>0</x:v>
      </x:c>
      <x:c r="S81" s="20" t="str"/>
      <x:c r="T81" s="20" t="str"/>
      <x:c r="U81" s="20" t="str"/>
      <x:c r="V81" s="20" t="str"/>
      <x:c r="W81" s="20" t="str"/>
      <x:c r="X81" s="20" t="str">
        <x:v>Prius-only in these captures</x:v>
      </x:c>
    </x:row>
    <x:row r="82">
      <x:c r="A82" s="20" t="str">
        <x:v>0x5B2</x:v>
      </x:c>
      <x:c r="B82" s="20" t="str">
        <x:v>STD</x:v>
      </x:c>
      <x:c r="C82" s="20" t="n">
        <x:v>49</x:v>
      </x:c>
      <x:c r="D82" s="20" t="n">
        <x:v>0.0121</x:v>
      </x:c>
      <x:c r="E82" s="20" t="n">
        <x:v>4</x:v>
      </x:c>
      <x:c r="F82" s="20" t="n">
        <x:v>5059.4723</x:v>
      </x:c>
      <x:c r="G82" s="20" t="n">
        <x:v>0.198</x:v>
      </x:c>
      <x:c r="H82" s="20" t="str">
        <x:v>25 00 00 00</x:v>
      </x:c>
      <x:c r="I82" s="20" t="str">
        <x:v>25 00 04 00</x:v>
      </x:c>
      <x:c r="J82" s="20" t="n">
        <x:v>45</x:v>
      </x:c>
      <x:c r="K82" s="20" t="n">
        <x:v>0.0123</x:v>
      </x:c>
      <x:c r="L82" s="20" t="n">
        <x:v>4</x:v>
      </x:c>
      <x:c r="M82" s="20" t="n">
        <x:v>5030.7257</x:v>
      </x:c>
      <x:c r="N82" s="20" t="n">
        <x:v>0.199</x:v>
      </x:c>
      <x:c r="O82" s="20" t="str">
        <x:v>25 00 00 00</x:v>
      </x:c>
      <x:c r="P82" s="20" t="str">
        <x:v>25 00 04 00</x:v>
      </x:c>
      <x:c r="Q82" s="20" t="n">
        <x:v>0</x:v>
      </x:c>
      <x:c r="R82" s="20" t="n">
        <x:v>0</x:v>
      </x:c>
      <x:c r="S82" s="20" t="str"/>
      <x:c r="T82" s="20" t="str"/>
      <x:c r="U82" s="20" t="str"/>
      <x:c r="V82" s="20" t="str"/>
      <x:c r="W82" s="20" t="str"/>
      <x:c r="X82" s="20" t="str">
        <x:v>Prius-only in these captures</x:v>
      </x:c>
    </x:row>
    <x:row r="83">
      <x:c r="A83" s="20" t="str">
        <x:v>0x5B6</x:v>
      </x:c>
      <x:c r="B83" s="20" t="str">
        <x:v>STD</x:v>
      </x:c>
      <x:c r="C83" s="20" t="n">
        <x:v>240</x:v>
      </x:c>
      <x:c r="D83" s="20" t="n">
        <x:v>0.0595</x:v>
      </x:c>
      <x:c r="E83" s="20" t="n">
        <x:v>3</x:v>
      </x:c>
      <x:c r="F83" s="20" t="n">
        <x:v>1016.1283</x:v>
      </x:c>
      <x:c r="G83" s="20" t="n">
        <x:v>0.984</x:v>
      </x:c>
      <x:c r="H83" s="20" t="str">
        <x:v>64 C5 80</x:v>
      </x:c>
      <x:c r="I83" s="20" t="str">
        <x:v>64 C5 80</x:v>
      </x:c>
      <x:c r="J83" s="20" t="n">
        <x:v>219</x:v>
      </x:c>
      <x:c r="K83" s="20" t="n">
        <x:v>0.0599</x:v>
      </x:c>
      <x:c r="L83" s="20" t="n">
        <x:v>3</x:v>
      </x:c>
      <x:c r="M83" s="20" t="n">
        <x:v>1015.3758</x:v>
      </x:c>
      <x:c r="N83" s="20" t="n">
        <x:v>0.985</x:v>
      </x:c>
      <x:c r="O83" s="20" t="str">
        <x:v>64 C5 00</x:v>
      </x:c>
      <x:c r="P83" s="20" t="str">
        <x:v>64 C5 00</x:v>
      </x:c>
      <x:c r="Q83" s="20" t="n">
        <x:v>0</x:v>
      </x:c>
      <x:c r="R83" s="20" t="n">
        <x:v>0</x:v>
      </x:c>
      <x:c r="S83" s="20" t="str"/>
      <x:c r="T83" s="20" t="str"/>
      <x:c r="U83" s="20" t="str"/>
      <x:c r="V83" s="20" t="str"/>
      <x:c r="W83" s="20" t="str"/>
      <x:c r="X83" s="20" t="str">
        <x:v>Prius-only in these captures</x:v>
      </x:c>
    </x:row>
    <x:row r="84">
      <x:c r="A84" s="20" t="str">
        <x:v>0x5C8</x:v>
      </x:c>
      <x:c r="B84" s="20" t="str">
        <x:v>STD</x:v>
      </x:c>
      <x:c r="C84" s="20" t="n">
        <x:v>242</x:v>
      </x:c>
      <x:c r="D84" s="20" t="n">
        <x:v>0.06</x:v>
      </x:c>
      <x:c r="E84" s="20" t="n">
        <x:v>3</x:v>
      </x:c>
      <x:c r="F84" s="20" t="n">
        <x:v>1007.6957</x:v>
      </x:c>
      <x:c r="G84" s="20" t="n">
        <x:v>0.992</x:v>
      </x:c>
      <x:c r="H84" s="20" t="str">
        <x:v>24 00 00</x:v>
      </x:c>
      <x:c r="I84" s="20" t="str">
        <x:v>24 00 00</x:v>
      </x:c>
      <x:c r="J84" s="20" t="n">
        <x:v>221</x:v>
      </x:c>
      <x:c r="K84" s="20" t="n">
        <x:v>0.0604</x:v>
      </x:c>
      <x:c r="L84" s="20" t="n">
        <x:v>3</x:v>
      </x:c>
      <x:c r="M84" s="20" t="n">
        <x:v>1006.1451</x:v>
      </x:c>
      <x:c r="N84" s="20" t="n">
        <x:v>0.994</x:v>
      </x:c>
      <x:c r="O84" s="20" t="str">
        <x:v>24 00 00</x:v>
      </x:c>
      <x:c r="P84" s="20" t="str">
        <x:v>24 00 00</x:v>
      </x:c>
      <x:c r="Q84" s="20" t="n">
        <x:v>0</x:v>
      </x:c>
      <x:c r="R84" s="20" t="n">
        <x:v>0</x:v>
      </x:c>
      <x:c r="S84" s="20" t="str"/>
      <x:c r="T84" s="20" t="str"/>
      <x:c r="U84" s="20" t="str"/>
      <x:c r="V84" s="20" t="str"/>
      <x:c r="W84" s="20" t="str"/>
      <x:c r="X84" s="20" t="str">
        <x:v>Prius-only in these captures</x:v>
      </x:c>
    </x:row>
    <x:row r="85">
      <x:c r="A85" s="20" t="str">
        <x:v>0x5CC</x:v>
      </x:c>
      <x:c r="B85" s="20" t="str">
        <x:v>STD</x:v>
      </x:c>
      <x:c r="C85" s="20" t="n">
        <x:v>934</x:v>
      </x:c>
      <x:c r="D85" s="20" t="n">
        <x:v>0.2314</x:v>
      </x:c>
      <x:c r="E85" s="20" t="n">
        <x:v>3</x:v>
      </x:c>
      <x:c r="F85" s="20" t="n">
        <x:v>260.2944</x:v>
      </x:c>
      <x:c r="G85" s="20" t="n">
        <x:v>3.842</x:v>
      </x:c>
      <x:c r="H85" s="20" t="str">
        <x:v>24 01 68</x:v>
      </x:c>
      <x:c r="I85" s="20" t="str">
        <x:v>24 01 5A</x:v>
      </x:c>
      <x:c r="J85" s="20" t="n">
        <x:v>851</x:v>
      </x:c>
      <x:c r="K85" s="20" t="n">
        <x:v>0.2327</x:v>
      </x:c>
      <x:c r="L85" s="20" t="n">
        <x:v>3</x:v>
      </x:c>
      <x:c r="M85" s="20" t="n">
        <x:v>260.414</x:v>
      </x:c>
      <x:c r="N85" s="20" t="n">
        <x:v>3.84</x:v>
      </x:c>
      <x:c r="O85" s="20" t="str">
        <x:v>24 01 66</x:v>
      </x:c>
      <x:c r="P85" s="20" t="str">
        <x:v>24 01 70</x:v>
      </x:c>
      <x:c r="Q85" s="20" t="n">
        <x:v>0</x:v>
      </x:c>
      <x:c r="R85" s="20" t="n">
        <x:v>0</x:v>
      </x:c>
      <x:c r="S85" s="20" t="str"/>
      <x:c r="T85" s="20" t="str"/>
      <x:c r="U85" s="20" t="str"/>
      <x:c r="V85" s="20" t="str"/>
      <x:c r="W85" s="20" t="str"/>
      <x:c r="X85" s="20" t="str">
        <x:v>Prius-only in these captures</x:v>
      </x:c>
    </x:row>
    <x:row r="86">
      <x:c r="A86" s="20" t="str">
        <x:v>0x5D4</x:v>
      </x:c>
      <x:c r="B86" s="20" t="str">
        <x:v>STD</x:v>
      </x:c>
      <x:c r="C86" s="20" t="n">
        <x:v>240</x:v>
      </x:c>
      <x:c r="D86" s="20" t="n">
        <x:v>0.0595</x:v>
      </x:c>
      <x:c r="E86" s="20" t="n">
        <x:v>2</x:v>
      </x:c>
      <x:c r="F86" s="20" t="n">
        <x:v>1016.1283</x:v>
      </x:c>
      <x:c r="G86" s="20" t="n">
        <x:v>0.984</x:v>
      </x:c>
      <x:c r="H86" s="20" t="str">
        <x:v>23 00</x:v>
      </x:c>
      <x:c r="I86" s="20" t="str">
        <x:v>23 00</x:v>
      </x:c>
      <x:c r="J86" s="20" t="n">
        <x:v>218</x:v>
      </x:c>
      <x:c r="K86" s="20" t="n">
        <x:v>0.0596</x:v>
      </x:c>
      <x:c r="L86" s="20" t="n">
        <x:v>2</x:v>
      </x:c>
      <x:c r="M86" s="20" t="n">
        <x:v>1020.055</x:v>
      </x:c>
      <x:c r="N86" s="20" t="n">
        <x:v>0.98</x:v>
      </x:c>
      <x:c r="O86" s="20" t="str">
        <x:v>23 00</x:v>
      </x:c>
      <x:c r="P86" s="20" t="str">
        <x:v>23 00</x:v>
      </x:c>
      <x:c r="Q86" s="20" t="n">
        <x:v>0</x:v>
      </x:c>
      <x:c r="R86" s="20" t="n">
        <x:v>0</x:v>
      </x:c>
      <x:c r="S86" s="20" t="str"/>
      <x:c r="T86" s="20" t="str"/>
      <x:c r="U86" s="20" t="str"/>
      <x:c r="V86" s="20" t="str"/>
      <x:c r="W86" s="20" t="str"/>
      <x:c r="X86" s="20" t="str">
        <x:v>Prius-only in these captures</x:v>
      </x:c>
    </x:row>
    <x:row r="87">
      <x:c r="A87" s="20" t="str">
        <x:v>0x5EC</x:v>
      </x:c>
      <x:c r="B87" s="20" t="str">
        <x:v>STD</x:v>
      </x:c>
      <x:c r="C87" s="20" t="n">
        <x:v>484</x:v>
      </x:c>
      <x:c r="D87" s="20" t="n">
        <x:v>0.1199</x:v>
      </x:c>
      <x:c r="E87" s="20" t="n">
        <x:v>7</x:v>
      </x:c>
      <x:c r="F87" s="20" t="n">
        <x:v>502.8047</x:v>
      </x:c>
      <x:c r="G87" s="20" t="n">
        <x:v>1.989</x:v>
      </x:c>
      <x:c r="H87" s="20" t="str">
        <x:v>28 00 00 00 00 00 00</x:v>
      </x:c>
      <x:c r="I87" s="20" t="str">
        <x:v>28 0F B6 2C 44 22 35</x:v>
      </x:c>
      <x:c r="J87" s="20" t="n">
        <x:v>441</x:v>
      </x:c>
      <x:c r="K87" s="20" t="n">
        <x:v>0.1206</x:v>
      </x:c>
      <x:c r="L87" s="20" t="n">
        <x:v>7</x:v>
      </x:c>
      <x:c r="M87" s="20" t="n">
        <x:v>503.0726</x:v>
      </x:c>
      <x:c r="N87" s="20" t="n">
        <x:v>1.988</x:v>
      </x:c>
      <x:c r="O87" s="20" t="str">
        <x:v>28 00 00 00 00 00 00</x:v>
      </x:c>
      <x:c r="P87" s="20" t="str">
        <x:v>28 0B B7 22 46 2D 3B</x:v>
      </x:c>
      <x:c r="Q87" s="20" t="n">
        <x:v>0</x:v>
      </x:c>
      <x:c r="R87" s="20" t="n">
        <x:v>0</x:v>
      </x:c>
      <x:c r="S87" s="20" t="str"/>
      <x:c r="T87" s="20" t="str"/>
      <x:c r="U87" s="20" t="str"/>
      <x:c r="V87" s="20" t="str"/>
      <x:c r="W87" s="20" t="str"/>
      <x:c r="X87" s="20" t="str">
        <x:v>Prius-only in these captures</x:v>
      </x:c>
    </x:row>
    <x:row r="88">
      <x:c r="A88" s="20" t="str">
        <x:v>0x5ED</x:v>
      </x:c>
      <x:c r="B88" s="20" t="str">
        <x:v>STD</x:v>
      </x:c>
      <x:c r="C88" s="20" t="n">
        <x:v>242</x:v>
      </x:c>
      <x:c r="D88" s="20" t="n">
        <x:v>0.06</x:v>
      </x:c>
      <x:c r="E88" s="20" t="n">
        <x:v>6</x:v>
      </x:c>
      <x:c r="F88" s="20" t="n">
        <x:v>1007.6957</x:v>
      </x:c>
      <x:c r="G88" s="20" t="n">
        <x:v>0.992</x:v>
      </x:c>
      <x:c r="H88" s="20" t="str">
        <x:v>67 00 00 FF 00 00</x:v>
      </x:c>
      <x:c r="I88" s="20" t="str">
        <x:v>67 6A 00 FF 0F B5</x:v>
      </x:c>
      <x:c r="J88" s="20" t="n">
        <x:v>226</x:v>
      </x:c>
      <x:c r="K88" s="20" t="n">
        <x:v>0.0618</x:v>
      </x:c>
      <x:c r="L88" s="20" t="n">
        <x:v>6</x:v>
      </x:c>
      <x:c r="M88" s="20" t="n">
        <x:v>983.7864</x:v>
      </x:c>
      <x:c r="N88" s="20" t="n">
        <x:v>1.016</x:v>
      </x:c>
      <x:c r="O88" s="20" t="str">
        <x:v>67 00 00 FF 00 00</x:v>
      </x:c>
      <x:c r="P88" s="20" t="str">
        <x:v>67 6A 00 FF 0B B8</x:v>
      </x:c>
      <x:c r="Q88" s="20" t="n">
        <x:v>0</x:v>
      </x:c>
      <x:c r="R88" s="20" t="n">
        <x:v>0</x:v>
      </x:c>
      <x:c r="S88" s="20" t="str"/>
      <x:c r="T88" s="20" t="str"/>
      <x:c r="U88" s="20" t="str"/>
      <x:c r="V88" s="20" t="str"/>
      <x:c r="W88" s="20" t="str"/>
      <x:c r="X88" s="20" t="str">
        <x:v>Prius-only in these captures</x:v>
      </x:c>
    </x:row>
    <x:row r="89">
      <x:c r="A89" s="20" t="str">
        <x:v>0x5F8</x:v>
      </x:c>
      <x:c r="B89" s="20" t="str">
        <x:v>STD</x:v>
      </x:c>
      <x:c r="C89" s="20" t="n">
        <x:v>240</x:v>
      </x:c>
      <x:c r="D89" s="20" t="n">
        <x:v>0.0595</x:v>
      </x:c>
      <x:c r="E89" s="20" t="n">
        <x:v>2</x:v>
      </x:c>
      <x:c r="F89" s="20" t="n">
        <x:v>1016.1283</x:v>
      </x:c>
      <x:c r="G89" s="20" t="n">
        <x:v>0.984</x:v>
      </x:c>
      <x:c r="H89" s="20" t="str">
        <x:v>A3 04</x:v>
      </x:c>
      <x:c r="I89" s="20" t="str">
        <x:v>23 04</x:v>
      </x:c>
      <x:c r="J89" s="20" t="n">
        <x:v>218</x:v>
      </x:c>
      <x:c r="K89" s="20" t="n">
        <x:v>0.0596</x:v>
      </x:c>
      <x:c r="L89" s="20" t="n">
        <x:v>2</x:v>
      </x:c>
      <x:c r="M89" s="20" t="n">
        <x:v>1020.055</x:v>
      </x:c>
      <x:c r="N89" s="20" t="n">
        <x:v>0.98</x:v>
      </x:c>
      <x:c r="O89" s="20" t="str">
        <x:v>A3 04</x:v>
      </x:c>
      <x:c r="P89" s="20" t="str">
        <x:v>23 04</x:v>
      </x:c>
      <x:c r="Q89" s="20" t="n">
        <x:v>0</x:v>
      </x:c>
      <x:c r="R89" s="20" t="n">
        <x:v>0</x:v>
      </x:c>
      <x:c r="S89" s="20" t="str"/>
      <x:c r="T89" s="20" t="str"/>
      <x:c r="U89" s="20" t="str"/>
      <x:c r="V89" s="20" t="str"/>
      <x:c r="W89" s="20" t="str"/>
      <x:c r="X89" s="20" t="str">
        <x:v>Prius-only in these captures</x:v>
      </x:c>
    </x:row>
    <x:row r="90">
      <x:c r="A90" s="20" t="str">
        <x:v>0x602</x:v>
      </x:c>
      <x:c r="B90" s="20" t="str">
        <x:v>STD</x:v>
      </x:c>
      <x:c r="C90" s="20" t="n">
        <x:v>5</x:v>
      </x:c>
      <x:c r="D90" s="20" t="n">
        <x:v>0.0012</x:v>
      </x:c>
      <x:c r="E90" s="20" t="n">
        <x:v>2</x:v>
      </x:c>
      <x:c r="F90" s="20" t="n">
        <x:v>60713.6672</x:v>
      </x:c>
      <x:c r="G90" s="20" t="n">
        <x:v>0.016</x:v>
      </x:c>
      <x:c r="H90" s="20" t="str">
        <x:v>03 00</x:v>
      </x:c>
      <x:c r="I90" s="20" t="str">
        <x:v>03 00</x:v>
      </x:c>
      <x:c r="J90" s="20" t="n">
        <x:v>4</x:v>
      </x:c>
      <x:c r="K90" s="20" t="n">
        <x:v>0.0011</x:v>
      </x:c>
      <x:c r="L90" s="20" t="n">
        <x:v>2</x:v>
      </x:c>
      <x:c r="M90" s="20" t="n">
        <x:v>73783.9763</x:v>
      </x:c>
      <x:c r="N90" s="20" t="n">
        <x:v>0.014</x:v>
      </x:c>
      <x:c r="O90" s="20" t="str">
        <x:v>03 00</x:v>
      </x:c>
      <x:c r="P90" s="20" t="str">
        <x:v>03 03</x:v>
      </x:c>
      <x:c r="Q90" s="20" t="n">
        <x:v>0</x:v>
      </x:c>
      <x:c r="R90" s="20" t="n">
        <x:v>0</x:v>
      </x:c>
      <x:c r="S90" s="20" t="str"/>
      <x:c r="T90" s="20" t="str"/>
      <x:c r="U90" s="20" t="str"/>
      <x:c r="V90" s="20" t="str"/>
      <x:c r="W90" s="20" t="str"/>
      <x:c r="X90" s="20" t="str">
        <x:v>Prius-only in these captures</x:v>
      </x:c>
    </x:row>
    <x:row r="91">
      <x:c r="A91" s="20" t="str">
        <x:v>0x610</x:v>
      </x:c>
      <x:c r="B91" s="20" t="str">
        <x:v>STD</x:v>
      </x:c>
      <x:c r="C91" s="20" t="n">
        <x:v>0</x:v>
      </x:c>
      <x:c r="D91" s="20" t="n">
        <x:v>0</x:v>
      </x:c>
      <x:c r="E91" s="20" t="str"/>
      <x:c r="F91" s="20" t="str"/>
      <x:c r="G91" s="20" t="str"/>
      <x:c r="H91" s="20" t="str"/>
      <x:c r="I91" s="20" t="str"/>
      <x:c r="J91" s="20" t="n">
        <x:v>0</x:v>
      </x:c>
      <x:c r="K91" s="20" t="n">
        <x:v>0</x:v>
      </x:c>
      <x:c r="L91" s="20" t="str"/>
      <x:c r="M91" s="20" t="str"/>
      <x:c r="N91" s="20" t="str"/>
      <x:c r="O91" s="20" t="str"/>
      <x:c r="P91" s="20" t="str"/>
      <x:c r="Q91" s="20" t="n">
        <x:v>440</x:v>
      </x:c>
      <x:c r="R91" s="20" t="n">
        <x:v>0.1645</x:v>
      </x:c>
      <x:c r="S91" s="20" t="n">
        <x:v>8</x:v>
      </x:c>
      <x:c r="T91" s="20" t="n">
        <x:v>518.7625</x:v>
      </x:c>
      <x:c r="U91" s="20" t="n">
        <x:v>1.928</x:v>
      </x:c>
      <x:c r="V91" s="20" t="str">
        <x:v>20 00 00 50 C0 00 00 00</x:v>
      </x:c>
      <x:c r="W91" s="20" t="str">
        <x:v>20 00 00 50 C0 00 00 00</x:v>
      </x:c>
      <x:c r="X91" s="20" t="str">
        <x:v>Camry-only in these captures</x:v>
      </x:c>
    </x:row>
    <x:row r="92">
      <x:c r="A92" s="20" t="str">
        <x:v>0x611</x:v>
      </x:c>
      <x:c r="B92" s="20" t="str">
        <x:v>STD</x:v>
      </x:c>
      <x:c r="C92" s="20" t="n">
        <x:v>0</x:v>
      </x:c>
      <x:c r="D92" s="20" t="n">
        <x:v>0</x:v>
      </x:c>
      <x:c r="E92" s="20" t="str"/>
      <x:c r="F92" s="20" t="str"/>
      <x:c r="G92" s="20" t="str"/>
      <x:c r="H92" s="20" t="str"/>
      <x:c r="I92" s="20" t="str"/>
      <x:c r="J92" s="20" t="n">
        <x:v>0</x:v>
      </x:c>
      <x:c r="K92" s="20" t="n">
        <x:v>0</x:v>
      </x:c>
      <x:c r="L92" s="20" t="str"/>
      <x:c r="M92" s="20" t="str"/>
      <x:c r="N92" s="20" t="str"/>
      <x:c r="O92" s="20" t="str"/>
      <x:c r="P92" s="20" t="str"/>
      <x:c r="Q92" s="20" t="n">
        <x:v>220</x:v>
      </x:c>
      <x:c r="R92" s="20" t="n">
        <x:v>0.0822</x:v>
      </x:c>
      <x:c r="S92" s="20" t="n">
        <x:v>8</x:v>
      </x:c>
      <x:c r="T92" s="20" t="n">
        <x:v>1039.8938</x:v>
      </x:c>
      <x:c r="U92" s="20" t="n">
        <x:v>0.962</x:v>
      </x:c>
      <x:c r="V92" s="20" t="str">
        <x:v>21 00 10 A0 00 04 32 4A</x:v>
      </x:c>
      <x:c r="W92" s="20" t="str">
        <x:v>21 00 10 A0 00 04 32 4A</x:v>
      </x:c>
      <x:c r="X92" s="20" t="str">
        <x:v>Camry-only in these captures</x:v>
      </x:c>
    </x:row>
    <x:row r="93">
      <x:c r="A93" s="20" t="str">
        <x:v>0x612</x:v>
      </x:c>
      <x:c r="B93" s="20" t="str">
        <x:v>STD</x:v>
      </x:c>
      <x:c r="C93" s="20" t="n">
        <x:v>0</x:v>
      </x:c>
      <x:c r="D93" s="20" t="n">
        <x:v>0</x:v>
      </x:c>
      <x:c r="E93" s="20" t="str"/>
      <x:c r="F93" s="20" t="str"/>
      <x:c r="G93" s="20" t="str"/>
      <x:c r="H93" s="20" t="str"/>
      <x:c r="I93" s="20" t="str"/>
      <x:c r="J93" s="20" t="n">
        <x:v>0</x:v>
      </x:c>
      <x:c r="K93" s="20" t="n">
        <x:v>0</x:v>
      </x:c>
      <x:c r="L93" s="20" t="str"/>
      <x:c r="M93" s="20" t="str"/>
      <x:c r="N93" s="20" t="str"/>
      <x:c r="O93" s="20" t="str"/>
      <x:c r="P93" s="20" t="str"/>
      <x:c r="Q93" s="20" t="n">
        <x:v>31</x:v>
      </x:c>
      <x:c r="R93" s="20" t="n">
        <x:v>0.0116</x:v>
      </x:c>
      <x:c r="S93" s="20" t="n">
        <x:v>8</x:v>
      </x:c>
      <x:c r="T93" s="20" t="n">
        <x:v>7591.2251</x:v>
      </x:c>
      <x:c r="U93" s="20" t="n">
        <x:v>0.132</x:v>
      </x:c>
      <x:c r="V93" s="20" t="str">
        <x:v>27 80 00 00 00 5C 00 00</x:v>
      </x:c>
      <x:c r="W93" s="20" t="str">
        <x:v>27 80 00 00 00 FF 00 00</x:v>
      </x:c>
      <x:c r="X93" s="20" t="str">
        <x:v>Camry-only in these captures</x:v>
      </x:c>
    </x:row>
    <x:row r="94">
      <x:c r="A94" s="20" t="str">
        <x:v>0x619</x:v>
      </x:c>
      <x:c r="B94" s="20" t="str">
        <x:v>STD</x:v>
      </x:c>
      <x:c r="C94" s="20" t="n">
        <x:v>0</x:v>
      </x:c>
      <x:c r="D94" s="20" t="n">
        <x:v>0</x:v>
      </x:c>
      <x:c r="E94" s="20" t="str"/>
      <x:c r="F94" s="20" t="str"/>
      <x:c r="G94" s="20" t="str"/>
      <x:c r="H94" s="20" t="str"/>
      <x:c r="I94" s="20" t="str"/>
      <x:c r="J94" s="20" t="n">
        <x:v>0</x:v>
      </x:c>
      <x:c r="K94" s="20" t="n">
        <x:v>0</x:v>
      </x:c>
      <x:c r="L94" s="20" t="str"/>
      <x:c r="M94" s="20" t="str"/>
      <x:c r="N94" s="20" t="str"/>
      <x:c r="O94" s="20" t="str"/>
      <x:c r="P94" s="20" t="str"/>
      <x:c r="Q94" s="20" t="n">
        <x:v>23</x:v>
      </x:c>
      <x:c r="R94" s="20" t="n">
        <x:v>0.0086</x:v>
      </x:c>
      <x:c r="S94" s="20" t="n">
        <x:v>8</x:v>
      </x:c>
      <x:c r="T94" s="20" t="n">
        <x:v>10351.6705</x:v>
      </x:c>
      <x:c r="U94" s="20" t="n">
        <x:v>0.097</x:v>
      </x:c>
      <x:c r="V94" s="20" t="str">
        <x:v>23 80 00 00 00 00 99 80</x:v>
      </x:c>
      <x:c r="W94" s="20" t="str">
        <x:v>23 00 00 00 00 00 98 80</x:v>
      </x:c>
      <x:c r="X94" s="20" t="str">
        <x:v>Camry-only in these captures</x:v>
      </x:c>
    </x:row>
    <x:row r="95">
      <x:c r="A95" s="20" t="str">
        <x:v>0x61A</x:v>
      </x:c>
      <x:c r="B95" s="20" t="str">
        <x:v>STD</x:v>
      </x:c>
      <x:c r="C95" s="20" t="n">
        <x:v>0</x:v>
      </x:c>
      <x:c r="D95" s="20" t="n">
        <x:v>0</x:v>
      </x:c>
      <x:c r="E95" s="20" t="str"/>
      <x:c r="F95" s="20" t="str"/>
      <x:c r="G95" s="20" t="str"/>
      <x:c r="H95" s="20" t="str"/>
      <x:c r="I95" s="20" t="str"/>
      <x:c r="J95" s="20" t="n">
        <x:v>0</x:v>
      </x:c>
      <x:c r="K95" s="20" t="n">
        <x:v>0</x:v>
      </x:c>
      <x:c r="L95" s="20" t="str"/>
      <x:c r="M95" s="20" t="str"/>
      <x:c r="N95" s="20" t="str"/>
      <x:c r="O95" s="20" t="str"/>
      <x:c r="P95" s="20" t="str"/>
      <x:c r="Q95" s="20" t="n">
        <x:v>22</x:v>
      </x:c>
      <x:c r="R95" s="20" t="n">
        <x:v>0.0082</x:v>
      </x:c>
      <x:c r="S95" s="20" t="n">
        <x:v>8</x:v>
      </x:c>
      <x:c r="T95" s="20" t="n">
        <x:v>10844.6072</x:v>
      </x:c>
      <x:c r="U95" s="20" t="n">
        <x:v>0.092</x:v>
      </x:c>
      <x:c r="V95" s="20" t="str">
        <x:v>24 80 00 00 00 01 50 60</x:v>
      </x:c>
      <x:c r="W95" s="20" t="str">
        <x:v>24 00 00 00 00 01 4F 60</x:v>
      </x:c>
      <x:c r="X95" s="20" t="str">
        <x:v>Camry-only in these captures</x:v>
      </x:c>
    </x:row>
    <x:row r="96">
      <x:c r="A96" s="20" t="str">
        <x:v>0x61C</x:v>
      </x:c>
      <x:c r="B96" s="20" t="str">
        <x:v>STD</x:v>
      </x:c>
      <x:c r="C96" s="20" t="n">
        <x:v>0</x:v>
      </x:c>
      <x:c r="D96" s="20" t="n">
        <x:v>0</x:v>
      </x:c>
      <x:c r="E96" s="20" t="str"/>
      <x:c r="F96" s="20" t="str"/>
      <x:c r="G96" s="20" t="str"/>
      <x:c r="H96" s="20" t="str"/>
      <x:c r="I96" s="20" t="str"/>
      <x:c r="J96" s="20" t="n">
        <x:v>0</x:v>
      </x:c>
      <x:c r="K96" s="20" t="n">
        <x:v>0</x:v>
      </x:c>
      <x:c r="L96" s="20" t="str"/>
      <x:c r="M96" s="20" t="str"/>
      <x:c r="N96" s="20" t="str"/>
      <x:c r="O96" s="20" t="str"/>
      <x:c r="P96" s="20" t="str"/>
      <x:c r="Q96" s="20" t="n">
        <x:v>22</x:v>
      </x:c>
      <x:c r="R96" s="20" t="n">
        <x:v>0.0082</x:v>
      </x:c>
      <x:c r="S96" s="20" t="n">
        <x:v>8</x:v>
      </x:c>
      <x:c r="T96" s="20" t="n">
        <x:v>10844.6072</x:v>
      </x:c>
      <x:c r="U96" s="20" t="n">
        <x:v>0.092</x:v>
      </x:c>
      <x:c r="V96" s="20" t="str">
        <x:v>26 80 00 00 0C 01 00 00</x:v>
      </x:c>
      <x:c r="W96" s="20" t="str">
        <x:v>26 00 FD 00 0C 04 00 00</x:v>
      </x:c>
      <x:c r="X96" s="20" t="str">
        <x:v>Camry-only in these captures</x:v>
      </x:c>
    </x:row>
    <x:row r="97">
      <x:c r="A97" s="20" t="str">
        <x:v>0x620</x:v>
      </x:c>
      <x:c r="B97" s="20" t="str">
        <x:v>STD</x:v>
      </x:c>
      <x:c r="C97" s="20" t="n">
        <x:v>0</x:v>
      </x:c>
      <x:c r="D97" s="20" t="n">
        <x:v>0</x:v>
      </x:c>
      <x:c r="E97" s="20" t="str"/>
      <x:c r="F97" s="20" t="str"/>
      <x:c r="G97" s="20" t="str"/>
      <x:c r="H97" s="20" t="str"/>
      <x:c r="I97" s="20" t="str"/>
      <x:c r="J97" s="20" t="n">
        <x:v>0</x:v>
      </x:c>
      <x:c r="K97" s="20" t="n">
        <x:v>0</x:v>
      </x:c>
      <x:c r="L97" s="20" t="str"/>
      <x:c r="M97" s="20" t="str"/>
      <x:c r="N97" s="20" t="str"/>
      <x:c r="O97" s="20" t="str"/>
      <x:c r="P97" s="20" t="str"/>
      <x:c r="Q97" s="20" t="n">
        <x:v>755</x:v>
      </x:c>
      <x:c r="R97" s="20" t="n">
        <x:v>0.2822</x:v>
      </x:c>
      <x:c r="S97" s="20" t="n">
        <x:v>8</x:v>
      </x:c>
      <x:c r="T97" s="20" t="n">
        <x:v>302.0381</x:v>
      </x:c>
      <x:c r="U97" s="20" t="n">
        <x:v>3.311</x:v>
      </x:c>
      <x:c r="V97" s="20" t="str">
        <x:v>10 80 FF FF 80 00 28 80</x:v>
      </x:c>
      <x:c r="W97" s="20" t="str">
        <x:v>10 00 FF FF 80 00 28 80</x:v>
      </x:c>
      <x:c r="X97" s="20" t="str">
        <x:v>Camry-only in these captures</x:v>
      </x:c>
    </x:row>
    <x:row r="98">
      <x:c r="A98" s="20" t="str">
        <x:v>0x621</x:v>
      </x:c>
      <x:c r="B98" s="20" t="str">
        <x:v>STD</x:v>
      </x:c>
      <x:c r="C98" s="20" t="n">
        <x:v>0</x:v>
      </x:c>
      <x:c r="D98" s="20" t="n">
        <x:v>0</x:v>
      </x:c>
      <x:c r="E98" s="20" t="str"/>
      <x:c r="F98" s="20" t="str"/>
      <x:c r="G98" s="20" t="str"/>
      <x:c r="H98" s="20" t="str"/>
      <x:c r="I98" s="20" t="str"/>
      <x:c r="J98" s="20" t="n">
        <x:v>0</x:v>
      </x:c>
      <x:c r="K98" s="20" t="n">
        <x:v>0</x:v>
      </x:c>
      <x:c r="L98" s="20" t="str"/>
      <x:c r="M98" s="20" t="str"/>
      <x:c r="N98" s="20" t="str"/>
      <x:c r="O98" s="20" t="str"/>
      <x:c r="P98" s="20" t="str"/>
      <x:c r="Q98" s="20" t="n">
        <x:v>221</x:v>
      </x:c>
      <x:c r="R98" s="20" t="n">
        <x:v>0.0826</x:v>
      </x:c>
      <x:c r="S98" s="20" t="n">
        <x:v>8</x:v>
      </x:c>
      <x:c r="T98" s="20" t="n">
        <x:v>1035.1671</x:v>
      </x:c>
      <x:c r="U98" s="20" t="n">
        <x:v>0.966</x:v>
      </x:c>
      <x:c r="V98" s="20" t="str">
        <x:v>11 00 00 00 00 00 00 00</x:v>
      </x:c>
      <x:c r="W98" s="20" t="str">
        <x:v>11 00 00 00 00 00 00 00</x:v>
      </x:c>
      <x:c r="X98" s="20" t="str">
        <x:v>Camry-only in these captures</x:v>
      </x:c>
    </x:row>
    <x:row r="99">
      <x:c r="A99" s="20" t="str">
        <x:v>0x622</x:v>
      </x:c>
      <x:c r="B99" s="20" t="str">
        <x:v>STD</x:v>
      </x:c>
      <x:c r="C99" s="20" t="n">
        <x:v>0</x:v>
      </x:c>
      <x:c r="D99" s="20" t="n">
        <x:v>0</x:v>
      </x:c>
      <x:c r="E99" s="20" t="str"/>
      <x:c r="F99" s="20" t="str"/>
      <x:c r="G99" s="20" t="str"/>
      <x:c r="H99" s="20" t="str"/>
      <x:c r="I99" s="20" t="str"/>
      <x:c r="J99" s="20" t="n">
        <x:v>0</x:v>
      </x:c>
      <x:c r="K99" s="20" t="n">
        <x:v>0</x:v>
      </x:c>
      <x:c r="L99" s="20" t="str"/>
      <x:c r="M99" s="20" t="str"/>
      <x:c r="N99" s="20" t="str"/>
      <x:c r="O99" s="20" t="str"/>
      <x:c r="P99" s="20" t="str"/>
      <x:c r="Q99" s="20" t="n">
        <x:v>219</x:v>
      </x:c>
      <x:c r="R99" s="20" t="n">
        <x:v>0.0819</x:v>
      </x:c>
      <x:c r="S99" s="20" t="n">
        <x:v>8</x:v>
      </x:c>
      <x:c r="T99" s="20" t="n">
        <x:v>1044.664</x:v>
      </x:c>
      <x:c r="U99" s="20" t="n">
        <x:v>0.957</x:v>
      </x:c>
      <x:c r="V99" s="20" t="str">
        <x:v>12 00 00 00 00 00 00 00</x:v>
      </x:c>
      <x:c r="W99" s="20" t="str">
        <x:v>12 00 00 00 00 00 00 00</x:v>
      </x:c>
      <x:c r="X99" s="20" t="str">
        <x:v>Camry-only in these captures</x:v>
      </x:c>
    </x:row>
    <x:row r="100">
      <x:c r="A100" s="20" t="str">
        <x:v>0x624</x:v>
      </x:c>
      <x:c r="B100" s="20" t="str">
        <x:v>STD</x:v>
      </x:c>
      <x:c r="C100" s="20" t="n">
        <x:v>0</x:v>
      </x:c>
      <x:c r="D100" s="20" t="n">
        <x:v>0</x:v>
      </x:c>
      <x:c r="E100" s="20" t="str"/>
      <x:c r="F100" s="20" t="str"/>
      <x:c r="G100" s="20" t="str"/>
      <x:c r="H100" s="20" t="str"/>
      <x:c r="I100" s="20" t="str"/>
      <x:c r="J100" s="20" t="n">
        <x:v>0</x:v>
      </x:c>
      <x:c r="K100" s="20" t="n">
        <x:v>0</x:v>
      </x:c>
      <x:c r="L100" s="20" t="str"/>
      <x:c r="M100" s="20" t="str"/>
      <x:c r="N100" s="20" t="str"/>
      <x:c r="O100" s="20" t="str"/>
      <x:c r="P100" s="20" t="str"/>
      <x:c r="Q100" s="20" t="n">
        <x:v>219</x:v>
      </x:c>
      <x:c r="R100" s="20" t="n">
        <x:v>0.0819</x:v>
      </x:c>
      <x:c r="S100" s="20" t="n">
        <x:v>8</x:v>
      </x:c>
      <x:c r="T100" s="20" t="n">
        <x:v>1044.664</x:v>
      </x:c>
      <x:c r="U100" s="20" t="n">
        <x:v>0.957</x:v>
      </x:c>
      <x:c r="V100" s="20" t="str">
        <x:v>1A 00 41 49 49 40 00 00</x:v>
      </x:c>
      <x:c r="W100" s="20" t="str">
        <x:v>1A 00 41 49 49 40 00 00</x:v>
      </x:c>
      <x:c r="X100" s="20" t="str">
        <x:v>Camry-only in these captures</x:v>
      </x:c>
    </x:row>
    <x:row r="101">
      <x:c r="A101" s="20" t="str">
        <x:v>0x630</x:v>
      </x:c>
      <x:c r="B101" s="20" t="str">
        <x:v>STD</x:v>
      </x:c>
      <x:c r="C101" s="20" t="n">
        <x:v>0</x:v>
      </x:c>
      <x:c r="D101" s="20" t="n">
        <x:v>0</x:v>
      </x:c>
      <x:c r="E101" s="20" t="str"/>
      <x:c r="F101" s="20" t="str"/>
      <x:c r="G101" s="20" t="str"/>
      <x:c r="H101" s="20" t="str"/>
      <x:c r="I101" s="20" t="str"/>
      <x:c r="J101" s="20" t="n">
        <x:v>0</x:v>
      </x:c>
      <x:c r="K101" s="20" t="n">
        <x:v>0</x:v>
      </x:c>
      <x:c r="L101" s="20" t="str"/>
      <x:c r="M101" s="20" t="str"/>
      <x:c r="N101" s="20" t="str"/>
      <x:c r="O101" s="20" t="str"/>
      <x:c r="P101" s="20" t="str"/>
      <x:c r="Q101" s="20" t="n">
        <x:v>219</x:v>
      </x:c>
      <x:c r="R101" s="20" t="n">
        <x:v>0.0819</x:v>
      </x:c>
      <x:c r="S101" s="20" t="n">
        <x:v>8</x:v>
      </x:c>
      <x:c r="T101" s="20" t="n">
        <x:v>1044.664</x:v>
      </x:c>
      <x:c r="U101" s="20" t="n">
        <x:v>0.957</x:v>
      </x:c>
      <x:c r="V101" s="20" t="str">
        <x:v>17 00 00 00 00 00 00 00</x:v>
      </x:c>
      <x:c r="W101" s="20" t="str">
        <x:v>17 00 00 00 00 00 00 00</x:v>
      </x:c>
      <x:c r="X101" s="20" t="str">
        <x:v>Camry-only in these captures</x:v>
      </x:c>
    </x:row>
    <x:row r="102">
      <x:c r="A102" s="20" t="str">
        <x:v>0x633</x:v>
      </x:c>
      <x:c r="B102" s="20" t="str">
        <x:v>STD</x:v>
      </x:c>
      <x:c r="C102" s="20" t="n">
        <x:v>0</x:v>
      </x:c>
      <x:c r="D102" s="20" t="n">
        <x:v>0</x:v>
      </x:c>
      <x:c r="E102" s="20" t="str"/>
      <x:c r="F102" s="20" t="str"/>
      <x:c r="G102" s="20" t="str"/>
      <x:c r="H102" s="20" t="str"/>
      <x:c r="I102" s="20" t="str"/>
      <x:c r="J102" s="20" t="n">
        <x:v>0</x:v>
      </x:c>
      <x:c r="K102" s="20" t="n">
        <x:v>0</x:v>
      </x:c>
      <x:c r="L102" s="20" t="str"/>
      <x:c r="M102" s="20" t="str"/>
      <x:c r="N102" s="20" t="str"/>
      <x:c r="O102" s="20" t="str"/>
      <x:c r="P102" s="20" t="str"/>
      <x:c r="Q102" s="20" t="n">
        <x:v>221</x:v>
      </x:c>
      <x:c r="R102" s="20" t="n">
        <x:v>0.0826</x:v>
      </x:c>
      <x:c r="S102" s="20" t="n">
        <x:v>8</x:v>
      </x:c>
      <x:c r="T102" s="20" t="n">
        <x:v>1035.1671</x:v>
      </x:c>
      <x:c r="U102" s="20" t="n">
        <x:v>0.966</x:v>
      </x:c>
      <x:c r="V102" s="20" t="str">
        <x:v>81 00 00 00 00 00 00 00</x:v>
      </x:c>
      <x:c r="W102" s="20" t="str">
        <x:v>81 00 00 00 00 00 00 00</x:v>
      </x:c>
      <x:c r="X102" s="20" t="str">
        <x:v>Camry-only in these captures</x:v>
      </x:c>
    </x:row>
    <x:row r="103">
      <x:c r="A103" s="20" t="str">
        <x:v>0x638</x:v>
      </x:c>
      <x:c r="B103" s="20" t="str">
        <x:v>STD</x:v>
      </x:c>
      <x:c r="C103" s="20" t="n">
        <x:v>0</x:v>
      </x:c>
      <x:c r="D103" s="20" t="n">
        <x:v>0</x:v>
      </x:c>
      <x:c r="E103" s="20" t="str"/>
      <x:c r="F103" s="20" t="str"/>
      <x:c r="G103" s="20" t="str"/>
      <x:c r="H103" s="20" t="str"/>
      <x:c r="I103" s="20" t="str"/>
      <x:c r="J103" s="20" t="n">
        <x:v>0</x:v>
      </x:c>
      <x:c r="K103" s="20" t="n">
        <x:v>0</x:v>
      </x:c>
      <x:c r="L103" s="20" t="str"/>
      <x:c r="M103" s="20" t="str"/>
      <x:c r="N103" s="20" t="str"/>
      <x:c r="O103" s="20" t="str"/>
      <x:c r="P103" s="20" t="str"/>
      <x:c r="Q103" s="20" t="n">
        <x:v>222</x:v>
      </x:c>
      <x:c r="R103" s="20" t="n">
        <x:v>0.083</x:v>
      </x:c>
      <x:c r="S103" s="20" t="n">
        <x:v>8</x:v>
      </x:c>
      <x:c r="T103" s="20" t="n">
        <x:v>1030.483</x:v>
      </x:c>
      <x:c r="U103" s="20" t="n">
        <x:v>0.97</x:v>
      </x:c>
      <x:c r="V103" s="20" t="str">
        <x:v>13 00 10 00 00 00 00 00</x:v>
      </x:c>
      <x:c r="W103" s="20" t="str">
        <x:v>13 00 1E 00 00 00 00 00</x:v>
      </x:c>
      <x:c r="X103" s="20" t="str">
        <x:v>Camry-only in these captures</x:v>
      </x:c>
    </x:row>
    <x:row r="104">
      <x:c r="A104" s="20" t="str">
        <x:v>0x09F10262</x:v>
      </x:c>
      <x:c r="B104" s="20" t="str">
        <x:v>EXT</x:v>
      </x:c>
      <x:c r="C104" s="20" t="n">
        <x:v>1</x:v>
      </x:c>
      <x:c r="D104" s="20" t="n">
        <x:v>0.0002</x:v>
      </x:c>
      <x:c r="E104" s="20" t="n">
        <x:v>14</x:v>
      </x:c>
      <x:c r="F104" s="20" t="n">
        <x:v>242854.669</x:v>
      </x:c>
      <x:c r="G104" s="20" t="n">
        <x:v>0.004</x:v>
      </x:c>
      <x:c r="H104" s="20" t="str">
        <x:v>AD F1 00 5D 16 75 07 3A</x:v>
      </x:c>
      <x:c r="I104" s="20" t="str">
        <x:v>AD F1 00 5D 16 75 07 3A</x:v>
      </x:c>
      <x:c r="J104" s="20" t="n">
        <x:v>0</x:v>
      </x:c>
      <x:c r="K104" s="20" t="n">
        <x:v>0</x:v>
      </x:c>
      <x:c r="L104" s="20" t="str"/>
      <x:c r="M104" s="20" t="str"/>
      <x:c r="N104" s="20" t="str"/>
      <x:c r="O104" s="20" t="str"/>
      <x:c r="P104" s="20" t="str"/>
      <x:c r="Q104" s="20" t="n">
        <x:v>0</x:v>
      </x:c>
      <x:c r="R104" s="20" t="n">
        <x:v>0</x:v>
      </x:c>
      <x:c r="S104" s="20" t="str"/>
      <x:c r="T104" s="20" t="str"/>
      <x:c r="U104" s="20" t="str"/>
      <x:c r="V104" s="20" t="str"/>
      <x:c r="W104" s="20" t="str"/>
      <x:c r="X104" s="20" t="str"/>
    </x:row>
  </x:sheetData>
  <x:conditionalFormatting sqref="C2:C104">
    <x:cfRule type="dataBar" priority="1">
      <x:dataBar>
        <x:cfvo type="min"/>
        <x:cfvo type="max"/>
        <x:color rgb="FF4F81BD"/>
      </x:dataBar>
      <x:extLst>
        <x:ext xmlns:x14="http://schemas.microsoft.com/office/spreadsheetml/2009/9/main" uri="{B025F937-C7B1-47D3-B67F-A62EFF666E3E}">
          <x14:id>{DF21F2B5-DFBC-3150-2D76-6D4BF6EBC15B}</x14:id>
        </x:ext>
      </x:extLst>
    </x:cfRule>
  </x:conditionalFormatting>
  <x:conditionalFormatting sqref="J2:J104">
    <x:cfRule type="dataBar" priority="2">
      <x:dataBar>
        <x:cfvo type="min"/>
        <x:cfvo type="max"/>
        <x:color rgb="FF4F81BD"/>
      </x:dataBar>
      <x:extLst>
        <x:ext xmlns:x14="http://schemas.microsoft.com/office/spreadsheetml/2009/9/main" uri="{B025F937-C7B1-47D3-B67F-A62EFF666E3E}">
          <x14:id>{EBB4B6C9-85A9-34D9-5EB4-936D5B6107A4}</x14:id>
        </x:ext>
      </x:extLst>
    </x:cfRule>
  </x:conditionalFormatting>
  <x:conditionalFormatting sqref="Q2:Q104">
    <x:cfRule type="dataBar" priority="3">
      <x:dataBar>
        <x:cfvo type="min"/>
        <x:cfvo type="max"/>
        <x:color rgb="FF4F81BD"/>
      </x:dataBar>
      <x:extLst>
        <x:ext xmlns:x14="http://schemas.microsoft.com/office/spreadsheetml/2009/9/main" uri="{B025F937-C7B1-47D3-B67F-A62EFF666E3E}">
          <x14:id>{C5869F65-06BB-1525-70B7-4BC6CE490C39}</x14:id>
        </x:ext>
      </x:extLst>
    </x:cfRule>
  </x:conditionalFormatting>
  <x:pageMargins left="0.7" right="0.7" top="0.75" bottom="0.75" header="0.3" footer="0.3"/>
  <x:tableParts count="1">
    <x:tablePart xmlns:r="http://schemas.openxmlformats.org/officeDocument/2006/relationships" r:id="R1c7d732708844d50"/>
  </x:tableParts>
  <x:extLst>
    <x:ext xmlns:x14="http://schemas.microsoft.com/office/spreadsheetml/2009/9/main" xmlns:xm="http://schemas.microsoft.com/office/excel/2006/main" uri="{78C0D931-6437-407d-A8EE-F0AAD7539E65}">
      <x14:conditionalFormattings>
        <x14:conditionalFormatting>
          <x14:cfRule type="dataBar" priority="1" id="{DF21F2B5-DFBC-3150-2D76-6D4BF6EBC15B}">
            <x14:dataBar gradient="1">
              <x14:cfvo type="min"/>
              <x14:cfvo type="max"/>
              <x14:fillColor rgb="FF4F81BD"/>
            </x14:dataBar>
          </x14:cfRule>
          <xm:sqref>C2:C104</xm:sqref>
        </x14:conditionalFormatting>
        <x14:conditionalFormatting>
          <x14:cfRule type="dataBar" priority="2" id="{EBB4B6C9-85A9-34D9-5EB4-936D5B6107A4}">
            <x14:dataBar gradient="1">
              <x14:cfvo type="min"/>
              <x14:cfvo type="max"/>
              <x14:fillColor rgb="FF4F81BD"/>
            </x14:dataBar>
          </x14:cfRule>
          <xm:sqref>J2:J104</xm:sqref>
        </x14:conditionalFormatting>
        <x14:conditionalFormatting>
          <x14:cfRule type="dataBar" priority="3" id="{C5869F65-06BB-1525-70B7-4BC6CE490C39}">
            <x14:dataBar gradient="1">
              <x14:cfvo type="min"/>
              <x14:cfvo type="max"/>
              <x14:fillColor rgb="FF4F81BD"/>
            </x14:dataBar>
          </x14:cfRule>
          <xm:sqref>Q2:Q104</xm:sqref>
        </x14:conditionalFormatting>
      </x14:conditionalFormattings>
    </x:ext>
  </x:extLst>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0" hidden="0" customWidth="1"/>
    <x:col min="5" max="5" width="55" hidden="0" customWidth="1"/>
  </x:cols>
  <x:sheetData>
    <x:row r="1">
      <x:c r="A1" s="14" t="str">
        <x:v>CAN ID</x:v>
      </x:c>
      <x:c r="B1" s="14" t="str">
        <x:v>Presence Class</x:v>
      </x:c>
      <x:c r="C1" s="14" t="str">
        <x:v>Prius Drive 02 Frames</x:v>
      </x:c>
      <x:c r="D1" s="14" t="str">
        <x:v>Camry Drive 01 Frames</x:v>
      </x:c>
      <x:c r="E1" s="14" t="str">
        <x:v>Interpretation Rule</x:v>
      </x:c>
    </x:row>
    <x:row r="2">
      <x:c r="A2" s="20" t="str">
        <x:v>0x020</x:v>
      </x:c>
      <x:c r="B2" s="20" t="str">
        <x:v>Common</x:v>
      </x:c>
      <x:c r="C2" s="20" t="n">
        <x:v>17833</x:v>
      </x:c>
      <x:c r="D2" s="20" t="n">
        <x:v>16824</x:v>
      </x:c>
      <x:c r="E2" s="20" t="str">
        <x:v>Shared ID only; do NOT assume identical payload meaning without validation</x:v>
      </x:c>
    </x:row>
    <x:row r="3">
      <x:c r="A3" s="20" t="str">
        <x:v>0x022</x:v>
      </x:c>
      <x:c r="B3" s="20" t="str">
        <x:v>Common</x:v>
      </x:c>
      <x:c r="C3" s="20" t="n">
        <x:v>17832</x:v>
      </x:c>
      <x:c r="D3" s="20" t="n">
        <x:v>16808</x:v>
      </x:c>
      <x:c r="E3" s="20" t="str">
        <x:v>Shared ID only; do NOT assume identical payload meaning without validation</x:v>
      </x:c>
    </x:row>
    <x:row r="4">
      <x:c r="A4" s="20" t="str">
        <x:v>0x023</x:v>
      </x:c>
      <x:c r="B4" s="20" t="str">
        <x:v>Common</x:v>
      </x:c>
      <x:c r="C4" s="20" t="n">
        <x:v>17832</x:v>
      </x:c>
      <x:c r="D4" s="20" t="n">
        <x:v>16808</x:v>
      </x:c>
      <x:c r="E4" s="20" t="str">
        <x:v>Shared ID only; do NOT assume identical payload meaning without validation</x:v>
      </x:c>
    </x:row>
    <x:row r="5">
      <x:c r="A5" s="20" t="str">
        <x:v>0x025</x:v>
      </x:c>
      <x:c r="B5" s="20" t="str">
        <x:v>Common</x:v>
      </x:c>
      <x:c r="C5" s="20" t="n">
        <x:v>17849</x:v>
      </x:c>
      <x:c r="D5" s="20" t="n">
        <x:v>16819</x:v>
      </x:c>
      <x:c r="E5" s="20" t="str">
        <x:v>Shared ID only; do NOT assume identical payload meaning without validation</x:v>
      </x:c>
    </x:row>
    <x:row r="6">
      <x:c r="A6" s="20" t="str">
        <x:v>0x0B4</x:v>
      </x:c>
      <x:c r="B6" s="20" t="str">
        <x:v>Common</x:v>
      </x:c>
      <x:c r="C6" s="20" t="n">
        <x:v>17833</x:v>
      </x:c>
      <x:c r="D6" s="20" t="n">
        <x:v>16824</x:v>
      </x:c>
      <x:c r="E6" s="20" t="str">
        <x:v>Shared ID only; do NOT assume identical payload meaning without validation</x:v>
      </x:c>
    </x:row>
    <x:row r="7">
      <x:c r="A7" s="20" t="str">
        <x:v>0x120</x:v>
      </x:c>
      <x:c r="B7" s="20" t="str">
        <x:v>Common</x:v>
      </x:c>
      <x:c r="C7" s="20" t="n">
        <x:v>13429</x:v>
      </x:c>
      <x:c r="D7" s="20" t="n">
        <x:v>12351</x:v>
      </x:c>
      <x:c r="E7" s="20" t="str">
        <x:v>Shared ID only; do NOT assume identical payload meaning without validation</x:v>
      </x:c>
    </x:row>
    <x:row r="8">
      <x:c r="A8" s="20" t="str">
        <x:v>0x230</x:v>
      </x:c>
      <x:c r="B8" s="20" t="str">
        <x:v>Common</x:v>
      </x:c>
      <x:c r="C8" s="20" t="n">
        <x:v>8917</x:v>
      </x:c>
      <x:c r="D8" s="20" t="n">
        <x:v>8412</x:v>
      </x:c>
      <x:c r="E8" s="20" t="str">
        <x:v>Shared ID only; do NOT assume identical payload meaning without validation</x:v>
      </x:c>
    </x:row>
    <x:row r="9">
      <x:c r="A9" s="20" t="str">
        <x:v>0x244</x:v>
      </x:c>
      <x:c r="B9" s="20" t="str">
        <x:v>Common</x:v>
      </x:c>
      <x:c r="C9" s="20" t="n">
        <x:v>8952</x:v>
      </x:c>
      <x:c r="D9" s="20" t="n">
        <x:v>8592</x:v>
      </x:c>
      <x:c r="E9" s="20" t="str">
        <x:v>Shared ID only; do NOT assume identical payload meaning without validation</x:v>
      </x:c>
    </x:row>
    <x:row r="10">
      <x:c r="A10" s="20" t="str">
        <x:v>0x3CF</x:v>
      </x:c>
      <x:c r="B10" s="20" t="str">
        <x:v>Common</x:v>
      </x:c>
      <x:c r="C10" s="20" t="n">
        <x:v>1664</x:v>
      </x:c>
      <x:c r="D10" s="20" t="n">
        <x:v>1545</x:v>
      </x:c>
      <x:c r="E10" s="20" t="str">
        <x:v>Shared ID only; do NOT assume identical payload meaning without validation</x:v>
      </x:c>
    </x:row>
    <x:row r="11">
      <x:c r="A11" s="20" t="str">
        <x:v>0x423</x:v>
      </x:c>
      <x:c r="B11" s="20" t="str">
        <x:v>Common</x:v>
      </x:c>
      <x:c r="C11" s="20" t="n">
        <x:v>217</x:v>
      </x:c>
      <x:c r="D11" s="20" t="n">
        <x:v>200</x:v>
      </x:c>
      <x:c r="E11" s="20" t="str">
        <x:v>Shared ID only; do NOT assume identical payload meaning without validation</x:v>
      </x:c>
    </x:row>
    <x:row r="12">
      <x:c r="A12" s="20" t="str">
        <x:v>0x4C1</x:v>
      </x:c>
      <x:c r="B12" s="20" t="str">
        <x:v>Common</x:v>
      </x:c>
      <x:c r="C12" s="20" t="n">
        <x:v>240</x:v>
      </x:c>
      <x:c r="D12" s="20" t="n">
        <x:v>223</x:v>
      </x:c>
      <x:c r="E12" s="20" t="str">
        <x:v>Shared ID only; do NOT assume identical payload meaning without validation</x:v>
      </x:c>
    </x:row>
    <x:row r="13">
      <x:c r="A13" s="20" t="str">
        <x:v>0x4C3</x:v>
      </x:c>
      <x:c r="B13" s="20" t="str">
        <x:v>Common</x:v>
      </x:c>
      <x:c r="C13" s="20" t="n">
        <x:v>231</x:v>
      </x:c>
      <x:c r="D13" s="20" t="n">
        <x:v>219</x:v>
      </x:c>
      <x:c r="E13" s="20" t="str">
        <x:v>Shared ID only; do NOT assume identical payload meaning without validation</x:v>
      </x:c>
    </x:row>
    <x:row r="14">
      <x:c r="A14" s="20" t="str">
        <x:v>0x4C6</x:v>
      </x:c>
      <x:c r="B14" s="20" t="str">
        <x:v>Common</x:v>
      </x:c>
      <x:c r="C14" s="20" t="n">
        <x:v>228</x:v>
      </x:c>
      <x:c r="D14" s="20" t="n">
        <x:v>212</x:v>
      </x:c>
      <x:c r="E14" s="20" t="str">
        <x:v>Shared ID only; do NOT assume identical payload meaning without validation</x:v>
      </x:c>
    </x:row>
    <x:row r="15">
      <x:c r="A15" s="20" t="str">
        <x:v>0x4C7</x:v>
      </x:c>
      <x:c r="B15" s="20" t="str">
        <x:v>Common</x:v>
      </x:c>
      <x:c r="C15" s="20" t="n">
        <x:v>225</x:v>
      </x:c>
      <x:c r="D15" s="20" t="n">
        <x:v>209</x:v>
      </x:c>
      <x:c r="E15" s="20" t="str">
        <x:v>Shared ID only; do NOT assume identical payload meaning without validation</x:v>
      </x:c>
    </x:row>
    <x:row r="16">
      <x:c r="A16" s="20" t="str">
        <x:v>0x4C8</x:v>
      </x:c>
      <x:c r="B16" s="20" t="str">
        <x:v>Common</x:v>
      </x:c>
      <x:c r="C16" s="20" t="n">
        <x:v>223</x:v>
      </x:c>
      <x:c r="D16" s="20" t="n">
        <x:v>205</x:v>
      </x:c>
      <x:c r="E16" s="20" t="str">
        <x:v>Shared ID only; do NOT assume identical payload meaning without validation</x:v>
      </x:c>
    </x:row>
    <x:row r="17">
      <x:c r="A17" s="20" t="str">
        <x:v>0x4D0</x:v>
      </x:c>
      <x:c r="B17" s="20" t="str">
        <x:v>Common</x:v>
      </x:c>
      <x:c r="C17" s="20" t="n">
        <x:v>210</x:v>
      </x:c>
      <x:c r="D17" s="20" t="n">
        <x:v>193</x:v>
      </x:c>
      <x:c r="E17" s="20" t="str">
        <x:v>Shared ID only; do NOT assume identical payload meaning without validation</x:v>
      </x:c>
    </x:row>
    <x:row r="18">
      <x:c r="A18" s="20" t="str">
        <x:v>0x030</x:v>
      </x:c>
      <x:c r="B18" s="20" t="str">
        <x:v>Prius-only in these captures</x:v>
      </x:c>
      <x:c r="C18" s="20" t="n">
        <x:v>35664</x:v>
      </x:c>
      <x:c r="D18" s="20" t="n">
        <x:v>0</x:v>
      </x:c>
      <x:c r="E18" s="20" t="str">
        <x:v>Observed in 2004 Prius drive capture; absent in first Camry capture</x:v>
      </x:c>
    </x:row>
    <x:row r="19">
      <x:c r="A19" s="20" t="str">
        <x:v>0x038</x:v>
      </x:c>
      <x:c r="B19" s="20" t="str">
        <x:v>Prius-only in these captures</x:v>
      </x:c>
      <x:c r="C19" s="20" t="n">
        <x:v>26858</x:v>
      </x:c>
      <x:c r="D19" s="20" t="n">
        <x:v>0</x:v>
      </x:c>
      <x:c r="E19" s="20" t="str">
        <x:v>Observed in 2004 Prius drive capture; absent in first Camry capture</x:v>
      </x:c>
    </x:row>
    <x:row r="20">
      <x:c r="A20" s="20" t="str">
        <x:v>0x039</x:v>
      </x:c>
      <x:c r="B20" s="20" t="str">
        <x:v>Prius-only in these captures</x:v>
      </x:c>
      <x:c r="C20" s="20" t="n">
        <x:v>26617</x:v>
      </x:c>
      <x:c r="D20" s="20" t="n">
        <x:v>0</x:v>
      </x:c>
      <x:c r="E20" s="20" t="str">
        <x:v>Observed in 2004 Prius drive capture; absent in first Camry capture</x:v>
      </x:c>
    </x:row>
    <x:row r="21">
      <x:c r="A21" s="20" t="str">
        <x:v>0x03A</x:v>
      </x:c>
      <x:c r="B21" s="20" t="str">
        <x:v>Prius-only in these captures</x:v>
      </x:c>
      <x:c r="C21" s="20" t="n">
        <x:v>26858</x:v>
      </x:c>
      <x:c r="D21" s="20" t="n">
        <x:v>0</x:v>
      </x:c>
      <x:c r="E21" s="20" t="str">
        <x:v>Observed in 2004 Prius drive capture; absent in first Camry capture</x:v>
      </x:c>
    </x:row>
    <x:row r="22">
      <x:c r="A22" s="20" t="str">
        <x:v>0x03B</x:v>
      </x:c>
      <x:c r="B22" s="20" t="str">
        <x:v>Prius-only in these captures</x:v>
      </x:c>
      <x:c r="C22" s="20" t="n">
        <x:v>27637</x:v>
      </x:c>
      <x:c r="D22" s="20" t="n">
        <x:v>0</x:v>
      </x:c>
      <x:c r="E22" s="20" t="str">
        <x:v>Observed in 2004 Prius drive capture; absent in first Camry capture</x:v>
      </x:c>
    </x:row>
    <x:row r="23">
      <x:c r="A23" s="20" t="str">
        <x:v>0x03E</x:v>
      </x:c>
      <x:c r="B23" s="20" t="str">
        <x:v>Prius-only in these captures</x:v>
      </x:c>
      <x:c r="C23" s="20" t="n">
        <x:v>26858</x:v>
      </x:c>
      <x:c r="D23" s="20" t="n">
        <x:v>0</x:v>
      </x:c>
      <x:c r="E23" s="20" t="str">
        <x:v>Observed in 2004 Prius drive capture; absent in first Camry capture</x:v>
      </x:c>
    </x:row>
    <x:row r="24">
      <x:c r="A24" s="20" t="str">
        <x:v>0x0B1</x:v>
      </x:c>
      <x:c r="B24" s="20" t="str">
        <x:v>Prius-only in these captures</x:v>
      </x:c>
      <x:c r="C24" s="20" t="n">
        <x:v>17833</x:v>
      </x:c>
      <x:c r="D24" s="20" t="n">
        <x:v>0</x:v>
      </x:c>
      <x:c r="E24" s="20" t="str">
        <x:v>Observed in 2004 Prius drive capture; absent in first Camry capture</x:v>
      </x:c>
    </x:row>
    <x:row r="25">
      <x:c r="A25" s="20" t="str">
        <x:v>0x0B3</x:v>
      </x:c>
      <x:c r="B25" s="20" t="str">
        <x:v>Prius-only in these captures</x:v>
      </x:c>
      <x:c r="C25" s="20" t="n">
        <x:v>17831</x:v>
      </x:c>
      <x:c r="D25" s="20" t="n">
        <x:v>0</x:v>
      </x:c>
      <x:c r="E25" s="20" t="str">
        <x:v>Observed in 2004 Prius drive capture; absent in first Camry capture</x:v>
      </x:c>
    </x:row>
    <x:row r="26">
      <x:c r="A26" s="20" t="str">
        <x:v>0x262</x:v>
      </x:c>
      <x:c r="B26" s="20" t="str">
        <x:v>Prius-only in these captures</x:v>
      </x:c>
      <x:c r="C26" s="20" t="n">
        <x:v>10918</x:v>
      </x:c>
      <x:c r="D26" s="20" t="n">
        <x:v>0</x:v>
      </x:c>
      <x:c r="E26" s="20" t="str">
        <x:v>Observed in 2004 Prius drive capture; absent in first Camry capture</x:v>
      </x:c>
    </x:row>
    <x:row r="27">
      <x:c r="A27" s="20" t="str">
        <x:v>0x348</x:v>
      </x:c>
      <x:c r="B27" s="20" t="str">
        <x:v>Prius-only in these captures</x:v>
      </x:c>
      <x:c r="C27" s="20" t="n">
        <x:v>5372</x:v>
      </x:c>
      <x:c r="D27" s="20" t="n">
        <x:v>0</x:v>
      </x:c>
      <x:c r="E27" s="20" t="str">
        <x:v>Observed in 2004 Prius drive capture; absent in first Camry capture</x:v>
      </x:c>
    </x:row>
    <x:row r="28">
      <x:c r="A28" s="20" t="str">
        <x:v>0x3C8</x:v>
      </x:c>
      <x:c r="B28" s="20" t="str">
        <x:v>Prius-only in these captures</x:v>
      </x:c>
      <x:c r="C28" s="20" t="n">
        <x:v>3327</x:v>
      </x:c>
      <x:c r="D28" s="20" t="n">
        <x:v>0</x:v>
      </x:c>
      <x:c r="E28" s="20" t="str">
        <x:v>Observed in 2004 Prius drive capture; absent in first Camry capture</x:v>
      </x:c>
    </x:row>
    <x:row r="29">
      <x:c r="A29" s="20" t="str">
        <x:v>0x3C9</x:v>
      </x:c>
      <x:c r="B29" s="20" t="str">
        <x:v>Prius-only in these captures</x:v>
      </x:c>
      <x:c r="C29" s="20" t="n">
        <x:v>2211</x:v>
      </x:c>
      <x:c r="D29" s="20" t="n">
        <x:v>0</x:v>
      </x:c>
      <x:c r="E29" s="20" t="str">
        <x:v>Observed in 2004 Prius drive capture; absent in first Camry capture</x:v>
      </x:c>
    </x:row>
    <x:row r="30">
      <x:c r="A30" s="20" t="str">
        <x:v>0x3CA</x:v>
      </x:c>
      <x:c r="B30" s="20" t="str">
        <x:v>Prius-only in these captures</x:v>
      </x:c>
      <x:c r="C30" s="20" t="n">
        <x:v>2193</x:v>
      </x:c>
      <x:c r="D30" s="20" t="n">
        <x:v>0</x:v>
      </x:c>
      <x:c r="E30" s="20" t="str">
        <x:v>Observed in 2004 Prius drive capture; absent in first Camry capture</x:v>
      </x:c>
    </x:row>
    <x:row r="31">
      <x:c r="A31" s="20" t="str">
        <x:v>0x3CB</x:v>
      </x:c>
      <x:c r="B31" s="20" t="str">
        <x:v>Prius-only in these captures</x:v>
      </x:c>
      <x:c r="C31" s="20" t="n">
        <x:v>2211</x:v>
      </x:c>
      <x:c r="D31" s="20" t="n">
        <x:v>0</x:v>
      </x:c>
      <x:c r="E31" s="20" t="str">
        <x:v>Observed in 2004 Prius drive capture; absent in first Camry capture</x:v>
      </x:c>
    </x:row>
    <x:row r="32">
      <x:c r="A32" s="20" t="str">
        <x:v>0x3CD</x:v>
      </x:c>
      <x:c r="B32" s="20" t="str">
        <x:v>Prius-only in these captures</x:v>
      </x:c>
      <x:c r="C32" s="20" t="n">
        <x:v>2211</x:v>
      </x:c>
      <x:c r="D32" s="20" t="n">
        <x:v>0</x:v>
      </x:c>
      <x:c r="E32" s="20" t="str">
        <x:v>Observed in 2004 Prius drive capture; absent in first Camry capture</x:v>
      </x:c>
    </x:row>
    <x:row r="33">
      <x:c r="A33" s="20" t="str">
        <x:v>0x484</x:v>
      </x:c>
      <x:c r="B33" s="20" t="str">
        <x:v>Prius-only in these captures</x:v>
      </x:c>
      <x:c r="C33" s="20" t="n">
        <x:v>218</x:v>
      </x:c>
      <x:c r="D33" s="20" t="n">
        <x:v>0</x:v>
      </x:c>
      <x:c r="E33" s="20" t="str">
        <x:v>Observed in 2004 Prius drive capture; absent in first Camry capture</x:v>
      </x:c>
    </x:row>
    <x:row r="34">
      <x:c r="A34" s="20" t="str">
        <x:v>0x4CE</x:v>
      </x:c>
      <x:c r="B34" s="20" t="str">
        <x:v>Prius-only in these captures</x:v>
      </x:c>
      <x:c r="C34" s="20" t="n">
        <x:v>211</x:v>
      </x:c>
      <x:c r="D34" s="20" t="n">
        <x:v>0</x:v>
      </x:c>
      <x:c r="E34" s="20" t="str">
        <x:v>Observed in 2004 Prius drive capture; absent in first Camry capture</x:v>
      </x:c>
    </x:row>
    <x:row r="35">
      <x:c r="A35" s="20" t="str">
        <x:v>0x4D1</x:v>
      </x:c>
      <x:c r="B35" s="20" t="str">
        <x:v>Prius-only in these captures</x:v>
      </x:c>
      <x:c r="C35" s="20" t="n">
        <x:v>209</x:v>
      </x:c>
      <x:c r="D35" s="20" t="n">
        <x:v>0</x:v>
      </x:c>
      <x:c r="E35" s="20" t="str">
        <x:v>Observed in 2004 Prius drive capture; absent in first Camry capture</x:v>
      </x:c>
    </x:row>
    <x:row r="36">
      <x:c r="A36" s="20" t="str">
        <x:v>0x520</x:v>
      </x:c>
      <x:c r="B36" s="20" t="str">
        <x:v>Prius-only in these captures</x:v>
      </x:c>
      <x:c r="C36" s="20" t="n">
        <x:v>99</x:v>
      </x:c>
      <x:c r="D36" s="20" t="n">
        <x:v>0</x:v>
      </x:c>
      <x:c r="E36" s="20" t="str">
        <x:v>Observed in 2004 Prius drive capture; absent in first Camry capture</x:v>
      </x:c>
    </x:row>
    <x:row r="37">
      <x:c r="A37" s="20" t="str">
        <x:v>0x521</x:v>
      </x:c>
      <x:c r="B37" s="20" t="str">
        <x:v>Prius-only in these captures</x:v>
      </x:c>
      <x:c r="C37" s="20" t="n">
        <x:v>728</x:v>
      </x:c>
      <x:c r="D37" s="20" t="n">
        <x:v>0</x:v>
      </x:c>
      <x:c r="E37" s="20" t="str">
        <x:v>Observed in 2004 Prius drive capture; absent in first Camry capture</x:v>
      </x:c>
    </x:row>
    <x:row r="38">
      <x:c r="A38" s="20" t="str">
        <x:v>0x526</x:v>
      </x:c>
      <x:c r="B38" s="20" t="str">
        <x:v>Prius-only in these captures</x:v>
      </x:c>
      <x:c r="C38" s="20" t="n">
        <x:v>436</x:v>
      </x:c>
      <x:c r="D38" s="20" t="n">
        <x:v>0</x:v>
      </x:c>
      <x:c r="E38" s="20" t="str">
        <x:v>Observed in 2004 Prius drive capture; absent in first Camry capture</x:v>
      </x:c>
    </x:row>
    <x:row r="39">
      <x:c r="A39" s="20" t="str">
        <x:v>0x527</x:v>
      </x:c>
      <x:c r="B39" s="20" t="str">
        <x:v>Prius-only in these captures</x:v>
      </x:c>
      <x:c r="C39" s="20" t="n">
        <x:v>222</x:v>
      </x:c>
      <x:c r="D39" s="20" t="n">
        <x:v>0</x:v>
      </x:c>
      <x:c r="E39" s="20" t="str">
        <x:v>Observed in 2004 Prius drive capture; absent in first Camry capture</x:v>
      </x:c>
    </x:row>
    <x:row r="40">
      <x:c r="A40" s="20" t="str">
        <x:v>0x528</x:v>
      </x:c>
      <x:c r="B40" s="20" t="str">
        <x:v>Prius-only in these captures</x:v>
      </x:c>
      <x:c r="C40" s="20" t="n">
        <x:v>441</x:v>
      </x:c>
      <x:c r="D40" s="20" t="n">
        <x:v>0</x:v>
      </x:c>
      <x:c r="E40" s="20" t="str">
        <x:v>Observed in 2004 Prius drive capture; absent in first Camry capture</x:v>
      </x:c>
    </x:row>
    <x:row r="41">
      <x:c r="A41" s="20" t="str">
        <x:v>0x529</x:v>
      </x:c>
      <x:c r="B41" s="20" t="str">
        <x:v>Prius-only in these captures</x:v>
      </x:c>
      <x:c r="C41" s="20" t="n">
        <x:v>245</x:v>
      </x:c>
      <x:c r="D41" s="20" t="n">
        <x:v>0</x:v>
      </x:c>
      <x:c r="E41" s="20" t="str">
        <x:v>Observed in 2004 Prius drive capture; absent in first Camry capture</x:v>
      </x:c>
    </x:row>
    <x:row r="42">
      <x:c r="A42" s="20" t="str">
        <x:v>0x52C</x:v>
      </x:c>
      <x:c r="B42" s="20" t="str">
        <x:v>Prius-only in these captures</x:v>
      </x:c>
      <x:c r="C42" s="20" t="n">
        <x:v>218</x:v>
      </x:c>
      <x:c r="D42" s="20" t="n">
        <x:v>0</x:v>
      </x:c>
      <x:c r="E42" s="20" t="str">
        <x:v>Observed in 2004 Prius drive capture; absent in first Camry capture</x:v>
      </x:c>
    </x:row>
    <x:row r="43">
      <x:c r="A43" s="20" t="str">
        <x:v>0x540</x:v>
      </x:c>
      <x:c r="B43" s="20" t="str">
        <x:v>Prius-only in these captures</x:v>
      </x:c>
      <x:c r="C43" s="20" t="n">
        <x:v>224</x:v>
      </x:c>
      <x:c r="D43" s="20" t="n">
        <x:v>0</x:v>
      </x:c>
      <x:c r="E43" s="20" t="str">
        <x:v>Observed in 2004 Prius drive capture; absent in first Camry capture</x:v>
      </x:c>
    </x:row>
    <x:row r="44">
      <x:c r="A44" s="20" t="str">
        <x:v>0x553</x:v>
      </x:c>
      <x:c r="B44" s="20" t="str">
        <x:v>Prius-only in these captures</x:v>
      </x:c>
      <x:c r="C44" s="20" t="n">
        <x:v>219</x:v>
      </x:c>
      <x:c r="D44" s="20" t="n">
        <x:v>0</x:v>
      </x:c>
      <x:c r="E44" s="20" t="str">
        <x:v>Observed in 2004 Prius drive capture; absent in first Camry capture</x:v>
      </x:c>
    </x:row>
    <x:row r="45">
      <x:c r="A45" s="20" t="str">
        <x:v>0x554</x:v>
      </x:c>
      <x:c r="B45" s="20" t="str">
        <x:v>Prius-only in these captures</x:v>
      </x:c>
      <x:c r="C45" s="20" t="n">
        <x:v>219</x:v>
      </x:c>
      <x:c r="D45" s="20" t="n">
        <x:v>0</x:v>
      </x:c>
      <x:c r="E45" s="20" t="str">
        <x:v>Observed in 2004 Prius drive capture; absent in first Camry capture</x:v>
      </x:c>
    </x:row>
    <x:row r="46">
      <x:c r="A46" s="20" t="str">
        <x:v>0x56D</x:v>
      </x:c>
      <x:c r="B46" s="20" t="str">
        <x:v>Prius-only in these captures</x:v>
      </x:c>
      <x:c r="C46" s="20" t="n">
        <x:v>220</x:v>
      </x:c>
      <x:c r="D46" s="20" t="n">
        <x:v>0</x:v>
      </x:c>
      <x:c r="E46" s="20" t="str">
        <x:v>Observed in 2004 Prius drive capture; absent in first Camry capture</x:v>
      </x:c>
    </x:row>
    <x:row r="47">
      <x:c r="A47" s="20" t="str">
        <x:v>0x57F</x:v>
      </x:c>
      <x:c r="B47" s="20" t="str">
        <x:v>Prius-only in these captures</x:v>
      </x:c>
      <x:c r="C47" s="20" t="n">
        <x:v>219</x:v>
      </x:c>
      <x:c r="D47" s="20" t="n">
        <x:v>0</x:v>
      </x:c>
      <x:c r="E47" s="20" t="str">
        <x:v>Observed in 2004 Prius drive capture; absent in first Camry capture</x:v>
      </x:c>
    </x:row>
    <x:row r="48">
      <x:c r="A48" s="20" t="str">
        <x:v>0x591</x:v>
      </x:c>
      <x:c r="B48" s="20" t="str">
        <x:v>Prius-only in these captures</x:v>
      </x:c>
      <x:c r="C48" s="20" t="n">
        <x:v>714</x:v>
      </x:c>
      <x:c r="D48" s="20" t="n">
        <x:v>0</x:v>
      </x:c>
      <x:c r="E48" s="20" t="str">
        <x:v>Observed in 2004 Prius drive capture; absent in first Camry capture</x:v>
      </x:c>
    </x:row>
    <x:row r="49">
      <x:c r="A49" s="20" t="str">
        <x:v>0x5A4</x:v>
      </x:c>
      <x:c r="B49" s="20" t="str">
        <x:v>Prius-only in these captures</x:v>
      </x:c>
      <x:c r="C49" s="20" t="n">
        <x:v>68</x:v>
      </x:c>
      <x:c r="D49" s="20" t="n">
        <x:v>0</x:v>
      </x:c>
      <x:c r="E49" s="20" t="str">
        <x:v>Observed in 2004 Prius drive capture; absent in first Camry capture</x:v>
      </x:c>
    </x:row>
    <x:row r="50">
      <x:c r="A50" s="20" t="str">
        <x:v>0x5B2</x:v>
      </x:c>
      <x:c r="B50" s="20" t="str">
        <x:v>Prius-only in these captures</x:v>
      </x:c>
      <x:c r="C50" s="20" t="n">
        <x:v>45</x:v>
      </x:c>
      <x:c r="D50" s="20" t="n">
        <x:v>0</x:v>
      </x:c>
      <x:c r="E50" s="20" t="str">
        <x:v>Observed in 2004 Prius drive capture; absent in first Camry capture</x:v>
      </x:c>
    </x:row>
    <x:row r="51">
      <x:c r="A51" s="20" t="str">
        <x:v>0x5B6</x:v>
      </x:c>
      <x:c r="B51" s="20" t="str">
        <x:v>Prius-only in these captures</x:v>
      </x:c>
      <x:c r="C51" s="20" t="n">
        <x:v>219</x:v>
      </x:c>
      <x:c r="D51" s="20" t="n">
        <x:v>0</x:v>
      </x:c>
      <x:c r="E51" s="20" t="str">
        <x:v>Observed in 2004 Prius drive capture; absent in first Camry capture</x:v>
      </x:c>
    </x:row>
    <x:row r="52">
      <x:c r="A52" s="20" t="str">
        <x:v>0x5C8</x:v>
      </x:c>
      <x:c r="B52" s="20" t="str">
        <x:v>Prius-only in these captures</x:v>
      </x:c>
      <x:c r="C52" s="20" t="n">
        <x:v>221</x:v>
      </x:c>
      <x:c r="D52" s="20" t="n">
        <x:v>0</x:v>
      </x:c>
      <x:c r="E52" s="20" t="str">
        <x:v>Observed in 2004 Prius drive capture; absent in first Camry capture</x:v>
      </x:c>
    </x:row>
    <x:row r="53">
      <x:c r="A53" s="20" t="str">
        <x:v>0x5CC</x:v>
      </x:c>
      <x:c r="B53" s="20" t="str">
        <x:v>Prius-only in these captures</x:v>
      </x:c>
      <x:c r="C53" s="20" t="n">
        <x:v>851</x:v>
      </x:c>
      <x:c r="D53" s="20" t="n">
        <x:v>0</x:v>
      </x:c>
      <x:c r="E53" s="20" t="str">
        <x:v>Observed in 2004 Prius drive capture; absent in first Camry capture</x:v>
      </x:c>
    </x:row>
    <x:row r="54">
      <x:c r="A54" s="20" t="str">
        <x:v>0x5D4</x:v>
      </x:c>
      <x:c r="B54" s="20" t="str">
        <x:v>Prius-only in these captures</x:v>
      </x:c>
      <x:c r="C54" s="20" t="n">
        <x:v>218</x:v>
      </x:c>
      <x:c r="D54" s="20" t="n">
        <x:v>0</x:v>
      </x:c>
      <x:c r="E54" s="20" t="str">
        <x:v>Observed in 2004 Prius drive capture; absent in first Camry capture</x:v>
      </x:c>
    </x:row>
    <x:row r="55">
      <x:c r="A55" s="20" t="str">
        <x:v>0x5EC</x:v>
      </x:c>
      <x:c r="B55" s="20" t="str">
        <x:v>Prius-only in these captures</x:v>
      </x:c>
      <x:c r="C55" s="20" t="n">
        <x:v>441</x:v>
      </x:c>
      <x:c r="D55" s="20" t="n">
        <x:v>0</x:v>
      </x:c>
      <x:c r="E55" s="20" t="str">
        <x:v>Observed in 2004 Prius drive capture; absent in first Camry capture</x:v>
      </x:c>
    </x:row>
    <x:row r="56">
      <x:c r="A56" s="20" t="str">
        <x:v>0x5ED</x:v>
      </x:c>
      <x:c r="B56" s="20" t="str">
        <x:v>Prius-only in these captures</x:v>
      </x:c>
      <x:c r="C56" s="20" t="n">
        <x:v>226</x:v>
      </x:c>
      <x:c r="D56" s="20" t="n">
        <x:v>0</x:v>
      </x:c>
      <x:c r="E56" s="20" t="str">
        <x:v>Observed in 2004 Prius drive capture; absent in first Camry capture</x:v>
      </x:c>
    </x:row>
    <x:row r="57">
      <x:c r="A57" s="20" t="str">
        <x:v>0x5F8</x:v>
      </x:c>
      <x:c r="B57" s="20" t="str">
        <x:v>Prius-only in these captures</x:v>
      </x:c>
      <x:c r="C57" s="20" t="n">
        <x:v>218</x:v>
      </x:c>
      <x:c r="D57" s="20" t="n">
        <x:v>0</x:v>
      </x:c>
      <x:c r="E57" s="20" t="str">
        <x:v>Observed in 2004 Prius drive capture; absent in first Camry capture</x:v>
      </x:c>
    </x:row>
    <x:row r="58">
      <x:c r="A58" s="20" t="str">
        <x:v>0x602</x:v>
      </x:c>
      <x:c r="B58" s="20" t="str">
        <x:v>Prius-only in these captures</x:v>
      </x:c>
      <x:c r="C58" s="20" t="n">
        <x:v>4</x:v>
      </x:c>
      <x:c r="D58" s="20" t="n">
        <x:v>0</x:v>
      </x:c>
      <x:c r="E58" s="20" t="str">
        <x:v>Observed in 2004 Prius drive capture; absent in first Camry capture</x:v>
      </x:c>
    </x:row>
    <x:row r="59">
      <x:c r="A59" s="20" t="str">
        <x:v>0x03D</x:v>
      </x:c>
      <x:c r="B59" s="20" t="str">
        <x:v>Camry-only in these captures</x:v>
      </x:c>
      <x:c r="C59" s="20" t="n">
        <x:v>0</x:v>
      </x:c>
      <x:c r="D59" s="20" t="n">
        <x:v>24702</x:v>
      </x:c>
      <x:c r="E59" s="20" t="str">
        <x:v>Observed in 2007 Camry Hybrid capture; absent in new Prius drive capture</x:v>
      </x:c>
    </x:row>
    <x:row r="60">
      <x:c r="A60" s="20" t="str">
        <x:v>0x0A4</x:v>
      </x:c>
      <x:c r="B60" s="20" t="str">
        <x:v>Camry-only in these captures</x:v>
      </x:c>
      <x:c r="C60" s="20" t="n">
        <x:v>0</x:v>
      </x:c>
      <x:c r="D60" s="20" t="n">
        <x:v>16824</x:v>
      </x:c>
      <x:c r="E60" s="20" t="str">
        <x:v>Observed in 2007 Camry Hybrid capture; absent in new Prius drive capture</x:v>
      </x:c>
    </x:row>
    <x:row r="61">
      <x:c r="A61" s="20" t="str">
        <x:v>0x0A6</x:v>
      </x:c>
      <x:c r="B61" s="20" t="str">
        <x:v>Camry-only in these captures</x:v>
      </x:c>
      <x:c r="C61" s="20" t="n">
        <x:v>0</x:v>
      </x:c>
      <x:c r="D61" s="20" t="n">
        <x:v>16824</x:v>
      </x:c>
      <x:c r="E61" s="20" t="str">
        <x:v>Observed in 2007 Camry Hybrid capture; absent in new Prius drive capture</x:v>
      </x:c>
    </x:row>
    <x:row r="62">
      <x:c r="A62" s="20" t="str">
        <x:v>0x0B0</x:v>
      </x:c>
      <x:c r="B62" s="20" t="str">
        <x:v>Camry-only in these captures</x:v>
      </x:c>
      <x:c r="C62" s="20" t="n">
        <x:v>0</x:v>
      </x:c>
      <x:c r="D62" s="20" t="n">
        <x:v>16824</x:v>
      </x:c>
      <x:c r="E62" s="20" t="str">
        <x:v>Observed in 2007 Camry Hybrid capture; absent in new Prius drive capture</x:v>
      </x:c>
    </x:row>
    <x:row r="63">
      <x:c r="A63" s="20" t="str">
        <x:v>0x0B2</x:v>
      </x:c>
      <x:c r="B63" s="20" t="str">
        <x:v>Camry-only in these captures</x:v>
      </x:c>
      <x:c r="C63" s="20" t="n">
        <x:v>0</x:v>
      </x:c>
      <x:c r="D63" s="20" t="n">
        <x:v>16824</x:v>
      </x:c>
      <x:c r="E63" s="20" t="str">
        <x:v>Observed in 2007 Camry Hybrid capture; absent in new Prius drive capture</x:v>
      </x:c>
    </x:row>
    <x:row r="64">
      <x:c r="A64" s="20" t="str">
        <x:v>0x124</x:v>
      </x:c>
      <x:c r="B64" s="20" t="str">
        <x:v>Camry-only in these captures</x:v>
      </x:c>
      <x:c r="C64" s="20" t="n">
        <x:v>0</x:v>
      </x:c>
      <x:c r="D64" s="20" t="n">
        <x:v>12351</x:v>
      </x:c>
      <x:c r="E64" s="20" t="str">
        <x:v>Observed in 2007 Camry Hybrid capture; absent in new Prius drive capture</x:v>
      </x:c>
    </x:row>
    <x:row r="65">
      <x:c r="A65" s="20" t="str">
        <x:v>0x236</x:v>
      </x:c>
      <x:c r="B65" s="20" t="str">
        <x:v>Camry-only in these captures</x:v>
      </x:c>
      <x:c r="C65" s="20" t="n">
        <x:v>0</x:v>
      </x:c>
      <x:c r="D65" s="20" t="n">
        <x:v>8412</x:v>
      </x:c>
      <x:c r="E65" s="20" t="str">
        <x:v>Observed in 2007 Camry Hybrid capture; absent in new Prius drive capture</x:v>
      </x:c>
    </x:row>
    <x:row r="66">
      <x:c r="A66" s="20" t="str">
        <x:v>0x246</x:v>
      </x:c>
      <x:c r="B66" s="20" t="str">
        <x:v>Camry-only in these captures</x:v>
      </x:c>
      <x:c r="C66" s="20" t="n">
        <x:v>0</x:v>
      </x:c>
      <x:c r="D66" s="20" t="n">
        <x:v>8592</x:v>
      </x:c>
      <x:c r="E66" s="20" t="str">
        <x:v>Observed in 2007 Camry Hybrid capture; absent in new Prius drive capture</x:v>
      </x:c>
    </x:row>
    <x:row r="67">
      <x:c r="A67" s="20" t="str">
        <x:v>0x2C4</x:v>
      </x:c>
      <x:c r="B67" s="20" t="str">
        <x:v>Camry-only in these captures</x:v>
      </x:c>
      <x:c r="C67" s="20" t="n">
        <x:v>0</x:v>
      </x:c>
      <x:c r="D67" s="20" t="n">
        <x:v>8594</x:v>
      </x:c>
      <x:c r="E67" s="20" t="str">
        <x:v>Observed in 2007 Camry Hybrid capture; absent in new Prius drive capture</x:v>
      </x:c>
    </x:row>
    <x:row r="68">
      <x:c r="A68" s="20" t="str">
        <x:v>0x2D0</x:v>
      </x:c>
      <x:c r="B68" s="20" t="str">
        <x:v>Camry-only in these captures</x:v>
      </x:c>
      <x:c r="C68" s="20" t="n">
        <x:v>0</x:v>
      </x:c>
      <x:c r="D68" s="20" t="n">
        <x:v>6375</x:v>
      </x:c>
      <x:c r="E68" s="20" t="str">
        <x:v>Observed in 2007 Camry Hybrid capture; absent in new Prius drive capture</x:v>
      </x:c>
    </x:row>
    <x:row r="69">
      <x:c r="A69" s="20" t="str">
        <x:v>0x380</x:v>
      </x:c>
      <x:c r="B69" s="20" t="str">
        <x:v>Camry-only in these captures</x:v>
      </x:c>
      <x:c r="C69" s="20" t="n">
        <x:v>0</x:v>
      </x:c>
      <x:c r="D69" s="20" t="n">
        <x:v>206</x:v>
      </x:c>
      <x:c r="E69" s="20" t="str">
        <x:v>Observed in 2007 Camry Hybrid capture; absent in new Prius drive capture</x:v>
      </x:c>
    </x:row>
    <x:row r="70">
      <x:c r="A70" s="20" t="str">
        <x:v>0x381</x:v>
      </x:c>
      <x:c r="B70" s="20" t="str">
        <x:v>Camry-only in these captures</x:v>
      </x:c>
      <x:c r="C70" s="20" t="n">
        <x:v>0</x:v>
      </x:c>
      <x:c r="D70" s="20" t="n">
        <x:v>55</x:v>
      </x:c>
      <x:c r="E70" s="20" t="str">
        <x:v>Observed in 2007 Camry Hybrid capture; absent in new Prius drive capture</x:v>
      </x:c>
    </x:row>
    <x:row r="71">
      <x:c r="A71" s="20" t="str">
        <x:v>0x383</x:v>
      </x:c>
      <x:c r="B71" s="20" t="str">
        <x:v>Camry-only in these captures</x:v>
      </x:c>
      <x:c r="C71" s="20" t="n">
        <x:v>0</x:v>
      </x:c>
      <x:c r="D71" s="20" t="n">
        <x:v>103</x:v>
      </x:c>
      <x:c r="E71" s="20" t="str">
        <x:v>Observed in 2007 Camry Hybrid capture; absent in new Prius drive capture</x:v>
      </x:c>
    </x:row>
    <x:row r="72">
      <x:c r="A72" s="20" t="str">
        <x:v>0x38B</x:v>
      </x:c>
      <x:c r="B72" s="20" t="str">
        <x:v>Camry-only in these captures</x:v>
      </x:c>
      <x:c r="C72" s="20" t="n">
        <x:v>0</x:v>
      </x:c>
      <x:c r="D72" s="20" t="n">
        <x:v>203</x:v>
      </x:c>
      <x:c r="E72" s="20" t="str">
        <x:v>Observed in 2007 Camry Hybrid capture; absent in new Prius drive capture</x:v>
      </x:c>
    </x:row>
    <x:row r="73">
      <x:c r="A73" s="20" t="str">
        <x:v>0x394</x:v>
      </x:c>
      <x:c r="B73" s="20" t="str">
        <x:v>Camry-only in these captures</x:v>
      </x:c>
      <x:c r="C73" s="20" t="n">
        <x:v>0</x:v>
      </x:c>
      <x:c r="D73" s="20" t="n">
        <x:v>671</x:v>
      </x:c>
      <x:c r="E73" s="20" t="str">
        <x:v>Observed in 2007 Camry Hybrid capture; absent in new Prius drive capture</x:v>
      </x:c>
    </x:row>
    <x:row r="74">
      <x:c r="A74" s="20" t="str">
        <x:v>0x398</x:v>
      </x:c>
      <x:c r="B74" s="20" t="str">
        <x:v>Camry-only in these captures</x:v>
      </x:c>
      <x:c r="C74" s="20" t="n">
        <x:v>0</x:v>
      </x:c>
      <x:c r="D74" s="20" t="n">
        <x:v>79</x:v>
      </x:c>
      <x:c r="E74" s="20" t="str">
        <x:v>Observed in 2007 Camry Hybrid capture; absent in new Prius drive capture</x:v>
      </x:c>
    </x:row>
    <x:row r="75">
      <x:c r="A75" s="20" t="str">
        <x:v>0x39B</x:v>
      </x:c>
      <x:c r="B75" s="20" t="str">
        <x:v>Camry-only in these captures</x:v>
      </x:c>
      <x:c r="C75" s="20" t="n">
        <x:v>0</x:v>
      </x:c>
      <x:c r="D75" s="20" t="n">
        <x:v>203</x:v>
      </x:c>
      <x:c r="E75" s="20" t="str">
        <x:v>Observed in 2007 Camry Hybrid capture; absent in new Prius drive capture</x:v>
      </x:c>
    </x:row>
    <x:row r="76">
      <x:c r="A76" s="20" t="str">
        <x:v>0x3A0</x:v>
      </x:c>
      <x:c r="B76" s="20" t="str">
        <x:v>Camry-only in these captures</x:v>
      </x:c>
      <x:c r="C76" s="20" t="n">
        <x:v>0</x:v>
      </x:c>
      <x:c r="D76" s="20" t="n">
        <x:v>2027</x:v>
      </x:c>
      <x:c r="E76" s="20" t="str">
        <x:v>Observed in 2007 Camry Hybrid capture; absent in new Prius drive capture</x:v>
      </x:c>
    </x:row>
    <x:row r="77">
      <x:c r="A77" s="20" t="str">
        <x:v>0x3A1</x:v>
      </x:c>
      <x:c r="B77" s="20" t="str">
        <x:v>Camry-only in these captures</x:v>
      </x:c>
      <x:c r="C77" s="20" t="n">
        <x:v>0</x:v>
      </x:c>
      <x:c r="D77" s="20" t="n">
        <x:v>208</x:v>
      </x:c>
      <x:c r="E77" s="20" t="str">
        <x:v>Observed in 2007 Camry Hybrid capture; absent in new Prius drive capture</x:v>
      </x:c>
    </x:row>
    <x:row r="78">
      <x:c r="A78" s="20" t="str">
        <x:v>0x3B0</x:v>
      </x:c>
      <x:c r="B78" s="20" t="str">
        <x:v>Camry-only in these captures</x:v>
      </x:c>
      <x:c r="C78" s="20" t="n">
        <x:v>0</x:v>
      </x:c>
      <x:c r="D78" s="20" t="n">
        <x:v>203</x:v>
      </x:c>
      <x:c r="E78" s="20" t="str">
        <x:v>Observed in 2007 Camry Hybrid capture; absent in new Prius drive capture</x:v>
      </x:c>
    </x:row>
    <x:row r="79">
      <x:c r="A79" s="20" t="str">
        <x:v>0x3B1</x:v>
      </x:c>
      <x:c r="B79" s="20" t="str">
        <x:v>Camry-only in these captures</x:v>
      </x:c>
      <x:c r="C79" s="20" t="n">
        <x:v>0</x:v>
      </x:c>
      <x:c r="D79" s="20" t="n">
        <x:v>205</x:v>
      </x:c>
      <x:c r="E79" s="20" t="str">
        <x:v>Observed in 2007 Camry Hybrid capture; absent in new Prius drive capture</x:v>
      </x:c>
    </x:row>
    <x:row r="80">
      <x:c r="A80" s="20" t="str">
        <x:v>0x3B3</x:v>
      </x:c>
      <x:c r="B80" s="20" t="str">
        <x:v>Camry-only in these captures</x:v>
      </x:c>
      <x:c r="C80" s="20" t="n">
        <x:v>0</x:v>
      </x:c>
      <x:c r="D80" s="20" t="n">
        <x:v>396</x:v>
      </x:c>
      <x:c r="E80" s="20" t="str">
        <x:v>Observed in 2007 Camry Hybrid capture; absent in new Prius drive capture</x:v>
      </x:c>
    </x:row>
    <x:row r="81">
      <x:c r="A81" s="20" t="str">
        <x:v>0x3B4</x:v>
      </x:c>
      <x:c r="B81" s="20" t="str">
        <x:v>Camry-only in these captures</x:v>
      </x:c>
      <x:c r="C81" s="20" t="n">
        <x:v>0</x:v>
      </x:c>
      <x:c r="D81" s="20" t="n">
        <x:v>216</x:v>
      </x:c>
      <x:c r="E81" s="20" t="str">
        <x:v>Observed in 2007 Camry Hybrid capture; absent in new Prius drive capture</x:v>
      </x:c>
    </x:row>
    <x:row r="82">
      <x:c r="A82" s="20" t="str">
        <x:v>0x3B6</x:v>
      </x:c>
      <x:c r="B82" s="20" t="str">
        <x:v>Camry-only in these captures</x:v>
      </x:c>
      <x:c r="C82" s="20" t="n">
        <x:v>0</x:v>
      </x:c>
      <x:c r="D82" s="20" t="n">
        <x:v>209</x:v>
      </x:c>
      <x:c r="E82" s="20" t="str">
        <x:v>Observed in 2007 Camry Hybrid capture; absent in new Prius drive capture</x:v>
      </x:c>
    </x:row>
    <x:row r="83">
      <x:c r="A83" s="20" t="str">
        <x:v>0x3B7</x:v>
      </x:c>
      <x:c r="B83" s="20" t="str">
        <x:v>Camry-only in these captures</x:v>
      </x:c>
      <x:c r="C83" s="20" t="n">
        <x:v>0</x:v>
      </x:c>
      <x:c r="D83" s="20" t="n">
        <x:v>673</x:v>
      </x:c>
      <x:c r="E83" s="20" t="str">
        <x:v>Observed in 2007 Camry Hybrid capture; absent in new Prius drive capture</x:v>
      </x:c>
    </x:row>
    <x:row r="84">
      <x:c r="A84" s="20" t="str">
        <x:v>0x3B9</x:v>
      </x:c>
      <x:c r="B84" s="20" t="str">
        <x:v>Camry-only in these captures</x:v>
      </x:c>
      <x:c r="C84" s="20" t="n">
        <x:v>0</x:v>
      </x:c>
      <x:c r="D84" s="20" t="n">
        <x:v>198</x:v>
      </x:c>
      <x:c r="E84" s="20" t="str">
        <x:v>Observed in 2007 Camry Hybrid capture; absent in new Prius drive capture</x:v>
      </x:c>
    </x:row>
    <x:row r="85">
      <x:c r="A85" s="20" t="str">
        <x:v>0x3C1</x:v>
      </x:c>
      <x:c r="B85" s="20" t="str">
        <x:v>Camry-only in these captures</x:v>
      </x:c>
      <x:c r="C85" s="20" t="n">
        <x:v>0</x:v>
      </x:c>
      <x:c r="D85" s="20" t="n">
        <x:v>3138</x:v>
      </x:c>
      <x:c r="E85" s="20" t="str">
        <x:v>Observed in 2007 Camry Hybrid capture; absent in new Prius drive capture</x:v>
      </x:c>
    </x:row>
    <x:row r="86">
      <x:c r="A86" s="20" t="str">
        <x:v>0x420</x:v>
      </x:c>
      <x:c r="B86" s="20" t="str">
        <x:v>Camry-only in these captures</x:v>
      </x:c>
      <x:c r="C86" s="20" t="n">
        <x:v>0</x:v>
      </x:c>
      <x:c r="D86" s="20" t="n">
        <x:v>203</x:v>
      </x:c>
      <x:c r="E86" s="20" t="str">
        <x:v>Observed in 2007 Camry Hybrid capture; absent in new Prius drive capture</x:v>
      </x:c>
    </x:row>
    <x:row r="87">
      <x:c r="A87" s="20" t="str">
        <x:v>0x440</x:v>
      </x:c>
      <x:c r="B87" s="20" t="str">
        <x:v>Camry-only in these captures</x:v>
      </x:c>
      <x:c r="C87" s="20" t="n">
        <x:v>0</x:v>
      </x:c>
      <x:c r="D87" s="20" t="n">
        <x:v>1149</x:v>
      </x:c>
      <x:c r="E87" s="20" t="str">
        <x:v>Observed in 2007 Camry Hybrid capture; absent in new Prius drive capture</x:v>
      </x:c>
    </x:row>
    <x:row r="88">
      <x:c r="A88" s="20" t="str">
        <x:v>0x442</x:v>
      </x:c>
      <x:c r="B88" s="20" t="str">
        <x:v>Camry-only in these captures</x:v>
      </x:c>
      <x:c r="C88" s="20" t="n">
        <x:v>0</x:v>
      </x:c>
      <x:c r="D88" s="20" t="n">
        <x:v>1149</x:v>
      </x:c>
      <x:c r="E88" s="20" t="str">
        <x:v>Observed in 2007 Camry Hybrid capture; absent in new Prius drive capture</x:v>
      </x:c>
    </x:row>
    <x:row r="89">
      <x:c r="A89" s="20" t="str">
        <x:v>0x4DC</x:v>
      </x:c>
      <x:c r="B89" s="20" t="str">
        <x:v>Camry-only in these captures</x:v>
      </x:c>
      <x:c r="C89" s="20" t="n">
        <x:v>0</x:v>
      </x:c>
      <x:c r="D89" s="20" t="n">
        <x:v>203</x:v>
      </x:c>
      <x:c r="E89" s="20" t="str">
        <x:v>Observed in 2007 Camry Hybrid capture; absent in new Prius drive capture</x:v>
      </x:c>
    </x:row>
    <x:row r="90">
      <x:c r="A90" s="20" t="str">
        <x:v>0x4DD</x:v>
      </x:c>
      <x:c r="B90" s="20" t="str">
        <x:v>Camry-only in these captures</x:v>
      </x:c>
      <x:c r="C90" s="20" t="n">
        <x:v>0</x:v>
      </x:c>
      <x:c r="D90" s="20" t="n">
        <x:v>201</x:v>
      </x:c>
      <x:c r="E90" s="20" t="str">
        <x:v>Observed in 2007 Camry Hybrid capture; absent in new Prius drive capture</x:v>
      </x:c>
    </x:row>
    <x:row r="91">
      <x:c r="A91" s="20" t="str">
        <x:v>0x610</x:v>
      </x:c>
      <x:c r="B91" s="20" t="str">
        <x:v>Camry-only in these captures</x:v>
      </x:c>
      <x:c r="C91" s="20" t="n">
        <x:v>0</x:v>
      </x:c>
      <x:c r="D91" s="20" t="n">
        <x:v>440</x:v>
      </x:c>
      <x:c r="E91" s="20" t="str">
        <x:v>Observed in 2007 Camry Hybrid capture; absent in new Prius drive capture</x:v>
      </x:c>
    </x:row>
    <x:row r="92">
      <x:c r="A92" s="20" t="str">
        <x:v>0x611</x:v>
      </x:c>
      <x:c r="B92" s="20" t="str">
        <x:v>Camry-only in these captures</x:v>
      </x:c>
      <x:c r="C92" s="20" t="n">
        <x:v>0</x:v>
      </x:c>
      <x:c r="D92" s="20" t="n">
        <x:v>220</x:v>
      </x:c>
      <x:c r="E92" s="20" t="str">
        <x:v>Observed in 2007 Camry Hybrid capture; absent in new Prius drive capture</x:v>
      </x:c>
    </x:row>
    <x:row r="93">
      <x:c r="A93" s="20" t="str">
        <x:v>0x612</x:v>
      </x:c>
      <x:c r="B93" s="20" t="str">
        <x:v>Camry-only in these captures</x:v>
      </x:c>
      <x:c r="C93" s="20" t="n">
        <x:v>0</x:v>
      </x:c>
      <x:c r="D93" s="20" t="n">
        <x:v>31</x:v>
      </x:c>
      <x:c r="E93" s="20" t="str">
        <x:v>Observed in 2007 Camry Hybrid capture; absent in new Prius drive capture</x:v>
      </x:c>
    </x:row>
    <x:row r="94">
      <x:c r="A94" s="20" t="str">
        <x:v>0x619</x:v>
      </x:c>
      <x:c r="B94" s="20" t="str">
        <x:v>Camry-only in these captures</x:v>
      </x:c>
      <x:c r="C94" s="20" t="n">
        <x:v>0</x:v>
      </x:c>
      <x:c r="D94" s="20" t="n">
        <x:v>23</x:v>
      </x:c>
      <x:c r="E94" s="20" t="str">
        <x:v>Observed in 2007 Camry Hybrid capture; absent in new Prius drive capture</x:v>
      </x:c>
    </x:row>
    <x:row r="95">
      <x:c r="A95" s="20" t="str">
        <x:v>0x61A</x:v>
      </x:c>
      <x:c r="B95" s="20" t="str">
        <x:v>Camry-only in these captures</x:v>
      </x:c>
      <x:c r="C95" s="20" t="n">
        <x:v>0</x:v>
      </x:c>
      <x:c r="D95" s="20" t="n">
        <x:v>22</x:v>
      </x:c>
      <x:c r="E95" s="20" t="str">
        <x:v>Observed in 2007 Camry Hybrid capture; absent in new Prius drive capture</x:v>
      </x:c>
    </x:row>
    <x:row r="96">
      <x:c r="A96" s="20" t="str">
        <x:v>0x61C</x:v>
      </x:c>
      <x:c r="B96" s="20" t="str">
        <x:v>Camry-only in these captures</x:v>
      </x:c>
      <x:c r="C96" s="20" t="n">
        <x:v>0</x:v>
      </x:c>
      <x:c r="D96" s="20" t="n">
        <x:v>22</x:v>
      </x:c>
      <x:c r="E96" s="20" t="str">
        <x:v>Observed in 2007 Camry Hybrid capture; absent in new Prius drive capture</x:v>
      </x:c>
    </x:row>
    <x:row r="97">
      <x:c r="A97" s="20" t="str">
        <x:v>0x620</x:v>
      </x:c>
      <x:c r="B97" s="20" t="str">
        <x:v>Camry-only in these captures</x:v>
      </x:c>
      <x:c r="C97" s="20" t="n">
        <x:v>0</x:v>
      </x:c>
      <x:c r="D97" s="20" t="n">
        <x:v>755</x:v>
      </x:c>
      <x:c r="E97" s="20" t="str">
        <x:v>Observed in 2007 Camry Hybrid capture; absent in new Prius drive capture</x:v>
      </x:c>
    </x:row>
    <x:row r="98">
      <x:c r="A98" s="20" t="str">
        <x:v>0x621</x:v>
      </x:c>
      <x:c r="B98" s="20" t="str">
        <x:v>Camry-only in these captures</x:v>
      </x:c>
      <x:c r="C98" s="20" t="n">
        <x:v>0</x:v>
      </x:c>
      <x:c r="D98" s="20" t="n">
        <x:v>221</x:v>
      </x:c>
      <x:c r="E98" s="20" t="str">
        <x:v>Observed in 2007 Camry Hybrid capture; absent in new Prius drive capture</x:v>
      </x:c>
    </x:row>
    <x:row r="99">
      <x:c r="A99" s="20" t="str">
        <x:v>0x622</x:v>
      </x:c>
      <x:c r="B99" s="20" t="str">
        <x:v>Camry-only in these captures</x:v>
      </x:c>
      <x:c r="C99" s="20" t="n">
        <x:v>0</x:v>
      </x:c>
      <x:c r="D99" s="20" t="n">
        <x:v>219</x:v>
      </x:c>
      <x:c r="E99" s="20" t="str">
        <x:v>Observed in 2007 Camry Hybrid capture; absent in new Prius drive capture</x:v>
      </x:c>
    </x:row>
    <x:row r="100">
      <x:c r="A100" s="20" t="str">
        <x:v>0x624</x:v>
      </x:c>
      <x:c r="B100" s="20" t="str">
        <x:v>Camry-only in these captures</x:v>
      </x:c>
      <x:c r="C100" s="20" t="n">
        <x:v>0</x:v>
      </x:c>
      <x:c r="D100" s="20" t="n">
        <x:v>219</x:v>
      </x:c>
      <x:c r="E100" s="20" t="str">
        <x:v>Observed in 2007 Camry Hybrid capture; absent in new Prius drive capture</x:v>
      </x:c>
    </x:row>
    <x:row r="101">
      <x:c r="A101" s="20" t="str">
        <x:v>0x630</x:v>
      </x:c>
      <x:c r="B101" s="20" t="str">
        <x:v>Camry-only in these captures</x:v>
      </x:c>
      <x:c r="C101" s="20" t="n">
        <x:v>0</x:v>
      </x:c>
      <x:c r="D101" s="20" t="n">
        <x:v>219</x:v>
      </x:c>
      <x:c r="E101" s="20" t="str">
        <x:v>Observed in 2007 Camry Hybrid capture; absent in new Prius drive capture</x:v>
      </x:c>
    </x:row>
    <x:row r="102">
      <x:c r="A102" s="20" t="str">
        <x:v>0x633</x:v>
      </x:c>
      <x:c r="B102" s="20" t="str">
        <x:v>Camry-only in these captures</x:v>
      </x:c>
      <x:c r="C102" s="20" t="n">
        <x:v>0</x:v>
      </x:c>
      <x:c r="D102" s="20" t="n">
        <x:v>221</x:v>
      </x:c>
      <x:c r="E102" s="20" t="str">
        <x:v>Observed in 2007 Camry Hybrid capture; absent in new Prius drive capture</x:v>
      </x:c>
    </x:row>
    <x:row r="103">
      <x:c r="A103" s="20" t="str">
        <x:v>0x638</x:v>
      </x:c>
      <x:c r="B103" s="20" t="str">
        <x:v>Camry-only in these captures</x:v>
      </x:c>
      <x:c r="C103" s="20" t="n">
        <x:v>0</x:v>
      </x:c>
      <x:c r="D103" s="20" t="n">
        <x:v>222</x:v>
      </x:c>
      <x:c r="E103" s="20" t="str">
        <x:v>Observed in 2007 Camry Hybrid capture; absent in new Prius drive capture</x:v>
      </x:c>
    </x:row>
  </x:sheetData>
  <x:pageMargins left="0.7" right="0.7" top="0.75" bottom="0.75" header="0.3" footer="0.3"/>
  <x:tableParts count="1">
    <x:tablePart xmlns:r="http://schemas.openxmlformats.org/officeDocument/2006/relationships" r:id="R2722431bac1b4736"/>
  </x:tableParts>
</x:worksheet>
</file>

<file path=xl/worksheets/sheet12.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Start recording / vehicle initially OFF</x:v>
      </x:c>
      <x:c r="C2" s="20" t="str">
        <x:v>User narration</x:v>
      </x:c>
      <x:c r="D2" s="20" t="str">
        <x:v>Sequence anchor</x:v>
      </x:c>
      <x:c r="E2" s="20" t="str">
        <x:v>Approximate</x:v>
      </x:c>
    </x:row>
    <x:row r="3">
      <x:c r="A3" s="20" t="str">
        <x:v>~1</x:v>
      </x:c>
      <x:c r="B3" s="20" t="str">
        <x:v>POWER button once</x:v>
      </x:c>
      <x:c r="C3" s="20" t="str">
        <x:v>User narration</x:v>
      </x:c>
      <x:c r="D3" s="20" t="str">
        <x:v>Power-state change</x:v>
      </x:c>
      <x:c r="E3" s="20" t="str">
        <x:v>Approximate</x:v>
      </x:c>
    </x:row>
    <x:row r="4">
      <x:c r="A4" s="20" t="str">
        <x:v>~2</x:v>
      </x:c>
      <x:c r="B4" s="20" t="str">
        <x:v>POWER button second time; accessory/IG state</x:v>
      </x:c>
      <x:c r="C4" s="20" t="str">
        <x:v>User narration</x:v>
      </x:c>
      <x:c r="D4" s="20" t="str">
        <x:v>Power-state change</x:v>
      </x:c>
      <x:c r="E4" s="20" t="str">
        <x:v>Approximate</x:v>
      </x:c>
    </x:row>
    <x:row r="5">
      <x:c r="A5" s="20" t="str">
        <x:v>early</x:v>
      </x:c>
      <x:c r="B5" s="20" t="str">
        <x:v>Brake held + POWER; READY mode</x:v>
      </x:c>
      <x:c r="C5" s="20" t="str">
        <x:v>User narration</x:v>
      </x:c>
      <x:c r="D5" s="20" t="str">
        <x:v>READY transition</x:v>
      </x:c>
      <x:c r="E5" s="20" t="str">
        <x:v>Approximate</x:v>
      </x:c>
    </x:row>
    <x:row r="6">
      <x:c r="A6" s="20" t="str">
        <x:v>early</x:v>
      </x:c>
      <x:c r="B6" s="20" t="str">
        <x:v>Outside temperature displayed ~82°F</x:v>
      </x:c>
      <x:c r="C6" s="20" t="str">
        <x:v>User narration</x:v>
      </x:c>
      <x:c r="D6" s="20" t="str">
        <x:v>Environmental reference</x:v>
      </x:c>
      <x:c r="E6" s="20" t="str">
        <x:v>Approximate</x:v>
      </x:c>
    </x:row>
    <x:row r="7">
      <x:c r="A7" s="20" t="str">
        <x:v>early</x:v>
      </x:c>
      <x:c r="B7" s="20" t="str">
        <x:v>ICE starts</x:v>
      </x:c>
      <x:c r="C7" s="20" t="str">
        <x:v>User narration</x:v>
      </x:c>
      <x:c r="D7" s="20" t="str">
        <x:v>ICE state</x:v>
      </x:c>
      <x:c r="E7" s="20" t="str">
        <x:v>Approximate</x:v>
      </x:c>
    </x:row>
    <x:row r="8">
      <x:c r="A8" s="20" t="str">
        <x:v>45–46</x:v>
      </x:c>
      <x:c r="B8" s="20" t="str">
        <x:v>ICE allowed to warm</x:v>
      </x:c>
      <x:c r="C8" s="20" t="str">
        <x:v>User narration</x:v>
      </x:c>
      <x:c r="D8" s="20" t="str">
        <x:v>Warm-up</x:v>
      </x:c>
      <x:c r="E8" s="20" t="str">
        <x:v>Narrated seconds</x:v>
      </x:c>
    </x:row>
    <x:row r="9">
      <x:c r="A9" s="20" t="str">
        <x:v>53</x:v>
      </x:c>
      <x:c r="B9" s="20" t="str">
        <x:v>Shift to Drive</x:v>
      </x:c>
      <x:c r="C9" s="20" t="str">
        <x:v>User narration</x:v>
      </x:c>
      <x:c r="D9" s="20" t="str">
        <x:v>Gear</x:v>
      </x:c>
      <x:c r="E9" s="20" t="str">
        <x:v>Narrated seconds</x:v>
      </x:c>
    </x:row>
    <x:row r="10">
      <x:c r="A10" s="20" t="str">
        <x:v>55</x:v>
      </x:c>
      <x:c r="B10" s="20" t="str">
        <x:v>Driver door opened then closed</x:v>
      </x:c>
      <x:c r="C10" s="20" t="str">
        <x:v>User narration</x:v>
      </x:c>
      <x:c r="D10" s="20" t="str">
        <x:v>Door</x:v>
      </x:c>
      <x:c r="E10" s="20" t="str">
        <x:v>Narrated seconds</x:v>
      </x:c>
    </x:row>
    <x:row r="11">
      <x:c r="A11" s="20" t="str">
        <x:v>~120</x:v>
      </x:c>
      <x:c r="B11" s="20" t="str">
        <x:v>Front driver and passenger windows operated</x:v>
      </x:c>
      <x:c r="C11" s="20" t="str">
        <x:v>User narration</x:v>
      </x:c>
      <x:c r="D11" s="20" t="str">
        <x:v>Body/window</x:v>
      </x:c>
      <x:c r="E11" s="20" t="str">
        <x:v>Narrated seconds</x:v>
      </x:c>
    </x:row>
    <x:row r="12">
      <x:c r="A12" s="20" t="str">
        <x:v>~130</x:v>
      </x:c>
      <x:c r="B12" s="20" t="str">
        <x:v>Rear windows operated</x:v>
      </x:c>
      <x:c r="C12" s="20" t="str">
        <x:v>User narration</x:v>
      </x:c>
      <x:c r="D12" s="20" t="str">
        <x:v>Body/window</x:v>
      </x:c>
      <x:c r="E12" s="20" t="str">
        <x:v>Narrated seconds</x:v>
      </x:c>
    </x:row>
    <x:row r="13">
      <x:c r="A13" s="20" t="str">
        <x:v>~140</x:v>
      </x:c>
      <x:c r="B13" s="20" t="str">
        <x:v>ICE stopped</x:v>
      </x:c>
      <x:c r="C13" s="20" t="str">
        <x:v>User narration</x:v>
      </x:c>
      <x:c r="D13" s="20" t="str">
        <x:v>ICE state</x:v>
      </x:c>
      <x:c r="E13" s="20" t="str">
        <x:v>Narrated seconds</x:v>
      </x:c>
    </x:row>
    <x:row r="14">
      <x:c r="A14" s="20" t="str">
        <x:v>later</x:v>
      </x:c>
      <x:c r="B14" s="20" t="str">
        <x:v>Shift to Reverse / EV operation</x:v>
      </x:c>
      <x:c r="C14" s="20" t="str">
        <x:v>User narration</x:v>
      </x:c>
      <x:c r="D14" s="20" t="str">
        <x:v>Gear/EV</x:v>
      </x:c>
      <x:c r="E14" s="20" t="str">
        <x:v>Approximate</x:v>
      </x:c>
    </x:row>
    <x:row r="15">
      <x:c r="A15" s="20" t="str">
        <x:v>~212</x:v>
      </x:c>
      <x:c r="B15" s="20" t="str">
        <x:v>ICE disengaged; reversing / driving sequence</x:v>
      </x:c>
      <x:c r="C15" s="20" t="str">
        <x:v>User narration</x:v>
      </x:c>
      <x:c r="D15" s="20" t="str">
        <x:v>ICE/gear</x:v>
      </x:c>
      <x:c r="E15" s="20" t="str">
        <x:v>Narrated seconds</x:v>
      </x:c>
    </x:row>
    <x:row r="16">
      <x:c r="A16" s="20" t="str">
        <x:v>~230</x:v>
      </x:c>
      <x:c r="B16" s="20" t="str">
        <x:v>Shift into B; braking mode; EV noted</x:v>
      </x:c>
      <x:c r="C16" s="20" t="str">
        <x:v>User narration</x:v>
      </x:c>
      <x:c r="D16" s="20" t="str">
        <x:v>Gear/regen</x:v>
      </x:c>
      <x:c r="E16" s="20" t="str">
        <x:v>Narrated seconds</x:v>
      </x:c>
    </x:row>
    <x:row r="17">
      <x:c r="A17" s="20" t="str">
        <x:v>~234</x:v>
      </x:c>
      <x:c r="B17" s="20" t="str">
        <x:v>Shift to Park</x:v>
      </x:c>
      <x:c r="C17" s="20" t="str">
        <x:v>User narration</x:v>
      </x:c>
      <x:c r="D17" s="20" t="str">
        <x:v>Gear</x:v>
      </x:c>
      <x:c r="E17" s="20" t="str">
        <x:v>Narrated seconds</x:v>
      </x:c>
    </x:row>
    <x:row r="18">
      <x:c r="A18" s="20" t="str">
        <x:v>~245</x:v>
      </x:c>
      <x:c r="B18" s="20" t="str">
        <x:v>A/C ON; blower raised from low to high</x:v>
      </x:c>
      <x:c r="C18" s="20" t="str">
        <x:v>User narration</x:v>
      </x:c>
      <x:c r="D18" s="20" t="str">
        <x:v>HVAC</x:v>
      </x:c>
      <x:c r="E18" s="20" t="str">
        <x:v>Narrated seconds</x:v>
      </x:c>
    </x:row>
    <x:row r="19">
      <x:c r="A19" s="20" t="str">
        <x:v>~331</x:v>
      </x:c>
      <x:c r="B19" s="20" t="str">
        <x:v>A/C OFF / blower reduced</x:v>
      </x:c>
      <x:c r="C19" s="20" t="str">
        <x:v>User narration</x:v>
      </x:c>
      <x:c r="D19" s="20" t="str">
        <x:v>HVAC</x:v>
      </x:c>
      <x:c r="E19" s="20" t="str">
        <x:v>Narrated seconds</x:v>
      </x:c>
    </x:row>
    <x:row r="20">
      <x:c r="A20" s="20" t="str">
        <x:v>~335</x:v>
      </x:c>
      <x:c r="B20" s="20" t="str">
        <x:v>Vehicle powered OFF</x:v>
      </x:c>
      <x:c r="C20" s="20" t="str">
        <x:v>User narration</x:v>
      </x:c>
      <x:c r="D20" s="20" t="str">
        <x:v>Power-state change</x:v>
      </x:c>
      <x:c r="E20" s="20" t="str">
        <x:v>Narrated seconds</x:v>
      </x:c>
    </x:row>
    <x:row r="22">
      <x:c r="A22" t="str">
        <x:v>Alignment note</x:v>
      </x:c>
      <x:c r="B22" t="str">
        <x:v>CAN capture duration</x:v>
      </x:c>
      <x:c r="C22" t="n">
        <x:v>227.737</x:v>
      </x:c>
      <x:c r="D22" t="str">
        <x:v>seconds</x:v>
      </x:c>
      <x:c r="E22" t="str"/>
    </x:row>
    <x:row r="23">
      <x:c r="A23" t="str">
        <x:v>Alignment note</x:v>
      </x:c>
      <x:c r="B23" t="str">
        <x:v>Audio-file duration</x:v>
      </x:c>
      <x:c r="C23" t="n">
        <x:v>217.789</x:v>
      </x:c>
      <x:c r="D23" t="str">
        <x:v>seconds</x:v>
      </x:c>
      <x:c r="E23" t="str"/>
    </x:row>
    <x:row r="24">
      <x:c r="A24" t="str">
        <x:v>Alignment warning</x:v>
      </x:c>
      <x:c r="B24" t="str">
        <x:v>Some narrated 'seconds' extend beyond both file durations. Preserve them as narration markers until a deliberate audio↔CAN synchronization point is established.</x:v>
      </x:c>
      <x:c r="C24" t="str"/>
      <x:c r="D24" t="str"/>
      <x:c r="E24" t="str"/>
    </x:row>
  </x:sheetData>
  <x:pageMargins left="0.7" right="0.7" top="0.75" bottom="0.75" header="0.3" footer="0.3"/>
  <x:tableParts count="1">
    <x:tablePart xmlns:r="http://schemas.openxmlformats.org/officeDocument/2006/relationships" r:id="R784a0a440af04844"/>
  </x:tableParts>
</x:worksheet>
</file>

<file path=xl/worksheets/sheet13.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SavvyCAN connected; recording begins</x:v>
      </x:c>
      <x:c r="C2" s="20" t="str">
        <x:v>User narration</x:v>
      </x:c>
      <x:c r="D2" s="20" t="str">
        <x:v>Sequence anchor</x:v>
      </x:c>
      <x:c r="E2" s="20" t="str">
        <x:v>Approximate</x:v>
      </x:c>
    </x:row>
    <x:row r="3">
      <x:c r="A3" s="20" t="str">
        <x:v>early</x:v>
      </x:c>
      <x:c r="B3" s="20" t="str">
        <x:v>POWER twice → ACC/IG state; data streaming</x:v>
      </x:c>
      <x:c r="C3" s="20" t="str">
        <x:v>User narration</x:v>
      </x:c>
      <x:c r="D3" s="20" t="str">
        <x:v>Power-state change</x:v>
      </x:c>
      <x:c r="E3" s="20" t="str">
        <x:v>Approximate</x:v>
      </x:c>
    </x:row>
    <x:row r="4">
      <x:c r="A4" s="20" t="str">
        <x:v>early</x:v>
      </x:c>
      <x:c r="B4" s="20" t="str">
        <x:v>Brake + POWER → READY</x:v>
      </x:c>
      <x:c r="C4" s="20" t="str">
        <x:v>User narration</x:v>
      </x:c>
      <x:c r="D4" s="20" t="str">
        <x:v>READY transition</x:v>
      </x:c>
      <x:c r="E4" s="20" t="str">
        <x:v>Approximate</x:v>
      </x:c>
    </x:row>
    <x:row r="5">
      <x:c r="A5" s="20" t="str">
        <x:v>early</x:v>
      </x:c>
      <x:c r="B5" s="20" t="str">
        <x:v>Seatbelt buckled</x:v>
      </x:c>
      <x:c r="C5" s="20" t="str">
        <x:v>User narration</x:v>
      </x:c>
      <x:c r="D5" s="20" t="str">
        <x:v>Seatbelt</x:v>
      </x:c>
      <x:c r="E5" s="20" t="str">
        <x:v>Approximate</x:v>
      </x:c>
    </x:row>
    <x:row r="6">
      <x:c r="A6" s="20" t="str">
        <x:v>early</x:v>
      </x:c>
      <x:c r="B6" s="20" t="str">
        <x:v>Shift to Drive</x:v>
      </x:c>
      <x:c r="C6" s="20" t="str">
        <x:v>User narration</x:v>
      </x:c>
      <x:c r="D6" s="20" t="str">
        <x:v>Gear</x:v>
      </x:c>
      <x:c r="E6" s="20" t="str">
        <x:v>Approximate</x:v>
      </x:c>
    </x:row>
    <x:row r="7">
      <x:c r="A7" s="20" t="str">
        <x:v>early</x:v>
      </x:c>
      <x:c r="B7" s="20" t="str">
        <x:v>Driver door opened/closed; warning observed</x:v>
      </x:c>
      <x:c r="C7" s="20" t="str">
        <x:v>User narration</x:v>
      </x:c>
      <x:c r="D7" s="20" t="str">
        <x:v>Door</x:v>
      </x:c>
      <x:c r="E7" s="20" t="str">
        <x:v>Approximate</x:v>
      </x:c>
    </x:row>
    <x:row r="8">
      <x:c r="A8" s="20" t="str">
        <x:v>early</x:v>
      </x:c>
      <x:c r="B8" s="20" t="str">
        <x:v>Driver front window down/up</x:v>
      </x:c>
      <x:c r="C8" s="20" t="str">
        <x:v>User narration</x:v>
      </x:c>
      <x:c r="D8" s="20" t="str">
        <x:v>Body/window</x:v>
      </x:c>
      <x:c r="E8" s="20" t="str">
        <x:v>Approximate</x:v>
      </x:c>
    </x:row>
    <x:row r="9">
      <x:c r="A9" s="20" t="str">
        <x:v>early</x:v>
      </x:c>
      <x:c r="B9" s="20" t="str">
        <x:v>Passenger front window down/up</x:v>
      </x:c>
      <x:c r="C9" s="20" t="str">
        <x:v>User narration</x:v>
      </x:c>
      <x:c r="D9" s="20" t="str">
        <x:v>Body/window</x:v>
      </x:c>
      <x:c r="E9" s="20" t="str">
        <x:v>Approximate</x:v>
      </x:c>
    </x:row>
    <x:row r="10">
      <x:c r="A10" s="20" t="str">
        <x:v>later</x:v>
      </x:c>
      <x:c r="B10" s="20" t="str">
        <x:v>Shift to Reverse and back up</x:v>
      </x:c>
      <x:c r="C10" s="20" t="str">
        <x:v>User narration</x:v>
      </x:c>
      <x:c r="D10" s="20" t="str">
        <x:v>Gear</x:v>
      </x:c>
      <x:c r="E10" s="20" t="str">
        <x:v>Approximate</x:v>
      </x:c>
    </x:row>
    <x:row r="11">
      <x:c r="A11" s="20" t="str">
        <x:v>later</x:v>
      </x:c>
      <x:c r="B11" s="20" t="str">
        <x:v>Repeated brake-pedal presses</x:v>
      </x:c>
      <x:c r="C11" s="20" t="str">
        <x:v>User narration</x:v>
      </x:c>
      <x:c r="D11" s="20" t="str">
        <x:v>Brake</x:v>
      </x:c>
      <x:c r="E11" s="20" t="str">
        <x:v>Approximate</x:v>
      </x:c>
    </x:row>
    <x:row r="12">
      <x:c r="A12" s="20" t="str">
        <x:v>later</x:v>
      </x:c>
      <x:c r="B12" s="20" t="str">
        <x:v>Shift to Drive; acceleration</x:v>
      </x:c>
      <x:c r="C12" s="20" t="str">
        <x:v>User narration</x:v>
      </x:c>
      <x:c r="D12" s="20" t="str">
        <x:v>Gear/throttle</x:v>
      </x:c>
      <x:c r="E12" s="20" t="str">
        <x:v>Approximate</x:v>
      </x:c>
    </x:row>
    <x:row r="13">
      <x:c r="A13" s="20" t="str">
        <x:v>later</x:v>
      </x:c>
      <x:c r="B13" s="20" t="str">
        <x:v>Road speed references: ~11 mph then multiple later speeds</x:v>
      </x:c>
      <x:c r="C13" s="20" t="str">
        <x:v>User narration</x:v>
      </x:c>
      <x:c r="D13" s="20" t="str">
        <x:v>Vehicle speed</x:v>
      </x:c>
      <x:c r="E13" s="20" t="str">
        <x:v>Approximate</x:v>
      </x:c>
    </x:row>
    <x:row r="14">
      <x:c r="A14" s="20" t="str">
        <x:v>later</x:v>
      </x:c>
      <x:c r="B14" s="20" t="str">
        <x:v>Multiple suspected EV↔ICE transitions</x:v>
      </x:c>
      <x:c r="C14" s="20" t="str">
        <x:v>User narration</x:v>
      </x:c>
      <x:c r="D14" s="20" t="str">
        <x:v>Hybrid state</x:v>
      </x:c>
      <x:c r="E14" s="20" t="str">
        <x:v>Approximate / subjective</x:v>
      </x:c>
    </x:row>
    <x:row r="15">
      <x:c r="A15" s="20" t="str">
        <x:v>later</x:v>
      </x:c>
      <x:c r="B15" s="20" t="str">
        <x:v>Left/right turn signals used</x:v>
      </x:c>
      <x:c r="C15" s="20" t="str">
        <x:v>User narration</x:v>
      </x:c>
      <x:c r="D15" s="20" t="str">
        <x:v>Body/turn signal</x:v>
      </x:c>
      <x:c r="E15" s="20" t="str">
        <x:v>Approximate</x:v>
      </x:c>
    </x:row>
    <x:row r="16">
      <x:c r="A16" s="20" t="str">
        <x:v>end</x:v>
      </x:c>
      <x:c r="B16" s="20" t="str">
        <x:v>Park selected and vehicle powered OFF</x:v>
      </x:c>
      <x:c r="C16" s="20" t="str">
        <x:v>User narration</x:v>
      </x:c>
      <x:c r="D16" s="20" t="str">
        <x:v>Gear/power</x:v>
      </x:c>
      <x:c r="E16" s="20" t="str">
        <x:v>Approximate</x:v>
      </x:c>
    </x:row>
    <x:row r="18">
      <x:c r="A18" t="str">
        <x:v>Alignment note</x:v>
      </x:c>
      <x:c r="B18" t="str">
        <x:v>CAN capture duration</x:v>
      </x:c>
      <x:c r="C18" t="n">
        <x:v>221.352</x:v>
      </x:c>
      <x:c r="D18" t="str">
        <x:v>seconds</x:v>
      </x:c>
      <x:c r="E18" t="str"/>
    </x:row>
    <x:row r="19">
      <x:c r="A19" t="str">
        <x:v>Alignment note</x:v>
      </x:c>
      <x:c r="B19" t="str">
        <x:v>Audio-file duration</x:v>
      </x:c>
      <x:c r="C19" t="n">
        <x:v>298.875</x:v>
      </x:c>
      <x:c r="D19" t="str">
        <x:v>seconds</x:v>
      </x:c>
      <x:c r="E19" t="str"/>
    </x:row>
    <x:row r="20">
      <x:c r="A20" t="str">
        <x:v>Alignment warning</x:v>
      </x:c>
      <x:c r="B20" t="str">
        <x:v>Narration and CAN log are not yet synchronized. Use sequence/event correlation first; establish a sync marker in future recordings.</x:v>
      </x:c>
      <x:c r="C20" t="str"/>
      <x:c r="D20" t="str"/>
      <x:c r="E20" t="str"/>
    </x:row>
  </x:sheetData>
  <x:pageMargins left="0.7" right="0.7" top="0.75" bottom="0.75" header="0.3" footer="0.3"/>
  <x:tableParts count="1">
    <x:tablePart xmlns:r="http://schemas.openxmlformats.org/officeDocument/2006/relationships" r:id="Racd9835a05434654"/>
  </x:tableParts>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58" hidden="0" customWidth="1"/>
  </x:cols>
  <x:sheetData>
    <x:row r="1">
      <x:c r="A1" s="30" t="str">
        <x:v>Gen2 Prius INF Diagnostic Map</x:v>
      </x:c>
      <x:c r="B1" s="30" t="str"/>
      <x:c r="C1" s="30" t="str"/>
      <x:c r="D1" s="30" t="str"/>
    </x:row>
    <x:row r="2">
      <x:c r="A2" s="20" t="str">
        <x:v>Scope</x:v>
      </x:c>
      <x:c r="B2" s="20" t="str">
        <x:v>Gen2 Toyota Prius HV ECU (2004–2009) per attached source; other Toyota/Lexus generations remain unverified without on-car validation.</x:v>
      </x:c>
      <x:c r="C2" s="20" t="str"/>
      <x:c r="D2" s="20" t="str"/>
    </x:row>
    <x:row r="3">
      <x:c r="A3" s="20" t="str">
        <x:v>ELM/CAN header</x:v>
      </x:c>
      <x:c r="B3" s="20" t="str">
        <x:v>ATSH7E2</x:v>
      </x:c>
      <x:c r="C3" s="20" t="str"/>
      <x:c r="D3" s="20" t="str"/>
    </x:row>
    <x:row r="4">
      <x:c r="A4" s="20" t="str">
        <x:v>Mode-22 request</x:v>
      </x:c>
      <x:c r="B4" s="20" t="str">
        <x:v>22 05 CA</x:v>
      </x:c>
      <x:c r="C4" s="20" t="str"/>
      <x:c r="D4" s="20" t="str"/>
    </x:row>
    <x:row r="5">
      <x:c r="A5" s="20" t="str">
        <x:v>Expected response</x:v>
      </x:c>
      <x:c r="B5" s="20" t="str">
        <x:v>62 05 CA + 57 data bytes</x:v>
      </x:c>
      <x:c r="C5" s="20" t="str"/>
      <x:c r="D5" s="20" t="str"/>
    </x:row>
    <x:row r="6">
      <x:c r="A6" s="20" t="str">
        <x:v>Diagnostic caution</x:v>
      </x:c>
      <x:c r="B6" s="20" t="str">
        <x:v>This requires transmission and is NOT part of passive TWAI LISTEN_ONLY capture. Keep it in a separate future diagnostic mode.</x:v>
      </x:c>
      <x:c r="C6" s="20" t="str"/>
      <x:c r="D6" s="20" t="str"/>
    </x:row>
    <x:row r="7">
      <x:c r="A7" s="20"/>
      <x:c r="B7" s="20"/>
      <x:c r="C7" s="20"/>
      <x:c r="D7" s="20"/>
    </x:row>
    <x:row r="8">
      <x:c r="A8" s="12" t="str">
        <x:v>INF Code</x:v>
      </x:c>
      <x:c r="B8" s="12" t="str">
        <x:v>Payload Byte(s)</x:v>
      </x:c>
      <x:c r="C8" s="12" t="str">
        <x:v>Bit Range (MSB-first per source)</x:v>
      </x:c>
      <x:c r="D8" s="12" t="str">
        <x:v>Source Note</x:v>
      </x:c>
    </x:row>
    <x:row r="9">
      <x:c r="A9" s="20" t="n">
        <x:v>602</x:v>
      </x:c>
      <x:c r="B9" s="20" t="str">
        <x:v>0</x:v>
      </x:c>
      <x:c r="C9" s="20" t="str">
        <x:v>0-7</x:v>
      </x:c>
      <x:c r="D9" s="20" t="str"/>
    </x:row>
    <x:row r="10">
      <x:c r="A10" s="20" t="n">
        <x:v>603</x:v>
      </x:c>
      <x:c r="B10" s="20" t="str">
        <x:v>1</x:v>
      </x:c>
      <x:c r="C10" s="20" t="str">
        <x:v>0-7</x:v>
      </x:c>
      <x:c r="D10" s="20" t="str"/>
    </x:row>
    <x:row r="11">
      <x:c r="A11" s="20" t="n">
        <x:v>605</x:v>
      </x:c>
      <x:c r="B11" s="20" t="str">
        <x:v>2</x:v>
      </x:c>
      <x:c r="C11" s="20" t="str">
        <x:v>0-7</x:v>
      </x:c>
      <x:c r="D11" s="20" t="str"/>
    </x:row>
    <x:row r="12">
      <x:c r="A12" s="20" t="n">
        <x:v>606</x:v>
      </x:c>
      <x:c r="B12" s="20" t="str">
        <x:v>3</x:v>
      </x:c>
      <x:c r="C12" s="20" t="str">
        <x:v>0-7</x:v>
      </x:c>
      <x:c r="D12" s="20" t="str"/>
    </x:row>
    <x:row r="13">
      <x:c r="A13" s="20" t="n">
        <x:v>614</x:v>
      </x:c>
      <x:c r="B13" s="20" t="str">
        <x:v>4</x:v>
      </x:c>
      <x:c r="C13" s="20" t="str">
        <x:v>0-7</x:v>
      </x:c>
      <x:c r="D13" s="20" t="str"/>
    </x:row>
    <x:row r="14">
      <x:c r="A14" s="20" t="n">
        <x:v>615</x:v>
      </x:c>
      <x:c r="B14" s="20" t="str">
        <x:v>5</x:v>
      </x:c>
      <x:c r="C14" s="20" t="str">
        <x:v>0-7</x:v>
      </x:c>
      <x:c r="D14" s="20" t="str"/>
    </x:row>
    <x:row r="15">
      <x:c r="A15" s="20" t="n">
        <x:v>616</x:v>
      </x:c>
      <x:c r="B15" s="20" t="str">
        <x:v>6</x:v>
      </x:c>
      <x:c r="C15" s="20" t="str">
        <x:v>0-7</x:v>
      </x:c>
      <x:c r="D15" s="20" t="str"/>
    </x:row>
    <x:row r="16">
      <x:c r="A16" s="20" t="n">
        <x:v>617</x:v>
      </x:c>
      <x:c r="B16" s="20" t="str">
        <x:v>7</x:v>
      </x:c>
      <x:c r="C16" s="20" t="str">
        <x:v>0-7</x:v>
      </x:c>
      <x:c r="D16" s="20" t="str"/>
    </x:row>
    <x:row r="17">
      <x:c r="A17" s="20" t="n">
        <x:v>618</x:v>
      </x:c>
      <x:c r="B17" s="20" t="str">
        <x:v>8</x:v>
      </x:c>
      <x:c r="C17" s="20" t="str">
        <x:v>0-7</x:v>
      </x:c>
      <x:c r="D17" s="20" t="str"/>
    </x:row>
    <x:row r="18">
      <x:c r="A18" s="20" t="n">
        <x:v>619</x:v>
      </x:c>
      <x:c r="B18" s="20" t="str">
        <x:v>9</x:v>
      </x:c>
      <x:c r="C18" s="20" t="str">
        <x:v>0-7</x:v>
      </x:c>
      <x:c r="D18" s="20" t="str"/>
    </x:row>
    <x:row r="19">
      <x:c r="A19" s="20" t="n">
        <x:v>620</x:v>
      </x:c>
      <x:c r="B19" s="20" t="str">
        <x:v>10</x:v>
      </x:c>
      <x:c r="C19" s="20" t="str">
        <x:v>0-7</x:v>
      </x:c>
      <x:c r="D19" s="20" t="str"/>
    </x:row>
    <x:row r="20">
      <x:c r="A20" s="20" t="n">
        <x:v>608</x:v>
      </x:c>
      <x:c r="B20" s="20" t="str">
        <x:v>11</x:v>
      </x:c>
      <x:c r="C20" s="20" t="str">
        <x:v>0-7</x:v>
      </x:c>
      <x:c r="D20" s="20" t="str"/>
    </x:row>
    <x:row r="21">
      <x:c r="A21" s="20" t="n">
        <x:v>609</x:v>
      </x:c>
      <x:c r="B21" s="20" t="str">
        <x:v>12</x:v>
      </x:c>
      <x:c r="C21" s="20" t="str">
        <x:v>0-7</x:v>
      </x:c>
      <x:c r="D21" s="20" t="str"/>
    </x:row>
    <x:row r="22">
      <x:c r="A22" s="20" t="n">
        <x:v>611</x:v>
      </x:c>
      <x:c r="B22" s="20" t="str">
        <x:v>13</x:v>
      </x:c>
      <x:c r="C22" s="20" t="str">
        <x:v>0-7</x:v>
      </x:c>
      <x:c r="D22" s="20" t="str"/>
    </x:row>
    <x:row r="23">
      <x:c r="A23" s="20" t="n">
        <x:v>612</x:v>
      </x:c>
      <x:c r="B23" s="20" t="str">
        <x:v>14</x:v>
      </x:c>
      <x:c r="C23" s="20" t="str">
        <x:v>0-7</x:v>
      </x:c>
      <x:c r="D23" s="20" t="str"/>
    </x:row>
    <x:row r="24">
      <x:c r="A24" s="20" t="n">
        <x:v>621</x:v>
      </x:c>
      <x:c r="B24" s="20" t="str">
        <x:v>15</x:v>
      </x:c>
      <x:c r="C24" s="20" t="str">
        <x:v>0-7</x:v>
      </x:c>
      <x:c r="D24" s="20" t="str"/>
    </x:row>
    <x:row r="25">
      <x:c r="A25" s="20" t="n">
        <x:v>622</x:v>
      </x:c>
      <x:c r="B25" s="20" t="str">
        <x:v>16</x:v>
      </x:c>
      <x:c r="C25" s="20" t="str">
        <x:v>0-7</x:v>
      </x:c>
      <x:c r="D25" s="20" t="str"/>
    </x:row>
    <x:row r="26">
      <x:c r="A26" s="20" t="n">
        <x:v>623</x:v>
      </x:c>
      <x:c r="B26" s="20" t="str">
        <x:v>17</x:v>
      </x:c>
      <x:c r="C26" s="20" t="str">
        <x:v>0-7</x:v>
      </x:c>
      <x:c r="D26" s="20" t="str"/>
    </x:row>
    <x:row r="27">
      <x:c r="A27" s="20" t="n">
        <x:v>624</x:v>
      </x:c>
      <x:c r="B27" s="20" t="str">
        <x:v>18</x:v>
      </x:c>
      <x:c r="C27" s="20" t="str">
        <x:v>0-7</x:v>
      </x:c>
      <x:c r="D27" s="20" t="str"/>
    </x:row>
    <x:row r="28">
      <x:c r="A28" s="20" t="n">
        <x:v>632</x:v>
      </x:c>
      <x:c r="B28" s="20" t="str">
        <x:v>19</x:v>
      </x:c>
      <x:c r="C28" s="20" t="str">
        <x:v>0</x:v>
      </x:c>
      <x:c r="D28" s="20" t="str"/>
    </x:row>
    <x:row r="29">
      <x:c r="A29" s="20" t="n">
        <x:v>633</x:v>
      </x:c>
      <x:c r="B29" s="20" t="str">
        <x:v>19</x:v>
      </x:c>
      <x:c r="C29" s="20" t="str">
        <x:v>1</x:v>
      </x:c>
      <x:c r="D29" s="20" t="str"/>
    </x:row>
    <x:row r="30">
      <x:c r="A30" s="20" t="n">
        <x:v>634</x:v>
      </x:c>
      <x:c r="B30" s="20" t="str">
        <x:v>19</x:v>
      </x:c>
      <x:c r="C30" s="20" t="str">
        <x:v>2</x:v>
      </x:c>
      <x:c r="D30" s="20" t="str"/>
    </x:row>
    <x:row r="31">
      <x:c r="A31" s="20" t="n">
        <x:v>635</x:v>
      </x:c>
      <x:c r="B31" s="20" t="str">
        <x:v>19</x:v>
      </x:c>
      <x:c r="C31" s="20" t="str">
        <x:v>3</x:v>
      </x:c>
      <x:c r="D31" s="20" t="str"/>
    </x:row>
    <x:row r="32">
      <x:c r="A32" s="20" t="n">
        <x:v>636</x:v>
      </x:c>
      <x:c r="B32" s="20" t="str">
        <x:v>19</x:v>
      </x:c>
      <x:c r="C32" s="20" t="str">
        <x:v>4</x:v>
      </x:c>
      <x:c r="D32" s="20" t="str"/>
    </x:row>
    <x:row r="33">
      <x:c r="A33" s="20" t="n">
        <x:v>637</x:v>
      </x:c>
      <x:c r="B33" s="20" t="str">
        <x:v>19</x:v>
      </x:c>
      <x:c r="C33" s="20" t="str">
        <x:v>5</x:v>
      </x:c>
      <x:c r="D33" s="20" t="str"/>
    </x:row>
    <x:row r="34">
      <x:c r="A34" s="20" t="n">
        <x:v>638</x:v>
      </x:c>
      <x:c r="B34" s="20" t="str">
        <x:v>19</x:v>
      </x:c>
      <x:c r="C34" s="20" t="str">
        <x:v>6</x:v>
      </x:c>
      <x:c r="D34" s="20" t="str"/>
    </x:row>
    <x:row r="35">
      <x:c r="A35" s="20" t="n">
        <x:v>639</x:v>
      </x:c>
      <x:c r="B35" s="20" t="str">
        <x:v>19</x:v>
      </x:c>
      <x:c r="C35" s="20" t="str">
        <x:v>7</x:v>
      </x:c>
      <x:c r="D35" s="20" t="str"/>
    </x:row>
    <x:row r="36">
      <x:c r="A36" s="20" t="n">
        <x:v>625</x:v>
      </x:c>
      <x:c r="B36" s="20" t="str">
        <x:v>20</x:v>
      </x:c>
      <x:c r="C36" s="20" t="str">
        <x:v>0-7</x:v>
      </x:c>
      <x:c r="D36" s="20" t="str"/>
    </x:row>
    <x:row r="37">
      <x:c r="A37" s="20" t="n">
        <x:v>640</x:v>
      </x:c>
      <x:c r="B37" s="20" t="str">
        <x:v>21</x:v>
      </x:c>
      <x:c r="C37" s="20" t="str">
        <x:v>0-7</x:v>
      </x:c>
      <x:c r="D37" s="20" t="str"/>
    </x:row>
    <x:row r="38">
      <x:c r="A38" s="20" t="n">
        <x:v>641</x:v>
      </x:c>
      <x:c r="B38" s="20" t="str">
        <x:v>22</x:v>
      </x:c>
      <x:c r="C38" s="20" t="str">
        <x:v>0-7</x:v>
      </x:c>
      <x:c r="D38" s="20" t="str"/>
    </x:row>
    <x:row r="39">
      <x:c r="A39" s="20" t="n">
        <x:v>642</x:v>
      </x:c>
      <x:c r="B39" s="20" t="str">
        <x:v>23</x:v>
      </x:c>
      <x:c r="C39" s="20" t="str">
        <x:v>0-7</x:v>
      </x:c>
      <x:c r="D39" s="20" t="str"/>
    </x:row>
    <x:row r="40">
      <x:c r="A40" s="20" t="n">
        <x:v>643</x:v>
      </x:c>
      <x:c r="B40" s="20" t="str">
        <x:v>24</x:v>
      </x:c>
      <x:c r="C40" s="20" t="str">
        <x:v>0-7</x:v>
      </x:c>
      <x:c r="D40" s="20" t="str"/>
    </x:row>
    <x:row r="41">
      <x:c r="A41" s="20" t="n">
        <x:v>644</x:v>
      </x:c>
      <x:c r="B41" s="20" t="str">
        <x:v>25</x:v>
      </x:c>
      <x:c r="C41" s="20" t="str">
        <x:v>0-7</x:v>
      </x:c>
      <x:c r="D41" s="20" t="str"/>
    </x:row>
    <x:row r="42">
      <x:c r="A42" s="20" t="n">
        <x:v>645</x:v>
      </x:c>
      <x:c r="B42" s="20" t="str">
        <x:v>26</x:v>
      </x:c>
      <x:c r="C42" s="20" t="str">
        <x:v>0-7</x:v>
      </x:c>
      <x:c r="D42" s="20" t="str"/>
    </x:row>
    <x:row r="43">
      <x:c r="A43" s="20" t="n">
        <x:v>646</x:v>
      </x:c>
      <x:c r="B43" s="20" t="str">
        <x:v>27</x:v>
      </x:c>
      <x:c r="C43" s="20" t="str">
        <x:v>0-7</x:v>
      </x:c>
      <x:c r="D43" s="20" t="str"/>
    </x:row>
    <x:row r="44">
      <x:c r="A44" s="20" t="n">
        <x:v>647</x:v>
      </x:c>
      <x:c r="B44" s="20" t="str">
        <x:v>28</x:v>
      </x:c>
      <x:c r="C44" s="20" t="str">
        <x:v>0-7</x:v>
      </x:c>
      <x:c r="D44" s="20" t="str"/>
    </x:row>
    <x:row r="45">
      <x:c r="A45" s="20" t="n">
        <x:v>601</x:v>
      </x:c>
      <x:c r="B45" s="20" t="str">
        <x:v>29-30</x:v>
      </x:c>
      <x:c r="C45" s="20" t="str">
        <x:v>0-7</x:v>
      </x:c>
      <x:c r="D45" s="20" t="str">
        <x:v>(16-bit big-endian: (byte29 &lt;&lt; 8) | byte30)</x:v>
      </x:c>
    </x:row>
    <x:row r="46">
      <x:c r="A46" s="20" t="n">
        <x:v>604</x:v>
      </x:c>
      <x:c r="B46" s="20" t="str">
        <x:v>31</x:v>
      </x:c>
      <x:c r="C46" s="20" t="str">
        <x:v>0-7</x:v>
      </x:c>
      <x:c r="D46" s="20" t="str"/>
    </x:row>
    <x:row r="47">
      <x:c r="A47" s="20" t="n">
        <x:v>607</x:v>
      </x:c>
      <x:c r="B47" s="20" t="str">
        <x:v>32</x:v>
      </x:c>
      <x:c r="C47" s="20" t="str">
        <x:v>0-7</x:v>
      </x:c>
      <x:c r="D47" s="20" t="str"/>
    </x:row>
    <x:row r="48">
      <x:c r="A48" s="20" t="n">
        <x:v>610</x:v>
      </x:c>
      <x:c r="B48" s="20" t="str">
        <x:v>33</x:v>
      </x:c>
      <x:c r="C48" s="20" t="str">
        <x:v>0-7</x:v>
      </x:c>
      <x:c r="D48" s="20" t="str"/>
    </x:row>
    <x:row r="49">
      <x:c r="A49" s="20" t="n">
        <x:v>613</x:v>
      </x:c>
      <x:c r="B49" s="20" t="str">
        <x:v>34</x:v>
      </x:c>
      <x:c r="C49" s="20" t="str">
        <x:v>0-7</x:v>
      </x:c>
      <x:c r="D49" s="20" t="str"/>
    </x:row>
    <x:row r="50">
      <x:c r="A50" s="20" t="n">
        <x:v>626</x:v>
      </x:c>
      <x:c r="B50" s="20" t="str">
        <x:v>35</x:v>
      </x:c>
      <x:c r="C50" s="20" t="str">
        <x:v>0-7</x:v>
      </x:c>
      <x:c r="D50" s="20" t="str"/>
    </x:row>
    <x:row r="51">
      <x:c r="A51" s="20" t="n">
        <x:v>627</x:v>
      </x:c>
      <x:c r="B51" s="20" t="str">
        <x:v>36</x:v>
      </x:c>
      <x:c r="C51" s="20" t="str">
        <x:v>0-7</x:v>
      </x:c>
      <x:c r="D51" s="20" t="str"/>
    </x:row>
    <x:row r="52">
      <x:c r="A52" s="20" t="n">
        <x:v>628</x:v>
      </x:c>
      <x:c r="B52" s="20" t="str">
        <x:v>37</x:v>
      </x:c>
      <x:c r="C52" s="20" t="str">
        <x:v>0-7</x:v>
      </x:c>
      <x:c r="D52" s="20" t="str"/>
    </x:row>
    <x:row r="53">
      <x:c r="A53" s="20" t="n">
        <x:v>629</x:v>
      </x:c>
      <x:c r="B53" s="20" t="str">
        <x:v>38</x:v>
      </x:c>
      <x:c r="C53" s="20" t="str">
        <x:v>0-7</x:v>
      </x:c>
      <x:c r="D53" s="20" t="str"/>
    </x:row>
    <x:row r="54">
      <x:c r="A54" s="20" t="n">
        <x:v>648</x:v>
      </x:c>
      <x:c r="B54" s="20" t="str">
        <x:v>39</x:v>
      </x:c>
      <x:c r="C54" s="20" t="str">
        <x:v>0-7</x:v>
      </x:c>
      <x:c r="D54" s="20" t="str"/>
    </x:row>
    <x:row r="55">
      <x:c r="A55" s="20" t="n">
        <x:v>649</x:v>
      </x:c>
      <x:c r="B55" s="20" t="str">
        <x:v>40</x:v>
      </x:c>
      <x:c r="C55" s="20" t="str">
        <x:v>0-7</x:v>
      </x:c>
      <x:c r="D55" s="20" t="str"/>
    </x:row>
    <x:row r="56">
      <x:c r="A56" s="20" t="n">
        <x:v>650</x:v>
      </x:c>
      <x:c r="B56" s="20" t="str">
        <x:v>41</x:v>
      </x:c>
      <x:c r="C56" s="20" t="str">
        <x:v>0-7</x:v>
      </x:c>
      <x:c r="D56" s="20" t="str"/>
    </x:row>
    <x:row r="57">
      <x:c r="A57" s="20" t="n">
        <x:v>651</x:v>
      </x:c>
      <x:c r="B57" s="20" t="str">
        <x:v>42</x:v>
      </x:c>
      <x:c r="C57" s="20" t="str">
        <x:v>0-7</x:v>
      </x:c>
      <x:c r="D57" s="20" t="str"/>
    </x:row>
    <x:row r="58">
      <x:c r="A58" s="20" t="n">
        <x:v>652</x:v>
      </x:c>
      <x:c r="B58" s="20" t="str">
        <x:v>43</x:v>
      </x:c>
      <x:c r="C58" s="20" t="str">
        <x:v>0-7</x:v>
      </x:c>
      <x:c r="D58" s="20" t="str"/>
    </x:row>
    <x:row r="59">
      <x:c r="A59" s="20" t="n">
        <x:v>653</x:v>
      </x:c>
      <x:c r="B59" s="20" t="str">
        <x:v>44</x:v>
      </x:c>
      <x:c r="C59" s="20" t="str">
        <x:v>0-7</x:v>
      </x:c>
      <x:c r="D59" s="20" t="str"/>
    </x:row>
    <x:row r="60">
      <x:c r="A60" s="20" t="n">
        <x:v>654</x:v>
      </x:c>
      <x:c r="B60" s="20" t="str">
        <x:v>45</x:v>
      </x:c>
      <x:c r="C60" s="20" t="str">
        <x:v>0-7</x:v>
      </x:c>
      <x:c r="D60" s="20" t="str"/>
    </x:row>
    <x:row r="61">
      <x:c r="A61" s="20" t="n">
        <x:v>655</x:v>
      </x:c>
      <x:c r="B61" s="20" t="str">
        <x:v>46</x:v>
      </x:c>
      <x:c r="C61" s="20" t="str">
        <x:v>0-7</x:v>
      </x:c>
      <x:c r="D61" s="20" t="str"/>
    </x:row>
    <x:row r="62">
      <x:c r="A62" s="20" t="n">
        <x:v>656</x:v>
      </x:c>
      <x:c r="B62" s="20" t="str">
        <x:v>47</x:v>
      </x:c>
      <x:c r="C62" s="20" t="str">
        <x:v>0-7</x:v>
      </x:c>
      <x:c r="D62" s="20" t="str"/>
    </x:row>
    <x:row r="63">
      <x:c r="A63" s="20" t="n">
        <x:v>657</x:v>
      </x:c>
      <x:c r="B63" s="20" t="str">
        <x:v>48</x:v>
      </x:c>
      <x:c r="C63" s="20" t="str">
        <x:v>0-7</x:v>
      </x:c>
      <x:c r="D63" s="20" t="str"/>
    </x:row>
    <x:row r="64">
      <x:c r="A64" s="20" t="n">
        <x:v>658</x:v>
      </x:c>
      <x:c r="B64" s="20" t="str">
        <x:v>49</x:v>
      </x:c>
      <x:c r="C64" s="20" t="str">
        <x:v>0-7</x:v>
      </x:c>
      <x:c r="D64" s="20" t="str"/>
    </x:row>
    <x:row r="65">
      <x:c r="A65" s="20" t="n">
        <x:v>659</x:v>
      </x:c>
      <x:c r="B65" s="20" t="str">
        <x:v>50</x:v>
      </x:c>
      <x:c r="C65" s="20" t="str">
        <x:v>0-7</x:v>
      </x:c>
      <x:c r="D65" s="20" t="str"/>
    </x:row>
    <x:row r="66">
      <x:c r="A66" s="20" t="n">
        <x:v>660</x:v>
      </x:c>
      <x:c r="B66" s="20" t="str">
        <x:v>51</x:v>
      </x:c>
      <x:c r="C66" s="20" t="str">
        <x:v>0-7</x:v>
      </x:c>
      <x:c r="D66" s="20" t="str"/>
    </x:row>
    <x:row r="67">
      <x:c r="A67" s="20" t="n">
        <x:v>661</x:v>
      </x:c>
      <x:c r="B67" s="20" t="str">
        <x:v>52</x:v>
      </x:c>
      <x:c r="C67" s="20" t="str">
        <x:v>0-7</x:v>
      </x:c>
      <x:c r="D67" s="20" t="str"/>
    </x:row>
    <x:row r="68">
      <x:c r="A68" s="20" t="n">
        <x:v>662</x:v>
      </x:c>
      <x:c r="B68" s="20" t="str">
        <x:v>53</x:v>
      </x:c>
      <x:c r="C68" s="20" t="str">
        <x:v>0-7</x:v>
      </x:c>
      <x:c r="D68" s="20" t="str"/>
    </x:row>
    <x:row r="69">
      <x:c r="A69" s="20" t="n">
        <x:v>630</x:v>
      </x:c>
      <x:c r="B69" s="20" t="str">
        <x:v>54</x:v>
      </x:c>
      <x:c r="C69" s="20" t="str">
        <x:v>0-7</x:v>
      </x:c>
      <x:c r="D69" s="20" t="str"/>
    </x:row>
    <x:row r="70">
      <x:c r="A70" s="20" t="n">
        <x:v>631</x:v>
      </x:c>
      <x:c r="B70" s="20" t="str">
        <x:v>55</x:v>
      </x:c>
      <x:c r="C70" s="20" t="str">
        <x:v>0-7</x:v>
      </x:c>
      <x:c r="D70" s="20" t="str"/>
    </x:row>
    <x:row r="71">
      <x:c r="A71" s="20" t="n">
        <x:v>663</x:v>
      </x:c>
      <x:c r="B71" s="20" t="str">
        <x:v>56</x:v>
      </x:c>
      <x:c r="C71" s="20" t="str">
        <x:v>0-7</x:v>
      </x:c>
      <x:c r="D71" s="20" t="str"/>
    </x:row>
  </x:sheetData>
  <x:mergeCells>
    <x:mergeCell ref="A1:D1"/>
  </x:mergeCells>
  <x:pageMargins left="0.7" right="0.7" top="0.75" bottom="0.75" header="0.3" footer="0.3"/>
  <x:tableParts count="1">
    <x:tablePart xmlns:r="http://schemas.openxmlformats.org/officeDocument/2006/relationships" r:id="R620b2a1c57374112"/>
  </x:tableParts>
</x:worksheet>
</file>

<file path=xl/worksheets/sheet15.xml><?xml version="1.0" encoding="utf-8"?>
<x:worksheet xmlns:x="http://schemas.openxmlformats.org/spreadsheetml/2006/main">
  <x:sheetFormatPr defaultRowHeight="15"/>
  <x:cols>
    <x:col min="1" max="1" width="8" hidden="0" customWidth="1"/>
    <x:col min="2" max="2" width="55"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s>
  <x:sheetData>
    <x:row r="1">
      <x:c r="A1" s="40" t="str">
        <x:v>Toyota Hybrid CAN Database v0.3 — Validated Checkpoint</x:v>
      </x:c>
      <x:c r="B1" s="40" t="str">
        <x:v>Toyota Hybrid CAN Database v0.3 — Validated Checkpoint</x:v>
      </x:c>
      <x:c r="C1" s="40" t="str">
        <x:v>Toyota Hybrid CAN Database v0.3 — Validated Checkpoint</x:v>
      </x:c>
      <x:c r="D1" s="40" t="str">
        <x:v>Toyota Hybrid CAN Database v0.3 — Validated Checkpoint</x:v>
      </x:c>
      <x:c r="E1" s="40" t="str">
        <x:v>Toyota Hybrid CAN Database v0.3 — Validated Checkpoint</x:v>
      </x:c>
      <x:c r="F1" s="40" t="str">
        <x:v>Toyota Hybrid CAN Database v0.3 — Validated Checkpoint</x:v>
      </x:c>
      <x:c r="G1" s="40" t="str">
        <x:v>Toyota Hybrid CAN Database v0.3 — Validated Checkpoint</x:v>
      </x:c>
      <x:c r="H1" s="40" t="str">
        <x:v>Toyota Hybrid CAN Database v0.3 — Validated Checkpoint</x:v>
      </x:c>
    </x:row>
    <x:row r="2">
      <x:c r="A2" s="20"/>
      <x:c r="B2" s="20"/>
      <x:c r="C2" s="20"/>
      <x:c r="D2" s="20"/>
      <x:c r="E2" s="20"/>
      <x:c r="F2" s="20"/>
      <x:c r="G2" s="20"/>
      <x:c r="H2" s="20"/>
    </x:row>
    <x:row r="3">
      <x:c r="A3" s="47" t="str">
        <x:v>Metric</x:v>
      </x:c>
      <x:c r="B3" s="47" t="str">
        <x:v>Value</x:v>
      </x:c>
      <x:c r="C3" s="20"/>
      <x:c r="D3" s="47" t="str">
        <x:v>Camry Capture 02 Timing</x:v>
      </x:c>
      <x:c r="E3" s="47" t="str">
        <x:v>Value</x:v>
      </x:c>
      <x:c r="F3" s="20"/>
      <x:c r="G3" s="20"/>
      <x:c r="H3" s="20"/>
    </x:row>
    <x:row r="4">
      <x:c r="A4" s="20" t="str">
        <x:v>Prius baseline captures</x:v>
      </x:c>
      <x:c r="B4" s="20" t="str">
        <x:v>2</x:v>
      </x:c>
      <x:c r="C4" s="20"/>
      <x:c r="D4" s="20" t="str">
        <x:v>OFF-state background</x:v>
      </x:c>
      <x:c r="E4" s="20" t="str">
        <x:v>~20–25 fps</x:v>
      </x:c>
      <x:c r="F4" s="20"/>
      <x:c r="G4" s="20"/>
      <x:c r="H4" s="20"/>
    </x:row>
    <x:row r="5">
      <x:c r="A5" s="20" t="str">
        <x:v>Camry baseline captures</x:v>
      </x:c>
      <x:c r="B5" s="20" t="str">
        <x:v>2</x:v>
      </x:c>
      <x:c r="C5" s="20"/>
      <x:c r="D5" s="20" t="str">
        <x:v>Wake transition CAN s</x:v>
      </x:c>
      <x:c r="E5" s="20" t="n">
        <x:v>14.704</x:v>
      </x:c>
      <x:c r="F5" s="20"/>
      <x:c r="G5" s="20"/>
      <x:c r="H5" s="20"/>
    </x:row>
    <x:row r="6">
      <x:c r="A6" s="20" t="str">
        <x:v>Total captured frames</x:v>
      </x:c>
      <x:c r="B6" s="20" t="n">
        <x:v>1777537</x:v>
      </x:c>
      <x:c r="C6" s="20"/>
      <x:c r="D6" s="20" t="str">
        <x:v>High-rate active</x:v>
      </x:c>
      <x:c r="E6" s="20" t="str">
        <x:v>~1,300 fps</x:v>
      </x:c>
      <x:c r="F6" s="20"/>
      <x:c r="G6" s="20"/>
      <x:c r="H6" s="20"/>
    </x:row>
    <x:row r="7">
      <x:c r="A7" s="20" t="str">
        <x:v>Camry Capture 02 frames</x:v>
      </x:c>
      <x:c r="B7" s="20" t="n">
        <x:v>740728</x:v>
      </x:c>
      <x:c r="C7" s="20"/>
      <x:c r="D7" s="20" t="str">
        <x:v>Shutdown transition CAN s</x:v>
      </x:c>
      <x:c r="E7" s="20" t="n">
        <x:v>576.005</x:v>
      </x:c>
      <x:c r="F7" s="20"/>
      <x:c r="G7" s="20"/>
      <x:c r="H7" s="20"/>
    </x:row>
    <x:row r="8">
      <x:c r="A8" s="20" t="str">
        <x:v>Camry Capture 02 duration s</x:v>
      </x:c>
      <x:c r="B8" s="20" t="n">
        <x:v>589.084</x:v>
      </x:c>
      <x:c r="C8" s="20"/>
      <x:c r="D8" s="20" t="str">
        <x:v>Audio→CAN slope</x:v>
      </x:c>
      <x:c r="E8" s="20" t="n">
        <x:v>1.00232309</x:v>
      </x:c>
      <x:c r="F8" s="20"/>
      <x:c r="G8" s="20"/>
      <x:c r="H8" s="20"/>
    </x:row>
    <x:row r="9">
      <x:c r="A9" s="20" t="str">
        <x:v>AHV40 normalized signals promoted</x:v>
      </x:c>
      <x:c r="B9" s="20" t="n">
        <x:v>10</x:v>
      </x:c>
      <x:c r="C9" s="20"/>
      <x:c r="D9" s="20" t="str">
        <x:v>Audio→CAN intercept s</x:v>
      </x:c>
      <x:c r="E9" s="20" t="n">
        <x:v>-55.459</x:v>
      </x:c>
      <x:c r="F9" s="20"/>
      <x:c r="G9" s="20"/>
      <x:c r="H9" s="20"/>
    </x:row>
    <x:row r="10">
      <x:c r="A10" s="41" t="str">
        <x:v>Key v0.2 Findings</x:v>
      </x:c>
      <x:c r="B10" s="41" t="str"/>
      <x:c r="C10" s="41" t="str"/>
      <x:c r="D10" s="41" t="str"/>
      <x:c r="E10" s="41" t="str"/>
      <x:c r="F10" s="41" t="str"/>
      <x:c r="G10" s="41" t="str"/>
      <x:c r="H10" s="41" t="str"/>
    </x:row>
    <x:row r="11">
      <x:c r="A11" s="51" t="str">
        <x:v>v0.3 Key Findings</x:v>
      </x:c>
      <x:c r="B11" s="51" t="str"/>
      <x:c r="C11" s="51" t="str"/>
      <x:c r="D11" s="51" t="str"/>
      <x:c r="E11" s="51" t="str"/>
      <x:c r="F11" s="51" t="str"/>
      <x:c r="G11" s="51" t="str"/>
      <x:c r="H11" s="51" t="str"/>
    </x:row>
    <x:row r="12">
      <x:c r="A12" s="20" t="str">
        <x:v>1</x:v>
      </x:c>
      <x:c r="B12" s="20" t="str">
        <x:v>0x025 steering: signed 12-bit field confirmed by narrated steering sweep; 1.5°/count remains a high-confidence scale candidate.</x:v>
      </x:c>
      <x:c r="C12" s="20" t="str"/>
      <x:c r="D12" s="20" t="str"/>
      <x:c r="E12" s="20" t="str"/>
      <x:c r="F12" s="20" t="str"/>
      <x:c r="G12" s="20" t="str"/>
      <x:c r="H12" s="20" t="str"/>
    </x:row>
    <x:row r="13">
      <x:c r="A13" s="20" t="str">
        <x:v>2</x:v>
      </x:c>
      <x:c r="B13" s="20" t="str">
        <x:v>0x0B0/0x0B2 wheel speeds and 0x610 vehicle speed track narrated road speeds and complete stop.</x:v>
      </x:c>
      <x:c r="C13" s="20" t="str"/>
      <x:c r="D13" s="20" t="str"/>
      <x:c r="E13" s="20" t="str"/>
      <x:c r="F13" s="20" t="str"/>
      <x:c r="G13" s="20" t="str"/>
      <x:c r="H13" s="20" t="str"/>
    </x:row>
    <x:row r="14">
      <x:c r="A14" s="20" t="str">
        <x:v>3</x:v>
      </x:c>
      <x:c r="B14" s="20" t="str">
        <x:v>0x120 gear byte cleanly follows P/R/N/D/B; 0x230 byte 3 separates service brake and parking brake bits.</x:v>
      </x:c>
      <x:c r="C14" s="20" t="str"/>
      <x:c r="D14" s="20" t="str"/>
      <x:c r="E14" s="20" t="str"/>
      <x:c r="F14" s="20" t="str"/>
      <x:c r="G14" s="20" t="str"/>
      <x:c r="H14" s="20" t="str"/>
    </x:row>
    <x:row r="15">
      <x:c r="A15" s="20" t="str">
        <x:v>4</x:v>
      </x:c>
      <x:c r="B15" s="20" t="str">
        <x:v>0x381 byte 2 cleanly follows blower levels 0–7; 0x380 is HVAC/A-C related but individual bits remain unmapped.</x:v>
      </x:c>
      <x:c r="C15" s="20" t="str"/>
      <x:c r="D15" s="20" t="str"/>
      <x:c r="E15" s="20" t="str"/>
      <x:c r="F15" s="20" t="str"/>
      <x:c r="G15" s="20" t="str"/>
      <x:c r="H15" s="20" t="str"/>
    </x:row>
    <x:row r="16">
      <x:c r="A16" s="20" t="str">
        <x:v>5</x:v>
      </x:c>
      <x:c r="B16" s="20" t="str">
        <x:v>0x2C4 bytes 0–1 repeatedly track ICE ON/OFF. Signal is confirmed; absolute RPM scaling remains to be corroborated.</x:v>
      </x:c>
      <x:c r="C16" s="20" t="str"/>
      <x:c r="D16" s="20" t="str"/>
      <x:c r="E16" s="20" t="str"/>
      <x:c r="F16" s="20" t="str"/>
      <x:c r="G16" s="20" t="str"/>
      <x:c r="H16" s="20" t="str"/>
    </x:row>
  </x:sheetData>
  <x:mergeCells>
    <x:mergeCell ref="A1:H1"/>
    <x:mergeCell ref="A10:H10"/>
    <x:mergeCell ref="B11:H11"/>
    <x:mergeCell ref="B12:H12"/>
    <x:mergeCell ref="B13:H13"/>
    <x:mergeCell ref="B14:H14"/>
    <x:mergeCell ref="A11:H11"/>
    <x:mergeCell ref="B15:H15"/>
    <x:mergeCell ref="B16:H16"/>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18" hidden="0" customWidth="1"/>
    <x:col min="5" max="5" width="42" hidden="0" customWidth="1"/>
  </x:cols>
  <x:sheetData>
    <x:row r="1">
      <x:c r="A1" s="56" t="str">
        <x:v>Event</x:v>
      </x:c>
      <x:c r="B1" s="56" t="str">
        <x:v>Audio Time s</x:v>
      </x:c>
      <x:c r="C1" s="56" t="str">
        <x:v>Aligned CAN Time s</x:v>
      </x:c>
      <x:c r="D1" s="56" t="str">
        <x:v>Category</x:v>
      </x:c>
      <x:c r="E1" s="56" t="str">
        <x:v>Note</x:v>
      </x:c>
    </x:row>
    <x:row r="2">
      <x:c r="A2" s="20" t="str">
        <x:v>ACC/network wake</x:v>
      </x:c>
      <x:c r="B2" s="57" t="n">
        <x:v>70</x:v>
      </x:c>
      <x:c r="C2" s="57" t="n">
        <x:v>14.704</x:v>
      </x:c>
      <x:c r="D2" s="20" t="str">
        <x:v>Power state</x:v>
      </x:c>
      <x:c r="E2" s="20" t="str">
        <x:v>High-rate CAN wake</x:v>
      </x:c>
    </x:row>
    <x:row r="3">
      <x:c r="A3" s="20" t="str">
        <x:v>Brake pedal pressed</x:v>
      </x:c>
      <x:c r="B3" s="57" t="n">
        <x:v>82</x:v>
      </x:c>
      <x:c r="C3" s="57" t="n">
        <x:v>26.732</x:v>
      </x:c>
      <x:c r="D3" s="20" t="str">
        <x:v>Brake</x:v>
      </x:c>
      <x:c r="E3" s="20" t="str">
        <x:v>Service brake</x:v>
      </x:c>
    </x:row>
    <x:row r="4">
      <x:c r="A4" s="20" t="str">
        <x:v>POWER → READY</x:v>
      </x:c>
      <x:c r="B4" s="57" t="n">
        <x:v>87</x:v>
      </x:c>
      <x:c r="C4" s="57" t="n">
        <x:v>31.743</x:v>
      </x:c>
      <x:c r="D4" s="20" t="str">
        <x:v>Power state</x:v>
      </x:c>
      <x:c r="E4" s="20" t="str">
        <x:v>READY transition</x:v>
      </x:c>
    </x:row>
    <x:row r="5">
      <x:c r="A5" s="20" t="str">
        <x:v>Brake released</x:v>
      </x:c>
      <x:c r="B5" s="57" t="n">
        <x:v>92</x:v>
      </x:c>
      <x:c r="C5" s="57" t="n">
        <x:v>36.755</x:v>
      </x:c>
      <x:c r="D5" s="20" t="str">
        <x:v>Brake</x:v>
      </x:c>
      <x:c r="E5" s="20" t="str">
        <x:v>Service brake</x:v>
      </x:c>
    </x:row>
    <x:row r="6">
      <x:c r="A6" s="20" t="str">
        <x:v>Steering sweep begins</x:v>
      </x:c>
      <x:c r="B6" s="57" t="n">
        <x:v>95</x:v>
      </x:c>
      <x:c r="C6" s="57" t="n">
        <x:v>39.762</x:v>
      </x:c>
      <x:c r="D6" s="20" t="str">
        <x:v>Steering</x:v>
      </x:c>
      <x:c r="E6" s="20" t="str">
        <x:v>Full-left/right/center sequence</x:v>
      </x:c>
    </x:row>
    <x:row r="7">
      <x:c r="A7" s="20" t="str">
        <x:v>Gear test baseline / parking</x:v>
      </x:c>
      <x:c r="B7" s="57" t="n">
        <x:v>125</x:v>
      </x:c>
      <x:c r="C7" s="57" t="n">
        <x:v>69.832</x:v>
      </x:c>
      <x:c r="D7" s="20" t="str">
        <x:v>Gear</x:v>
      </x:c>
      <x:c r="E7" s="20" t="str">
        <x:v>P baseline</x:v>
      </x:c>
    </x:row>
    <x:row r="8">
      <x:c r="A8" s="20" t="str">
        <x:v>Reverse</x:v>
      </x:c>
      <x:c r="B8" s="57" t="n">
        <x:v>130</x:v>
      </x:c>
      <x:c r="C8" s="57" t="n">
        <x:v>74.843</x:v>
      </x:c>
      <x:c r="D8" s="20" t="str">
        <x:v>Gear</x:v>
      </x:c>
      <x:c r="E8" s="20" t="str">
        <x:v>R</x:v>
      </x:c>
    </x:row>
    <x:row r="9">
      <x:c r="A9" s="20" t="str">
        <x:v>Neutral</x:v>
      </x:c>
      <x:c r="B9" s="57" t="n">
        <x:v>139</x:v>
      </x:c>
      <x:c r="C9" s="57" t="n">
        <x:v>83.864</x:v>
      </x:c>
      <x:c r="D9" s="20" t="str">
        <x:v>Gear</x:v>
      </x:c>
      <x:c r="E9" s="20" t="str">
        <x:v>N</x:v>
      </x:c>
    </x:row>
    <x:row r="10">
      <x:c r="A10" s="20" t="str">
        <x:v>Brake release</x:v>
      </x:c>
      <x:c r="B10" s="57" t="n">
        <x:v>146</x:v>
      </x:c>
      <x:c r="C10" s="57" t="n">
        <x:v>90.881</x:v>
      </x:c>
      <x:c r="D10" s="20" t="str">
        <x:v>Brake</x:v>
      </x:c>
      <x:c r="E10" s="20" t="str">
        <x:v>Service brake</x:v>
      </x:c>
    </x:row>
    <x:row r="11">
      <x:c r="A11" s="20" t="str">
        <x:v>Brake reapplied</x:v>
      </x:c>
      <x:c r="B11" s="57" t="n">
        <x:v>147</x:v>
      </x:c>
      <x:c r="C11" s="57" t="n">
        <x:v>91.883</x:v>
      </x:c>
      <x:c r="D11" s="20" t="str">
        <x:v>Brake</x:v>
      </x:c>
      <x:c r="E11" s="20" t="str">
        <x:v>Service brake</x:v>
      </x:c>
    </x:row>
    <x:row r="12">
      <x:c r="A12" s="20" t="str">
        <x:v>Drive</x:v>
      </x:c>
      <x:c r="B12" s="57" t="n">
        <x:v>151</x:v>
      </x:c>
      <x:c r="C12" s="57" t="n">
        <x:v>95.892</x:v>
      </x:c>
      <x:c r="D12" s="20" t="str">
        <x:v>Gear</x:v>
      </x:c>
      <x:c r="E12" s="20" t="str">
        <x:v>D</x:v>
      </x:c>
    </x:row>
    <x:row r="13">
      <x:c r="A13" s="20" t="str">
        <x:v>B mode</x:v>
      </x:c>
      <x:c r="B13" s="57" t="n">
        <x:v>159</x:v>
      </x:c>
      <x:c r="C13" s="57" t="n">
        <x:v>103.911</x:v>
      </x:c>
      <x:c r="D13" s="20" t="str">
        <x:v>Gear</x:v>
      </x:c>
      <x:c r="E13" s="20" t="str">
        <x:v>B</x:v>
      </x:c>
    </x:row>
    <x:row r="14">
      <x:c r="A14" s="20" t="str">
        <x:v>Drive</x:v>
      </x:c>
      <x:c r="B14" s="57" t="n">
        <x:v>169</x:v>
      </x:c>
      <x:c r="C14" s="57" t="n">
        <x:v>113.934</x:v>
      </x:c>
      <x:c r="D14" s="20" t="str">
        <x:v>Gear</x:v>
      </x:c>
      <x:c r="E14" s="20" t="str">
        <x:v>D</x:v>
      </x:c>
    </x:row>
    <x:row r="15">
      <x:c r="A15" s="20" t="str">
        <x:v>Neutral</x:v>
      </x:c>
      <x:c r="B15" s="57" t="n">
        <x:v>171</x:v>
      </x:c>
      <x:c r="C15" s="57" t="n">
        <x:v>115.939</x:v>
      </x:c>
      <x:c r="D15" s="20" t="str">
        <x:v>Gear</x:v>
      </x:c>
      <x:c r="E15" s="20" t="str">
        <x:v>N</x:v>
      </x:c>
    </x:row>
    <x:row r="16">
      <x:c r="A16" s="20" t="str">
        <x:v>Reverse</x:v>
      </x:c>
      <x:c r="B16" s="57" t="n">
        <x:v>173</x:v>
      </x:c>
      <x:c r="C16" s="57" t="n">
        <x:v>117.943</x:v>
      </x:c>
      <x:c r="D16" s="20" t="str">
        <x:v>Gear</x:v>
      </x:c>
      <x:c r="E16" s="20" t="str">
        <x:v>R</x:v>
      </x:c>
    </x:row>
    <x:row r="17">
      <x:c r="A17" s="20" t="str">
        <x:v>Park</x:v>
      </x:c>
      <x:c r="B17" s="57" t="n">
        <x:v>177</x:v>
      </x:c>
      <x:c r="C17" s="57" t="n">
        <x:v>121.953</x:v>
      </x:c>
      <x:c r="D17" s="20" t="str">
        <x:v>Gear</x:v>
      </x:c>
      <x:c r="E17" s="20" t="str">
        <x:v>P</x:v>
      </x:c>
    </x:row>
    <x:row r="18">
      <x:c r="A18" s="20" t="str">
        <x:v>Parking brake ON</x:v>
      </x:c>
      <x:c r="B18" s="57" t="n">
        <x:v>186</x:v>
      </x:c>
      <x:c r="C18" s="57" t="n">
        <x:v>130.973</x:v>
      </x:c>
      <x:c r="D18" s="20" t="str">
        <x:v>Parking brake</x:v>
      </x:c>
      <x:c r="E18" s="20" t="str">
        <x:v>ON</x:v>
      </x:c>
    </x:row>
    <x:row r="19">
      <x:c r="A19" s="20" t="str">
        <x:v>Parking brake OFF</x:v>
      </x:c>
      <x:c r="B19" s="57" t="n">
        <x:v>190</x:v>
      </x:c>
      <x:c r="C19" s="57" t="n">
        <x:v>134.983</x:v>
      </x:c>
      <x:c r="D19" s="20" t="str">
        <x:v>Parking brake</x:v>
      </x:c>
      <x:c r="E19" s="20" t="str">
        <x:v>OFF</x:v>
      </x:c>
    </x:row>
    <x:row r="20">
      <x:c r="A20" s="20" t="str">
        <x:v>Parking brake ON</x:v>
      </x:c>
      <x:c r="B20" s="57" t="n">
        <x:v>195</x:v>
      </x:c>
      <x:c r="C20" s="57" t="n">
        <x:v>139.994</x:v>
      </x:c>
      <x:c r="D20" s="20" t="str">
        <x:v>Parking brake</x:v>
      </x:c>
      <x:c r="E20" s="20" t="str">
        <x:v>ON</x:v>
      </x:c>
    </x:row>
    <x:row r="21">
      <x:c r="A21" s="20" t="str">
        <x:v>Parking brake OFF</x:v>
      </x:c>
      <x:c r="B21" s="57" t="n">
        <x:v>198</x:v>
      </x:c>
      <x:c r="C21" s="57" t="n">
        <x:v>143.001</x:v>
      </x:c>
      <x:c r="D21" s="20" t="str">
        <x:v>Parking brake</x:v>
      </x:c>
      <x:c r="E21" s="20" t="str">
        <x:v>OFF</x:v>
      </x:c>
    </x:row>
    <x:row r="22">
      <x:c r="A22" s="20" t="str">
        <x:v>Fan low</x:v>
      </x:c>
      <x:c r="B22" s="57" t="n">
        <x:v>216</x:v>
      </x:c>
      <x:c r="C22" s="57" t="n">
        <x:v>161.043</x:v>
      </x:c>
      <x:c r="D22" s="20" t="str">
        <x:v>HVAC</x:v>
      </x:c>
      <x:c r="E22" s="20" t="str">
        <x:v>Level 1</x:v>
      </x:c>
    </x:row>
    <x:row r="23">
      <x:c r="A23" s="20" t="str">
        <x:v>Fan 2 bars</x:v>
      </x:c>
      <x:c r="B23" s="57" t="n">
        <x:v>222</x:v>
      </x:c>
      <x:c r="C23" s="57" t="n">
        <x:v>167.057</x:v>
      </x:c>
      <x:c r="D23" s="20" t="str">
        <x:v>HVAC</x:v>
      </x:c>
      <x:c r="E23" s="20" t="str">
        <x:v>Level 2</x:v>
      </x:c>
    </x:row>
    <x:row r="24">
      <x:c r="A24" s="20" t="str">
        <x:v>Fan 3 bars</x:v>
      </x:c>
      <x:c r="B24" s="57" t="n">
        <x:v>226</x:v>
      </x:c>
      <x:c r="C24" s="57" t="n">
        <x:v>171.066</x:v>
      </x:c>
      <x:c r="D24" s="20" t="str">
        <x:v>HVAC</x:v>
      </x:c>
      <x:c r="E24" s="20" t="str">
        <x:v>Level 3</x:v>
      </x:c>
    </x:row>
    <x:row r="25">
      <x:c r="A25" s="20" t="str">
        <x:v>Fan 4/5 bars</x:v>
      </x:c>
      <x:c r="B25" s="57" t="n">
        <x:v>228</x:v>
      </x:c>
      <x:c r="C25" s="57" t="n">
        <x:v>173.071</x:v>
      </x:c>
      <x:c r="D25" s="20" t="str">
        <x:v>HVAC</x:v>
      </x:c>
      <x:c r="E25" s="20" t="str">
        <x:v>Intermediate</x:v>
      </x:c>
    </x:row>
    <x:row r="26">
      <x:c r="A26" s="20" t="str">
        <x:v>Fan 6 bars</x:v>
      </x:c>
      <x:c r="B26" s="57" t="n">
        <x:v>232</x:v>
      </x:c>
      <x:c r="C26" s="57" t="n">
        <x:v>177.08</x:v>
      </x:c>
      <x:c r="D26" s="20" t="str">
        <x:v>HVAC</x:v>
      </x:c>
      <x:c r="E26" s="20" t="str">
        <x:v>Level 6</x:v>
      </x:c>
    </x:row>
    <x:row r="27">
      <x:c r="A27" s="20" t="str">
        <x:v>Full fan / A-C</x:v>
      </x:c>
      <x:c r="B27" s="57" t="n">
        <x:v>239</x:v>
      </x:c>
      <x:c r="C27" s="57" t="n">
        <x:v>184.097</x:v>
      </x:c>
      <x:c r="D27" s="20" t="str">
        <x:v>HVAC</x:v>
      </x:c>
      <x:c r="E27" s="20" t="str">
        <x:v>Full</x:v>
      </x:c>
    </x:row>
    <x:row r="28">
      <x:c r="A28" s="20" t="str">
        <x:v>Seatbelt buckled</x:v>
      </x:c>
      <x:c r="B28" s="57" t="n">
        <x:v>259</x:v>
      </x:c>
      <x:c r="C28" s="57" t="n">
        <x:v>204.143</x:v>
      </x:c>
      <x:c r="D28" s="20" t="str">
        <x:v>Body</x:v>
      </x:c>
      <x:c r="E28" s="20" t="str">
        <x:v>Seatbelt</x:v>
      </x:c>
    </x:row>
    <x:row r="29">
      <x:c r="A29" s="20" t="str">
        <x:v>Driver door open/close</x:v>
      </x:c>
      <x:c r="B29" s="57" t="n">
        <x:v>275</x:v>
      </x:c>
      <x:c r="C29" s="57" t="n">
        <x:v>220.18</x:v>
      </x:c>
      <x:c r="D29" s="20" t="str">
        <x:v>Body</x:v>
      </x:c>
      <x:c r="E29" s="20" t="str">
        <x:v>Door event</x:v>
      </x:c>
    </x:row>
    <x:row r="30">
      <x:c r="A30" s="20" t="str">
        <x:v>Lights AUTO</x:v>
      </x:c>
      <x:c r="B30" s="57" t="n">
        <x:v>343</x:v>
      </x:c>
      <x:c r="C30" s="57" t="n">
        <x:v>288.338</x:v>
      </x:c>
      <x:c r="D30" s="20" t="str">
        <x:v>Lighting</x:v>
      </x:c>
      <x:c r="E30" s="20" t="str">
        <x:v>AUTO</x:v>
      </x:c>
    </x:row>
    <x:row r="31">
      <x:c r="A31" s="20" t="str">
        <x:v>Lights next position</x:v>
      </x:c>
      <x:c r="B31" s="57" t="n">
        <x:v>345</x:v>
      </x:c>
      <x:c r="C31" s="57" t="n">
        <x:v>290.343</x:v>
      </x:c>
      <x:c r="D31" s="20" t="str">
        <x:v>Lighting</x:v>
      </x:c>
      <x:c r="E31" s="20" t="str">
        <x:v>position</x:v>
      </x:c>
    </x:row>
    <x:row r="32">
      <x:c r="A32" s="20" t="str">
        <x:v>Lights highest position</x:v>
      </x:c>
      <x:c r="B32" s="57" t="n">
        <x:v>349</x:v>
      </x:c>
      <x:c r="C32" s="57" t="n">
        <x:v>294.352</x:v>
      </x:c>
      <x:c r="D32" s="20" t="str">
        <x:v>Lighting</x:v>
      </x:c>
      <x:c r="E32" s="20" t="str">
        <x:v>position</x:v>
      </x:c>
    </x:row>
    <x:row r="33">
      <x:c r="A33" s="20" t="str">
        <x:v>Lights back to AUTO</x:v>
      </x:c>
      <x:c r="B33" s="57" t="n">
        <x:v>358</x:v>
      </x:c>
      <x:c r="C33" s="57" t="n">
        <x:v>303.373</x:v>
      </x:c>
      <x:c r="D33" s="20" t="str">
        <x:v>Lighting</x:v>
      </x:c>
      <x:c r="E33" s="20" t="str">
        <x:v>AUTO</x:v>
      </x:c>
    </x:row>
    <x:row r="34">
      <x:c r="A34" s="20" t="str">
        <x:v>ICE OFF</x:v>
      </x:c>
      <x:c r="B34" s="57" t="n">
        <x:v>362</x:v>
      </x:c>
      <x:c r="C34" s="57" t="n">
        <x:v>307.382</x:v>
      </x:c>
      <x:c r="D34" s="20" t="str">
        <x:v>ICE</x:v>
      </x:c>
      <x:c r="E34" s="20" t="str">
        <x:v>Engine stops</x:v>
      </x:c>
    </x:row>
    <x:row r="35">
      <x:c r="A35" s="20" t="str">
        <x:v>Reverse</x:v>
      </x:c>
      <x:c r="B35" s="57" t="n">
        <x:v>365</x:v>
      </x:c>
      <x:c r="C35" s="57" t="n">
        <x:v>310.389</x:v>
      </x:c>
      <x:c r="D35" s="20" t="str">
        <x:v>Gear</x:v>
      </x:c>
      <x:c r="E35" s="20" t="str">
        <x:v>R</x:v>
      </x:c>
    </x:row>
    <x:row r="36">
      <x:c r="A36" s="20" t="str">
        <x:v>Drive</x:v>
      </x:c>
      <x:c r="B36" s="57" t="n">
        <x:v>380</x:v>
      </x:c>
      <x:c r="C36" s="57" t="n">
        <x:v>325.424</x:v>
      </x:c>
      <x:c r="D36" s="20" t="str">
        <x:v>Gear</x:v>
      </x:c>
      <x:c r="E36" s="20" t="str">
        <x:v>D</x:v>
      </x:c>
    </x:row>
    <x:row r="37">
      <x:c r="A37" s="20" t="str">
        <x:v>Brake</x:v>
      </x:c>
      <x:c r="B37" s="57" t="n">
        <x:v>398</x:v>
      </x:c>
      <x:c r="C37" s="57" t="n">
        <x:v>343.466</x:v>
      </x:c>
      <x:c r="D37" s="20" t="str">
        <x:v>Brake</x:v>
      </x:c>
      <x:c r="E37" s="20" t="str">
        <x:v>Service brake</x:v>
      </x:c>
    </x:row>
    <x:row r="38">
      <x:c r="A38" s="20" t="str">
        <x:v>Left signal</x:v>
      </x:c>
      <x:c r="B38" s="57" t="n">
        <x:v>400</x:v>
      </x:c>
      <x:c r="C38" s="57" t="n">
        <x:v>345.471</x:v>
      </x:c>
      <x:c r="D38" s="20" t="str">
        <x:v>Turn signal</x:v>
      </x:c>
      <x:c r="E38" s="20" t="str">
        <x:v>Left</x:v>
      </x:c>
    </x:row>
    <x:row r="39">
      <x:c r="A39" s="20" t="str">
        <x:v>~10 mph</x:v>
      </x:c>
      <x:c r="B39" s="57" t="n">
        <x:v>410</x:v>
      </x:c>
      <x:c r="C39" s="57" t="n">
        <x:v>355.494</x:v>
      </x:c>
      <x:c r="D39" s="20" t="str">
        <x:v>Vehicle speed</x:v>
      </x:c>
      <x:c r="E39" s="20" t="str">
        <x:v>~10 mph</x:v>
      </x:c>
    </x:row>
    <x:row r="40">
      <x:c r="A40" s="20" t="str">
        <x:v>Brake</x:v>
      </x:c>
      <x:c r="B40" s="57" t="n">
        <x:v>442</x:v>
      </x:c>
      <x:c r="C40" s="57" t="n">
        <x:v>387.568</x:v>
      </x:c>
      <x:c r="D40" s="20" t="str">
        <x:v>Brake</x:v>
      </x:c>
      <x:c r="E40" s="20" t="str">
        <x:v>Service brake</x:v>
      </x:c>
    </x:row>
    <x:row r="41">
      <x:c r="A41" s="20" t="str">
        <x:v>ICE ON</x:v>
      </x:c>
      <x:c r="B41" s="57" t="n">
        <x:v>462</x:v>
      </x:c>
      <x:c r="C41" s="57" t="n">
        <x:v>407.615</x:v>
      </x:c>
      <x:c r="D41" s="20" t="str">
        <x:v>ICE</x:v>
      </x:c>
      <x:c r="E41" s="20" t="str">
        <x:v>Engine starts</x:v>
      </x:c>
    </x:row>
    <x:row r="42">
      <x:c r="A42" s="20" t="str">
        <x:v>Brake</x:v>
      </x:c>
      <x:c r="B42" s="57" t="n">
        <x:v>482</x:v>
      </x:c>
      <x:c r="C42" s="57" t="n">
        <x:v>427.661</x:v>
      </x:c>
      <x:c r="D42" s="20" t="str">
        <x:v>Brake</x:v>
      </x:c>
      <x:c r="E42" s="20" t="str">
        <x:v>Service brake</x:v>
      </x:c>
    </x:row>
    <x:row r="43">
      <x:c r="A43" s="20" t="str">
        <x:v>EV / slow acceleration</x:v>
      </x:c>
      <x:c r="B43" s="57" t="n">
        <x:v>510</x:v>
      </x:c>
      <x:c r="C43" s="57" t="n">
        <x:v>455.726</x:v>
      </x:c>
      <x:c r="D43" s="20" t="str">
        <x:v>ICE/EV</x:v>
      </x:c>
      <x:c r="E43" s="20" t="str">
        <x:v>EV</x:v>
      </x:c>
    </x:row>
    <x:row r="44">
      <x:c r="A44" s="20" t="str">
        <x:v>ICE ON</x:v>
      </x:c>
      <x:c r="B44" s="57" t="n">
        <x:v>534</x:v>
      </x:c>
      <x:c r="C44" s="57" t="n">
        <x:v>479.782</x:v>
      </x:c>
      <x:c r="D44" s="20" t="str">
        <x:v>ICE</x:v>
      </x:c>
      <x:c r="E44" s="20" t="str">
        <x:v>Engine starts</x:v>
      </x:c>
    </x:row>
    <x:row r="45">
      <x:c r="A45" s="20" t="str">
        <x:v>ICE ON</x:v>
      </x:c>
      <x:c r="B45" s="57" t="n">
        <x:v>553</x:v>
      </x:c>
      <x:c r="C45" s="57" t="n">
        <x:v>498.826</x:v>
      </x:c>
      <x:c r="D45" s="20" t="str">
        <x:v>ICE</x:v>
      </x:c>
      <x:c r="E45" s="20" t="str">
        <x:v>Engine starts</x:v>
      </x:c>
    </x:row>
    <x:row r="46">
      <x:c r="A46" s="20" t="str">
        <x:v>ICE OFF / ~5 mph</x:v>
      </x:c>
      <x:c r="B46" s="57" t="n">
        <x:v>580</x:v>
      </x:c>
      <x:c r="C46" s="57" t="n">
        <x:v>525.889</x:v>
      </x:c>
      <x:c r="D46" s="20" t="str">
        <x:v>ICE/Speed</x:v>
      </x:c>
      <x:c r="E46" s="20" t="str">
        <x:v>Engine stops</x:v>
      </x:c>
    </x:row>
    <x:row r="47">
      <x:c r="A47" s="20" t="str">
        <x:v>Brake + right signal</x:v>
      </x:c>
      <x:c r="B47" s="57" t="n">
        <x:v>590</x:v>
      </x:c>
      <x:c r="C47" s="57" t="n">
        <x:v>535.912</x:v>
      </x:c>
      <x:c r="D47" s="20" t="str">
        <x:v>Brake/Turn</x:v>
      </x:c>
      <x:c r="E47" s="20" t="str">
        <x:v>Brake + right</x:v>
      </x:c>
    </x:row>
    <x:row r="48">
      <x:c r="A48" s="20" t="str">
        <x:v>Complete stop</x:v>
      </x:c>
      <x:c r="B48" s="57" t="n">
        <x:v>606</x:v>
      </x:c>
      <x:c r="C48" s="57" t="n">
        <x:v>551.949</x:v>
      </x:c>
      <x:c r="D48" s="20" t="str">
        <x:v>Vehicle speed</x:v>
      </x:c>
      <x:c r="E48" s="20" t="str">
        <x:v>0 mph</x:v>
      </x:c>
    </x:row>
    <x:row r="49">
      <x:c r="A49" s="20" t="str">
        <x:v>Neutral</x:v>
      </x:c>
      <x:c r="B49" s="57" t="n">
        <x:v>612</x:v>
      </x:c>
      <x:c r="C49" s="57" t="n">
        <x:v>557.963</x:v>
      </x:c>
      <x:c r="D49" s="20" t="str">
        <x:v>Gear</x:v>
      </x:c>
      <x:c r="E49" s="20" t="str">
        <x:v>N</x:v>
      </x:c>
    </x:row>
    <x:row r="50">
      <x:c r="A50" s="20" t="str">
        <x:v>Reverse</x:v>
      </x:c>
      <x:c r="B50" s="57" t="n">
        <x:v>614</x:v>
      </x:c>
      <x:c r="C50" s="57" t="n">
        <x:v>559.968</x:v>
      </x:c>
      <x:c r="D50" s="20" t="str">
        <x:v>Gear</x:v>
      </x:c>
      <x:c r="E50" s="20" t="str">
        <x:v>R</x:v>
      </x:c>
    </x:row>
    <x:row r="51">
      <x:c r="A51" s="20" t="str">
        <x:v>Park</x:v>
      </x:c>
      <x:c r="B51" s="57" t="n">
        <x:v>617</x:v>
      </x:c>
      <x:c r="C51" s="57" t="n">
        <x:v>562.975</x:v>
      </x:c>
      <x:c r="D51" s="20" t="str">
        <x:v>Gear</x:v>
      </x:c>
      <x:c r="E51" s="20" t="str">
        <x:v>P</x:v>
      </x:c>
    </x:row>
    <x:row r="52">
      <x:c r="A52" s="20" t="str">
        <x:v>Lights OFF</x:v>
      </x:c>
      <x:c r="B52" s="57" t="n">
        <x:v>622</x:v>
      </x:c>
      <x:c r="C52" s="57" t="n">
        <x:v>567.986</x:v>
      </x:c>
      <x:c r="D52" s="20" t="str">
        <x:v>Lighting</x:v>
      </x:c>
      <x:c r="E52" s="20" t="str">
        <x:v>OFF</x:v>
      </x:c>
    </x:row>
    <x:row r="53">
      <x:c r="A53" s="20" t="str">
        <x:v>POWER OFF</x:v>
      </x:c>
      <x:c r="B53" s="57" t="n">
        <x:v>630</x:v>
      </x:c>
      <x:c r="C53" s="57" t="n">
        <x:v>576.005</x:v>
      </x:c>
      <x:c r="D53" s="20" t="str">
        <x:v>Power state</x:v>
      </x:c>
      <x:c r="E53" s="20" t="str">
        <x:v>High-rate bus collapses</x:v>
      </x:c>
    </x:row>
    <x:row r="55">
      <x:c r="A55" s="59" t="str">
        <x:v>Synchronization model</x:v>
      </x:c>
      <x:c r="B55" s="59" t="str"/>
      <x:c r="C55" s="59" t="str"/>
      <x:c r="D55" s="59" t="str"/>
      <x:c r="E55" s="59" t="str"/>
    </x:row>
    <x:row r="56">
      <x:c r="A56" t="str">
        <x:v>Wake anchor</x:v>
      </x:c>
      <x:c r="B56" t="str">
        <x:v>Audio 70.000 s</x:v>
      </x:c>
      <x:c r="C56" t="str">
        <x:v>CAN 14.704 s</x:v>
      </x:c>
      <x:c r="D56" t="str">
        <x:v>OFF/ACC transition</x:v>
      </x:c>
      <x:c r="E56" t="str">
        <x:v>Low-rate ~20–25 fps → high-rate ~1300 fps</x:v>
      </x:c>
    </x:row>
    <x:row r="57">
      <x:c r="A57" t="str">
        <x:v>Shutdown anchor</x:v>
      </x:c>
      <x:c r="B57" t="str">
        <x:v>Audio 630.000 s</x:v>
      </x:c>
      <x:c r="C57" t="str">
        <x:v>CAN 576.005 s</x:v>
      </x:c>
      <x:c r="D57" t="str">
        <x:v>POWER OFF</x:v>
      </x:c>
      <x:c r="E57" t="str">
        <x:v>High-rate → low-rate bus</x:v>
      </x:c>
    </x:row>
    <x:row r="58">
      <x:c r="A58" t="str">
        <x:v>Transform</x:v>
      </x:c>
      <x:c r="B58" t="str">
        <x:v>CAN = 1.00232309 × Audio + (-55.459)</x:v>
      </x:c>
      <x:c r="C58" t="str"/>
      <x:c r="D58" t="str"/>
      <x:c r="E58" t="str"/>
    </x:row>
    <x:row r="59">
      <x:c r="A59" t="str">
        <x:v>Use</x:v>
      </x:c>
      <x:c r="B59" t="str">
        <x:v>Approximate event-window alignment; narration/action timing remains the dominant uncertainty</x:v>
      </x:c>
      <x:c r="C59" t="str"/>
      <x:c r="D59" t="str"/>
      <x:c r="E59" t="str"/>
    </x:row>
  </x:sheetData>
  <x:pageMargins left="0.7" right="0.7" top="0.75" bottom="0.75" header="0.3" footer="0.3"/>
  <x:tableParts count="1">
    <x:tablePart xmlns:r="http://schemas.openxmlformats.org/officeDocument/2006/relationships" r:id="Rd6e64d219bbb4300"/>
  </x:tableParts>
</x:worksheet>
</file>

<file path=xl/worksheets/sheet17.xml><?xml version="1.0" encoding="utf-8"?>
<x:worksheet xmlns:x="http://schemas.openxmlformats.org/spreadsheetml/2006/main">
  <x:sheetFormatPr defaultRowHeight="15"/>
  <x:cols>
    <x:col min="1" max="1" width="14" hidden="0" customWidth="1"/>
    <x:col min="2" max="2" width="18" hidden="0" customWidth="1"/>
  </x:cols>
  <x:sheetData>
    <x:row r="1">
      <x:c r="A1" s="56" t="str">
        <x:v>CAN Time s</x:v>
      </x:c>
      <x:c r="B1" s="56" t="str">
        <x:v>Frames / second</x:v>
      </x:c>
    </x:row>
    <x:row r="2">
      <x:c r="A2" s="20" t="n">
        <x:v>0</x:v>
      </x:c>
      <x:c r="B2" s="20" t="n">
        <x:v>156</x:v>
      </x:c>
    </x:row>
    <x:row r="3">
      <x:c r="A3" s="20" t="n">
        <x:v>1</x:v>
      </x:c>
      <x:c r="B3" s="20" t="n">
        <x:v>23</x:v>
      </x:c>
    </x:row>
    <x:row r="4">
      <x:c r="A4" s="20" t="n">
        <x:v>2</x:v>
      </x:c>
      <x:c r="B4" s="20" t="n">
        <x:v>24</x:v>
      </x:c>
    </x:row>
    <x:row r="5">
      <x:c r="A5" s="20" t="n">
        <x:v>3</x:v>
      </x:c>
      <x:c r="B5" s="20" t="n">
        <x:v>25</x:v>
      </x:c>
    </x:row>
    <x:row r="6">
      <x:c r="A6" s="20" t="n">
        <x:v>4</x:v>
      </x:c>
      <x:c r="B6" s="20" t="n">
        <x:v>22</x:v>
      </x:c>
    </x:row>
    <x:row r="7">
      <x:c r="A7" s="20" t="n">
        <x:v>5</x:v>
      </x:c>
      <x:c r="B7" s="20" t="n">
        <x:v>23</x:v>
      </x:c>
    </x:row>
    <x:row r="8">
      <x:c r="A8" s="20" t="n">
        <x:v>6</x:v>
      </x:c>
      <x:c r="B8" s="20" t="n">
        <x:v>23</x:v>
      </x:c>
    </x:row>
    <x:row r="9">
      <x:c r="A9" s="20" t="n">
        <x:v>7</x:v>
      </x:c>
      <x:c r="B9" s="20" t="n">
        <x:v>22</x:v>
      </x:c>
    </x:row>
    <x:row r="10">
      <x:c r="A10" s="20" t="n">
        <x:v>8</x:v>
      </x:c>
      <x:c r="B10" s="20" t="n">
        <x:v>23</x:v>
      </x:c>
    </x:row>
    <x:row r="11">
      <x:c r="A11" s="20" t="n">
        <x:v>9</x:v>
      </x:c>
      <x:c r="B11" s="20" t="n">
        <x:v>23</x:v>
      </x:c>
    </x:row>
    <x:row r="12">
      <x:c r="A12" s="20" t="n">
        <x:v>10</x:v>
      </x:c>
      <x:c r="B12" s="20" t="n">
        <x:v>24</x:v>
      </x:c>
    </x:row>
    <x:row r="13">
      <x:c r="A13" s="20" t="n">
        <x:v>11</x:v>
      </x:c>
      <x:c r="B13" s="20" t="n">
        <x:v>22</x:v>
      </x:c>
    </x:row>
    <x:row r="14">
      <x:c r="A14" s="20" t="n">
        <x:v>12</x:v>
      </x:c>
      <x:c r="B14" s="20" t="n">
        <x:v>27</x:v>
      </x:c>
    </x:row>
    <x:row r="15">
      <x:c r="A15" s="20" t="n">
        <x:v>13</x:v>
      </x:c>
      <x:c r="B15" s="20" t="n">
        <x:v>22</x:v>
      </x:c>
    </x:row>
    <x:row r="16">
      <x:c r="A16" s="20" t="n">
        <x:v>14</x:v>
      </x:c>
      <x:c r="B16" s="20" t="n">
        <x:v>398</x:v>
      </x:c>
    </x:row>
    <x:row r="17">
      <x:c r="A17" s="20" t="n">
        <x:v>15</x:v>
      </x:c>
      <x:c r="B17" s="20" t="n">
        <x:v>1323</x:v>
      </x:c>
    </x:row>
    <x:row r="18">
      <x:c r="A18" s="20" t="n">
        <x:v>16</x:v>
      </x:c>
      <x:c r="B18" s="20" t="n">
        <x:v>1321</x:v>
      </x:c>
    </x:row>
    <x:row r="19">
      <x:c r="A19" s="20" t="n">
        <x:v>17</x:v>
      </x:c>
      <x:c r="B19" s="20" t="n">
        <x:v>1315</x:v>
      </x:c>
    </x:row>
    <x:row r="20">
      <x:c r="A20" s="20" t="n">
        <x:v>18</x:v>
      </x:c>
      <x:c r="B20" s="20" t="n">
        <x:v>1318</x:v>
      </x:c>
    </x:row>
    <x:row r="21">
      <x:c r="A21" s="20" t="n">
        <x:v>19</x:v>
      </x:c>
      <x:c r="B21" s="20" t="n">
        <x:v>1314</x:v>
      </x:c>
    </x:row>
    <x:row r="22">
      <x:c r="A22" s="20" t="n">
        <x:v>20</x:v>
      </x:c>
      <x:c r="B22" s="20" t="n">
        <x:v>1321</x:v>
      </x:c>
    </x:row>
    <x:row r="23">
      <x:c r="A23" s="20" t="n">
        <x:v>21</x:v>
      </x:c>
      <x:c r="B23" s="20" t="n">
        <x:v>1314</x:v>
      </x:c>
    </x:row>
    <x:row r="24">
      <x:c r="A24" s="20" t="n">
        <x:v>22</x:v>
      </x:c>
      <x:c r="B24" s="20" t="n">
        <x:v>1320</x:v>
      </x:c>
    </x:row>
    <x:row r="25">
      <x:c r="A25" s="20" t="n">
        <x:v>23</x:v>
      </x:c>
      <x:c r="B25" s="20" t="n">
        <x:v>1312</x:v>
      </x:c>
    </x:row>
    <x:row r="26">
      <x:c r="A26" s="20" t="n">
        <x:v>24</x:v>
      </x:c>
      <x:c r="B26" s="20" t="n">
        <x:v>1323</x:v>
      </x:c>
    </x:row>
    <x:row r="27">
      <x:c r="A27" s="20" t="n">
        <x:v>25</x:v>
      </x:c>
      <x:c r="B27" s="20" t="n">
        <x:v>1319</x:v>
      </x:c>
    </x:row>
    <x:row r="28">
      <x:c r="A28" s="20" t="n">
        <x:v>26</x:v>
      </x:c>
      <x:c r="B28" s="20" t="n">
        <x:v>1315</x:v>
      </x:c>
    </x:row>
    <x:row r="29">
      <x:c r="A29" s="20" t="n">
        <x:v>27</x:v>
      </x:c>
      <x:c r="B29" s="20" t="n">
        <x:v>1316</x:v>
      </x:c>
    </x:row>
    <x:row r="30">
      <x:c r="A30" s="20" t="n">
        <x:v>28</x:v>
      </x:c>
      <x:c r="B30" s="20" t="n">
        <x:v>1322</x:v>
      </x:c>
    </x:row>
    <x:row r="31">
      <x:c r="A31" s="20" t="n">
        <x:v>29</x:v>
      </x:c>
      <x:c r="B31" s="20" t="n">
        <x:v>1317</x:v>
      </x:c>
    </x:row>
    <x:row r="32">
      <x:c r="A32" s="20" t="n">
        <x:v>30</x:v>
      </x:c>
      <x:c r="B32" s="20" t="n">
        <x:v>1319</x:v>
      </x:c>
    </x:row>
    <x:row r="33">
      <x:c r="A33" s="20" t="n">
        <x:v>31</x:v>
      </x:c>
      <x:c r="B33" s="20" t="n">
        <x:v>1317</x:v>
      </x:c>
    </x:row>
    <x:row r="34">
      <x:c r="A34" s="20" t="n">
        <x:v>32</x:v>
      </x:c>
      <x:c r="B34" s="20" t="n">
        <x:v>1318</x:v>
      </x:c>
    </x:row>
    <x:row r="35">
      <x:c r="A35" s="20" t="n">
        <x:v>33</x:v>
      </x:c>
      <x:c r="B35" s="20" t="n">
        <x:v>1315</x:v>
      </x:c>
    </x:row>
    <x:row r="36">
      <x:c r="A36" s="20" t="n">
        <x:v>34</x:v>
      </x:c>
      <x:c r="B36" s="20" t="n">
        <x:v>1327</x:v>
      </x:c>
    </x:row>
    <x:row r="37">
      <x:c r="A37" s="20" t="n">
        <x:v>35</x:v>
      </x:c>
      <x:c r="B37" s="20" t="n">
        <x:v>1322</x:v>
      </x:c>
    </x:row>
    <x:row r="38">
      <x:c r="A38" s="20" t="n">
        <x:v>36</x:v>
      </x:c>
      <x:c r="B38" s="20" t="n">
        <x:v>1323</x:v>
      </x:c>
    </x:row>
    <x:row r="39">
      <x:c r="A39" s="20" t="n">
        <x:v>37</x:v>
      </x:c>
      <x:c r="B39" s="20" t="n">
        <x:v>1319</x:v>
      </x:c>
    </x:row>
    <x:row r="40">
      <x:c r="A40" s="20" t="n">
        <x:v>38</x:v>
      </x:c>
      <x:c r="B40" s="20" t="n">
        <x:v>1320</x:v>
      </x:c>
    </x:row>
    <x:row r="41">
      <x:c r="A41" s="20" t="n">
        <x:v>39</x:v>
      </x:c>
      <x:c r="B41" s="20" t="n">
        <x:v>1317</x:v>
      </x:c>
    </x:row>
    <x:row r="42">
      <x:c r="A42" s="20" t="n">
        <x:v>40</x:v>
      </x:c>
      <x:c r="B42" s="20" t="n">
        <x:v>1320</x:v>
      </x:c>
    </x:row>
    <x:row r="43">
      <x:c r="A43" s="20" t="n">
        <x:v>41</x:v>
      </x:c>
      <x:c r="B43" s="20" t="n">
        <x:v>1320</x:v>
      </x:c>
    </x:row>
    <x:row r="44">
      <x:c r="A44" s="20" t="n">
        <x:v>42</x:v>
      </x:c>
      <x:c r="B44" s="20" t="n">
        <x:v>1318</x:v>
      </x:c>
    </x:row>
    <x:row r="45">
      <x:c r="A45" s="20" t="n">
        <x:v>43</x:v>
      </x:c>
      <x:c r="B45" s="20" t="n">
        <x:v>1317</x:v>
      </x:c>
    </x:row>
    <x:row r="46">
      <x:c r="A46" s="20" t="n">
        <x:v>44</x:v>
      </x:c>
      <x:c r="B46" s="20" t="n">
        <x:v>1317</x:v>
      </x:c>
    </x:row>
    <x:row r="47">
      <x:c r="A47" s="20" t="n">
        <x:v>45</x:v>
      </x:c>
      <x:c r="B47" s="20" t="n">
        <x:v>1323</x:v>
      </x:c>
    </x:row>
    <x:row r="48">
      <x:c r="A48" s="20" t="n">
        <x:v>46</x:v>
      </x:c>
      <x:c r="B48" s="20" t="n">
        <x:v>1317</x:v>
      </x:c>
    </x:row>
    <x:row r="49">
      <x:c r="A49" s="20" t="n">
        <x:v>47</x:v>
      </x:c>
      <x:c r="B49" s="20" t="n">
        <x:v>1319</x:v>
      </x:c>
    </x:row>
    <x:row r="50">
      <x:c r="A50" s="20" t="n">
        <x:v>48</x:v>
      </x:c>
      <x:c r="B50" s="20" t="n">
        <x:v>1316</x:v>
      </x:c>
    </x:row>
    <x:row r="51">
      <x:c r="A51" s="20" t="n">
        <x:v>49</x:v>
      </x:c>
      <x:c r="B51" s="20" t="n">
        <x:v>1322</x:v>
      </x:c>
    </x:row>
    <x:row r="52">
      <x:c r="A52" s="20" t="n">
        <x:v>50</x:v>
      </x:c>
      <x:c r="B52" s="20" t="n">
        <x:v>1317</x:v>
      </x:c>
    </x:row>
    <x:row r="53">
      <x:c r="A53" s="20" t="n">
        <x:v>51</x:v>
      </x:c>
      <x:c r="B53" s="20" t="n">
        <x:v>1320</x:v>
      </x:c>
    </x:row>
    <x:row r="54">
      <x:c r="A54" s="20" t="n">
        <x:v>52</x:v>
      </x:c>
      <x:c r="B54" s="20" t="n">
        <x:v>1318</x:v>
      </x:c>
    </x:row>
    <x:row r="55">
      <x:c r="A55" s="20" t="n">
        <x:v>53</x:v>
      </x:c>
      <x:c r="B55" s="20" t="n">
        <x:v>1317</x:v>
      </x:c>
    </x:row>
    <x:row r="56">
      <x:c r="A56" s="20" t="n">
        <x:v>54</x:v>
      </x:c>
      <x:c r="B56" s="20" t="n">
        <x:v>1320</x:v>
      </x:c>
    </x:row>
    <x:row r="57">
      <x:c r="A57" s="20" t="n">
        <x:v>55</x:v>
      </x:c>
      <x:c r="B57" s="20" t="n">
        <x:v>1320</x:v>
      </x:c>
    </x:row>
    <x:row r="58">
      <x:c r="A58" s="20" t="n">
        <x:v>56</x:v>
      </x:c>
      <x:c r="B58" s="20" t="n">
        <x:v>1322</x:v>
      </x:c>
    </x:row>
    <x:row r="59">
      <x:c r="A59" s="20" t="n">
        <x:v>57</x:v>
      </x:c>
      <x:c r="B59" s="20" t="n">
        <x:v>1314</x:v>
      </x:c>
    </x:row>
    <x:row r="60">
      <x:c r="A60" s="20" t="n">
        <x:v>58</x:v>
      </x:c>
      <x:c r="B60" s="20" t="n">
        <x:v>1324</x:v>
      </x:c>
    </x:row>
    <x:row r="61">
      <x:c r="A61" s="20" t="n">
        <x:v>59</x:v>
      </x:c>
      <x:c r="B61" s="20" t="n">
        <x:v>1314</x:v>
      </x:c>
    </x:row>
    <x:row r="62">
      <x:c r="A62" s="20" t="n">
        <x:v>60</x:v>
      </x:c>
      <x:c r="B62" s="20" t="n">
        <x:v>1317</x:v>
      </x:c>
    </x:row>
    <x:row r="63">
      <x:c r="A63" s="20" t="n">
        <x:v>61</x:v>
      </x:c>
      <x:c r="B63" s="20" t="n">
        <x:v>1312</x:v>
      </x:c>
    </x:row>
    <x:row r="64">
      <x:c r="A64" s="20" t="n">
        <x:v>62</x:v>
      </x:c>
      <x:c r="B64" s="20" t="n">
        <x:v>1322</x:v>
      </x:c>
    </x:row>
    <x:row r="65">
      <x:c r="A65" s="20" t="n">
        <x:v>63</x:v>
      </x:c>
      <x:c r="B65" s="20" t="n">
        <x:v>1317</x:v>
      </x:c>
    </x:row>
    <x:row r="66">
      <x:c r="A66" s="20" t="n">
        <x:v>64</x:v>
      </x:c>
      <x:c r="B66" s="20" t="n">
        <x:v>1319</x:v>
      </x:c>
    </x:row>
    <x:row r="67">
      <x:c r="A67" s="20" t="n">
        <x:v>65</x:v>
      </x:c>
      <x:c r="B67" s="20" t="n">
        <x:v>1324</x:v>
      </x:c>
    </x:row>
    <x:row r="68">
      <x:c r="A68" s="20" t="n">
        <x:v>66</x:v>
      </x:c>
      <x:c r="B68" s="20" t="n">
        <x:v>1318</x:v>
      </x:c>
    </x:row>
    <x:row r="69">
      <x:c r="A69" s="20" t="n">
        <x:v>67</x:v>
      </x:c>
      <x:c r="B69" s="20" t="n">
        <x:v>1317</x:v>
      </x:c>
    </x:row>
    <x:row r="70">
      <x:c r="A70" s="20" t="n">
        <x:v>68</x:v>
      </x:c>
      <x:c r="B70" s="20" t="n">
        <x:v>1321</x:v>
      </x:c>
    </x:row>
    <x:row r="71">
      <x:c r="A71" s="20" t="n">
        <x:v>69</x:v>
      </x:c>
      <x:c r="B71" s="20" t="n">
        <x:v>1319</x:v>
      </x:c>
    </x:row>
    <x:row r="72">
      <x:c r="A72" s="20" t="n">
        <x:v>70</x:v>
      </x:c>
      <x:c r="B72" s="20" t="n">
        <x:v>1319</x:v>
      </x:c>
    </x:row>
    <x:row r="73">
      <x:c r="A73" s="20" t="n">
        <x:v>71</x:v>
      </x:c>
      <x:c r="B73" s="20" t="n">
        <x:v>1314</x:v>
      </x:c>
    </x:row>
    <x:row r="74">
      <x:c r="A74" s="20" t="n">
        <x:v>72</x:v>
      </x:c>
      <x:c r="B74" s="20" t="n">
        <x:v>1321</x:v>
      </x:c>
    </x:row>
    <x:row r="75">
      <x:c r="A75" s="20" t="n">
        <x:v>73</x:v>
      </x:c>
      <x:c r="B75" s="20" t="n">
        <x:v>1315</x:v>
      </x:c>
    </x:row>
    <x:row r="76">
      <x:c r="A76" s="20" t="n">
        <x:v>74</x:v>
      </x:c>
      <x:c r="B76" s="20" t="n">
        <x:v>1323</x:v>
      </x:c>
    </x:row>
    <x:row r="77">
      <x:c r="A77" s="20" t="n">
        <x:v>75</x:v>
      </x:c>
      <x:c r="B77" s="20" t="n">
        <x:v>1321</x:v>
      </x:c>
    </x:row>
    <x:row r="78">
      <x:c r="A78" s="20" t="n">
        <x:v>76</x:v>
      </x:c>
      <x:c r="B78" s="20" t="n">
        <x:v>1319</x:v>
      </x:c>
    </x:row>
    <x:row r="79">
      <x:c r="A79" s="20" t="n">
        <x:v>77</x:v>
      </x:c>
      <x:c r="B79" s="20" t="n">
        <x:v>1317</x:v>
      </x:c>
    </x:row>
    <x:row r="80">
      <x:c r="A80" s="20" t="n">
        <x:v>78</x:v>
      </x:c>
      <x:c r="B80" s="20" t="n">
        <x:v>1326</x:v>
      </x:c>
    </x:row>
    <x:row r="81">
      <x:c r="A81" s="20" t="n">
        <x:v>79</x:v>
      </x:c>
      <x:c r="B81" s="20" t="n">
        <x:v>1321</x:v>
      </x:c>
    </x:row>
    <x:row r="82">
      <x:c r="A82" s="20" t="n">
        <x:v>80</x:v>
      </x:c>
      <x:c r="B82" s="20" t="n">
        <x:v>1316</x:v>
      </x:c>
    </x:row>
    <x:row r="83">
      <x:c r="A83" s="20" t="n">
        <x:v>81</x:v>
      </x:c>
      <x:c r="B83" s="20" t="n">
        <x:v>1317</x:v>
      </x:c>
    </x:row>
    <x:row r="84">
      <x:c r="A84" s="20" t="n">
        <x:v>82</x:v>
      </x:c>
      <x:c r="B84" s="20" t="n">
        <x:v>1322</x:v>
      </x:c>
    </x:row>
    <x:row r="85">
      <x:c r="A85" s="20" t="n">
        <x:v>83</x:v>
      </x:c>
      <x:c r="B85" s="20" t="n">
        <x:v>1317</x:v>
      </x:c>
    </x:row>
    <x:row r="86">
      <x:c r="A86" s="20" t="n">
        <x:v>84</x:v>
      </x:c>
      <x:c r="B86" s="20" t="n">
        <x:v>1321</x:v>
      </x:c>
    </x:row>
    <x:row r="87">
      <x:c r="A87" s="20" t="n">
        <x:v>85</x:v>
      </x:c>
      <x:c r="B87" s="20" t="n">
        <x:v>1323</x:v>
      </x:c>
    </x:row>
    <x:row r="88">
      <x:c r="A88" s="20" t="n">
        <x:v>86</x:v>
      </x:c>
      <x:c r="B88" s="20" t="n">
        <x:v>1316</x:v>
      </x:c>
    </x:row>
    <x:row r="89">
      <x:c r="A89" s="20" t="n">
        <x:v>87</x:v>
      </x:c>
      <x:c r="B89" s="20" t="n">
        <x:v>1316</x:v>
      </x:c>
    </x:row>
    <x:row r="90">
      <x:c r="A90" s="20" t="n">
        <x:v>88</x:v>
      </x:c>
      <x:c r="B90" s="20" t="n">
        <x:v>1324</x:v>
      </x:c>
    </x:row>
    <x:row r="91">
      <x:c r="A91" s="20" t="n">
        <x:v>89</x:v>
      </x:c>
      <x:c r="B91" s="20" t="n">
        <x:v>1317</x:v>
      </x:c>
    </x:row>
    <x:row r="92">
      <x:c r="A92" s="20" t="n">
        <x:v>90</x:v>
      </x:c>
      <x:c r="B92" s="20" t="n">
        <x:v>1323</x:v>
      </x:c>
    </x:row>
    <x:row r="93">
      <x:c r="A93" s="20" t="n">
        <x:v>91</x:v>
      </x:c>
      <x:c r="B93" s="20" t="n">
        <x:v>1315</x:v>
      </x:c>
    </x:row>
    <x:row r="94">
      <x:c r="A94" s="20" t="n">
        <x:v>92</x:v>
      </x:c>
      <x:c r="B94" s="20" t="n">
        <x:v>1325</x:v>
      </x:c>
    </x:row>
    <x:row r="95">
      <x:c r="A95" s="20" t="n">
        <x:v>93</x:v>
      </x:c>
      <x:c r="B95" s="20" t="n">
        <x:v>1317</x:v>
      </x:c>
    </x:row>
    <x:row r="96">
      <x:c r="A96" s="20" t="n">
        <x:v>94</x:v>
      </x:c>
      <x:c r="B96" s="20" t="n">
        <x:v>1318</x:v>
      </x:c>
    </x:row>
    <x:row r="97">
      <x:c r="A97" s="20" t="n">
        <x:v>95</x:v>
      </x:c>
      <x:c r="B97" s="20" t="n">
        <x:v>1322</x:v>
      </x:c>
    </x:row>
    <x:row r="98">
      <x:c r="A98" s="20" t="n">
        <x:v>96</x:v>
      </x:c>
      <x:c r="B98" s="20" t="n">
        <x:v>1321</x:v>
      </x:c>
    </x:row>
    <x:row r="99">
      <x:c r="A99" s="20" t="n">
        <x:v>97</x:v>
      </x:c>
      <x:c r="B99" s="20" t="n">
        <x:v>1318</x:v>
      </x:c>
    </x:row>
    <x:row r="100">
      <x:c r="A100" s="20" t="n">
        <x:v>98</x:v>
      </x:c>
      <x:c r="B100" s="20" t="n">
        <x:v>1319</x:v>
      </x:c>
    </x:row>
    <x:row r="101">
      <x:c r="A101" s="20" t="n">
        <x:v>99</x:v>
      </x:c>
      <x:c r="B101" s="20" t="n">
        <x:v>1320</x:v>
      </x:c>
    </x:row>
    <x:row r="102">
      <x:c r="A102" s="20" t="n">
        <x:v>100</x:v>
      </x:c>
      <x:c r="B102" s="20" t="n">
        <x:v>1318</x:v>
      </x:c>
    </x:row>
    <x:row r="103">
      <x:c r="A103" s="20" t="n">
        <x:v>101</x:v>
      </x:c>
      <x:c r="B103" s="20" t="n">
        <x:v>1318</x:v>
      </x:c>
    </x:row>
    <x:row r="104">
      <x:c r="A104" s="20" t="n">
        <x:v>102</x:v>
      </x:c>
      <x:c r="B104" s="20" t="n">
        <x:v>1323</x:v>
      </x:c>
    </x:row>
    <x:row r="105">
      <x:c r="A105" s="20" t="n">
        <x:v>103</x:v>
      </x:c>
      <x:c r="B105" s="20" t="n">
        <x:v>1316</x:v>
      </x:c>
    </x:row>
    <x:row r="106">
      <x:c r="A106" s="20" t="n">
        <x:v>104</x:v>
      </x:c>
      <x:c r="B106" s="20" t="n">
        <x:v>1318</x:v>
      </x:c>
    </x:row>
    <x:row r="107">
      <x:c r="A107" s="20" t="n">
        <x:v>105</x:v>
      </x:c>
      <x:c r="B107" s="20" t="n">
        <x:v>1323</x:v>
      </x:c>
    </x:row>
    <x:row r="108">
      <x:c r="A108" s="20" t="n">
        <x:v>106</x:v>
      </x:c>
      <x:c r="B108" s="20" t="n">
        <x:v>1318</x:v>
      </x:c>
    </x:row>
    <x:row r="109">
      <x:c r="A109" s="20" t="n">
        <x:v>107</x:v>
      </x:c>
      <x:c r="B109" s="20" t="n">
        <x:v>1319</x:v>
      </x:c>
    </x:row>
    <x:row r="110">
      <x:c r="A110" s="20" t="n">
        <x:v>108</x:v>
      </x:c>
      <x:c r="B110" s="20" t="n">
        <x:v>1319</x:v>
      </x:c>
    </x:row>
    <x:row r="111">
      <x:c r="A111" s="20" t="n">
        <x:v>109</x:v>
      </x:c>
      <x:c r="B111" s="20" t="n">
        <x:v>1322</x:v>
      </x:c>
    </x:row>
    <x:row r="112">
      <x:c r="A112" s="20" t="n">
        <x:v>110</x:v>
      </x:c>
      <x:c r="B112" s="20" t="n">
        <x:v>1315</x:v>
      </x:c>
    </x:row>
    <x:row r="113">
      <x:c r="A113" s="20" t="n">
        <x:v>111</x:v>
      </x:c>
      <x:c r="B113" s="20" t="n">
        <x:v>1320</x:v>
      </x:c>
    </x:row>
    <x:row r="114">
      <x:c r="A114" s="20" t="n">
        <x:v>112</x:v>
      </x:c>
      <x:c r="B114" s="20" t="n">
        <x:v>1319</x:v>
      </x:c>
    </x:row>
    <x:row r="115">
      <x:c r="A115" s="20" t="n">
        <x:v>113</x:v>
      </x:c>
      <x:c r="B115" s="20" t="n">
        <x:v>1316</x:v>
      </x:c>
    </x:row>
    <x:row r="116">
      <x:c r="A116" s="20" t="n">
        <x:v>114</x:v>
      </x:c>
      <x:c r="B116" s="20" t="n">
        <x:v>1321</x:v>
      </x:c>
    </x:row>
    <x:row r="117">
      <x:c r="A117" s="20" t="n">
        <x:v>115</x:v>
      </x:c>
      <x:c r="B117" s="20" t="n">
        <x:v>1321</x:v>
      </x:c>
    </x:row>
    <x:row r="118">
      <x:c r="A118" s="20" t="n">
        <x:v>116</x:v>
      </x:c>
      <x:c r="B118" s="20" t="n">
        <x:v>1318</x:v>
      </x:c>
    </x:row>
    <x:row r="119">
      <x:c r="A119" s="20" t="n">
        <x:v>117</x:v>
      </x:c>
      <x:c r="B119" s="20" t="n">
        <x:v>1318</x:v>
      </x:c>
    </x:row>
    <x:row r="120">
      <x:c r="A120" s="20" t="n">
        <x:v>118</x:v>
      </x:c>
      <x:c r="B120" s="20" t="n">
        <x:v>1318</x:v>
      </x:c>
    </x:row>
    <x:row r="121">
      <x:c r="A121" s="20" t="n">
        <x:v>119</x:v>
      </x:c>
      <x:c r="B121" s="20" t="n">
        <x:v>1319</x:v>
      </x:c>
    </x:row>
    <x:row r="122">
      <x:c r="A122" s="20" t="n">
        <x:v>120</x:v>
      </x:c>
      <x:c r="B122" s="20" t="n">
        <x:v>1319</x:v>
      </x:c>
    </x:row>
    <x:row r="123">
      <x:c r="A123" s="20" t="n">
        <x:v>121</x:v>
      </x:c>
      <x:c r="B123" s="20" t="n">
        <x:v>1319</x:v>
      </x:c>
    </x:row>
    <x:row r="124">
      <x:c r="A124" s="20" t="n">
        <x:v>122</x:v>
      </x:c>
      <x:c r="B124" s="20" t="n">
        <x:v>1320</x:v>
      </x:c>
    </x:row>
    <x:row r="125">
      <x:c r="A125" s="20" t="n">
        <x:v>123</x:v>
      </x:c>
      <x:c r="B125" s="20" t="n">
        <x:v>1322</x:v>
      </x:c>
    </x:row>
    <x:row r="126">
      <x:c r="A126" s="20" t="n">
        <x:v>124</x:v>
      </x:c>
      <x:c r="B126" s="20" t="n">
        <x:v>1320</x:v>
      </x:c>
    </x:row>
    <x:row r="127">
      <x:c r="A127" s="20" t="n">
        <x:v>125</x:v>
      </x:c>
      <x:c r="B127" s="20" t="n">
        <x:v>1321</x:v>
      </x:c>
    </x:row>
    <x:row r="128">
      <x:c r="A128" s="20" t="n">
        <x:v>126</x:v>
      </x:c>
      <x:c r="B128" s="20" t="n">
        <x:v>1320</x:v>
      </x:c>
    </x:row>
    <x:row r="129">
      <x:c r="A129" s="20" t="n">
        <x:v>127</x:v>
      </x:c>
      <x:c r="B129" s="20" t="n">
        <x:v>1318</x:v>
      </x:c>
    </x:row>
    <x:row r="130">
      <x:c r="A130" s="20" t="n">
        <x:v>128</x:v>
      </x:c>
      <x:c r="B130" s="20" t="n">
        <x:v>1317</x:v>
      </x:c>
    </x:row>
    <x:row r="131">
      <x:c r="A131" s="20" t="n">
        <x:v>129</x:v>
      </x:c>
      <x:c r="B131" s="20" t="n">
        <x:v>1321</x:v>
      </x:c>
    </x:row>
    <x:row r="132">
      <x:c r="A132" s="20" t="n">
        <x:v>130</x:v>
      </x:c>
      <x:c r="B132" s="20" t="n">
        <x:v>1315</x:v>
      </x:c>
    </x:row>
    <x:row r="133">
      <x:c r="A133" s="20" t="n">
        <x:v>131</x:v>
      </x:c>
      <x:c r="B133" s="20" t="n">
        <x:v>1321</x:v>
      </x:c>
    </x:row>
    <x:row r="134">
      <x:c r="A134" s="20" t="n">
        <x:v>132</x:v>
      </x:c>
      <x:c r="B134" s="20" t="n">
        <x:v>1317</x:v>
      </x:c>
    </x:row>
    <x:row r="135">
      <x:c r="A135" s="20" t="n">
        <x:v>133</x:v>
      </x:c>
      <x:c r="B135" s="20" t="n">
        <x:v>1318</x:v>
      </x:c>
    </x:row>
    <x:row r="136">
      <x:c r="A136" s="20" t="n">
        <x:v>134</x:v>
      </x:c>
      <x:c r="B136" s="20" t="n">
        <x:v>1320</x:v>
      </x:c>
    </x:row>
    <x:row r="137">
      <x:c r="A137" s="20" t="n">
        <x:v>135</x:v>
      </x:c>
      <x:c r="B137" s="20" t="n">
        <x:v>1323</x:v>
      </x:c>
    </x:row>
    <x:row r="138">
      <x:c r="A138" s="20" t="n">
        <x:v>136</x:v>
      </x:c>
      <x:c r="B138" s="20" t="n">
        <x:v>1318</x:v>
      </x:c>
    </x:row>
    <x:row r="139">
      <x:c r="A139" s="20" t="n">
        <x:v>137</x:v>
      </x:c>
      <x:c r="B139" s="20" t="n">
        <x:v>1318</x:v>
      </x:c>
    </x:row>
    <x:row r="140">
      <x:c r="A140" s="20" t="n">
        <x:v>138</x:v>
      </x:c>
      <x:c r="B140" s="20" t="n">
        <x:v>1317</x:v>
      </x:c>
    </x:row>
    <x:row r="141">
      <x:c r="A141" s="20" t="n">
        <x:v>139</x:v>
      </x:c>
      <x:c r="B141" s="20" t="n">
        <x:v>1322</x:v>
      </x:c>
    </x:row>
    <x:row r="142">
      <x:c r="A142" s="20" t="n">
        <x:v>140</x:v>
      </x:c>
      <x:c r="B142" s="20" t="n">
        <x:v>1318</x:v>
      </x:c>
    </x:row>
    <x:row r="143">
      <x:c r="A143" s="20" t="n">
        <x:v>141</x:v>
      </x:c>
      <x:c r="B143" s="20" t="n">
        <x:v>1320</x:v>
      </x:c>
    </x:row>
    <x:row r="144">
      <x:c r="A144" s="20" t="n">
        <x:v>142</x:v>
      </x:c>
      <x:c r="B144" s="20" t="n">
        <x:v>1315</x:v>
      </x:c>
    </x:row>
    <x:row r="145">
      <x:c r="A145" s="20" t="n">
        <x:v>143</x:v>
      </x:c>
      <x:c r="B145" s="20" t="n">
        <x:v>1323</x:v>
      </x:c>
    </x:row>
    <x:row r="146">
      <x:c r="A146" s="20" t="n">
        <x:v>144</x:v>
      </x:c>
      <x:c r="B146" s="20" t="n">
        <x:v>1317</x:v>
      </x:c>
    </x:row>
    <x:row r="147">
      <x:c r="A147" s="20" t="n">
        <x:v>145</x:v>
      </x:c>
      <x:c r="B147" s="20" t="n">
        <x:v>1322</x:v>
      </x:c>
    </x:row>
    <x:row r="148">
      <x:c r="A148" s="20" t="n">
        <x:v>146</x:v>
      </x:c>
      <x:c r="B148" s="20" t="n">
        <x:v>1319</x:v>
      </x:c>
    </x:row>
    <x:row r="149">
      <x:c r="A149" s="20" t="n">
        <x:v>147</x:v>
      </x:c>
      <x:c r="B149" s="20" t="n">
        <x:v>1318</x:v>
      </x:c>
    </x:row>
    <x:row r="150">
      <x:c r="A150" s="20" t="n">
        <x:v>148</x:v>
      </x:c>
      <x:c r="B150" s="20" t="n">
        <x:v>1317</x:v>
      </x:c>
    </x:row>
    <x:row r="151">
      <x:c r="A151" s="20" t="n">
        <x:v>149</x:v>
      </x:c>
      <x:c r="B151" s="20" t="n">
        <x:v>1320</x:v>
      </x:c>
    </x:row>
    <x:row r="152">
      <x:c r="A152" s="20" t="n">
        <x:v>150</x:v>
      </x:c>
      <x:c r="B152" s="20" t="n">
        <x:v>1318</x:v>
      </x:c>
    </x:row>
    <x:row r="153">
      <x:c r="A153" s="20" t="n">
        <x:v>151</x:v>
      </x:c>
      <x:c r="B153" s="20" t="n">
        <x:v>1319</x:v>
      </x:c>
    </x:row>
    <x:row r="154">
      <x:c r="A154" s="20" t="n">
        <x:v>152</x:v>
      </x:c>
      <x:c r="B154" s="20" t="n">
        <x:v>1320</x:v>
      </x:c>
    </x:row>
    <x:row r="155">
      <x:c r="A155" s="20" t="n">
        <x:v>153</x:v>
      </x:c>
      <x:c r="B155" s="20" t="n">
        <x:v>1318</x:v>
      </x:c>
    </x:row>
    <x:row r="156">
      <x:c r="A156" s="20" t="n">
        <x:v>154</x:v>
      </x:c>
      <x:c r="B156" s="20" t="n">
        <x:v>1320</x:v>
      </x:c>
    </x:row>
    <x:row r="157">
      <x:c r="A157" s="20" t="n">
        <x:v>155</x:v>
      </x:c>
      <x:c r="B157" s="20" t="n">
        <x:v>1319</x:v>
      </x:c>
    </x:row>
    <x:row r="158">
      <x:c r="A158" s="20" t="n">
        <x:v>156</x:v>
      </x:c>
      <x:c r="B158" s="20" t="n">
        <x:v>1318</x:v>
      </x:c>
    </x:row>
    <x:row r="159">
      <x:c r="A159" s="20" t="n">
        <x:v>157</x:v>
      </x:c>
      <x:c r="B159" s="20" t="n">
        <x:v>1319</x:v>
      </x:c>
    </x:row>
    <x:row r="160">
      <x:c r="A160" s="20" t="n">
        <x:v>158</x:v>
      </x:c>
      <x:c r="B160" s="20" t="n">
        <x:v>1316</x:v>
      </x:c>
    </x:row>
    <x:row r="161">
      <x:c r="A161" s="20" t="n">
        <x:v>159</x:v>
      </x:c>
      <x:c r="B161" s="20" t="n">
        <x:v>1321</x:v>
      </x:c>
    </x:row>
    <x:row r="162">
      <x:c r="A162" s="20" t="n">
        <x:v>160</x:v>
      </x:c>
      <x:c r="B162" s="20" t="n">
        <x:v>1318</x:v>
      </x:c>
    </x:row>
    <x:row r="163">
      <x:c r="A163" s="20" t="n">
        <x:v>161</x:v>
      </x:c>
      <x:c r="B163" s="20" t="n">
        <x:v>1318</x:v>
      </x:c>
    </x:row>
    <x:row r="164">
      <x:c r="A164" s="20" t="n">
        <x:v>162</x:v>
      </x:c>
      <x:c r="B164" s="20" t="n">
        <x:v>1323</x:v>
      </x:c>
    </x:row>
    <x:row r="165">
      <x:c r="A165" s="20" t="n">
        <x:v>163</x:v>
      </x:c>
      <x:c r="B165" s="20" t="n">
        <x:v>1322</x:v>
      </x:c>
    </x:row>
    <x:row r="166">
      <x:c r="A166" s="20" t="n">
        <x:v>164</x:v>
      </x:c>
      <x:c r="B166" s="20" t="n">
        <x:v>1316</x:v>
      </x:c>
    </x:row>
    <x:row r="167">
      <x:c r="A167" s="20" t="n">
        <x:v>165</x:v>
      </x:c>
      <x:c r="B167" s="20" t="n">
        <x:v>1325</x:v>
      </x:c>
    </x:row>
    <x:row r="168">
      <x:c r="A168" s="20" t="n">
        <x:v>166</x:v>
      </x:c>
      <x:c r="B168" s="20" t="n">
        <x:v>1316</x:v>
      </x:c>
    </x:row>
    <x:row r="169">
      <x:c r="A169" s="20" t="n">
        <x:v>167</x:v>
      </x:c>
      <x:c r="B169" s="20" t="n">
        <x:v>1322</x:v>
      </x:c>
    </x:row>
    <x:row r="170">
      <x:c r="A170" s="20" t="n">
        <x:v>168</x:v>
      </x:c>
      <x:c r="B170" s="20" t="n">
        <x:v>1316</x:v>
      </x:c>
    </x:row>
    <x:row r="171">
      <x:c r="A171" s="20" t="n">
        <x:v>169</x:v>
      </x:c>
      <x:c r="B171" s="20" t="n">
        <x:v>1323</x:v>
      </x:c>
    </x:row>
    <x:row r="172">
      <x:c r="A172" s="20" t="n">
        <x:v>170</x:v>
      </x:c>
      <x:c r="B172" s="20" t="n">
        <x:v>1314</x:v>
      </x:c>
    </x:row>
    <x:row r="173">
      <x:c r="A173" s="20" t="n">
        <x:v>171</x:v>
      </x:c>
      <x:c r="B173" s="20" t="n">
        <x:v>1321</x:v>
      </x:c>
    </x:row>
    <x:row r="174">
      <x:c r="A174" s="20" t="n">
        <x:v>172</x:v>
      </x:c>
      <x:c r="B174" s="20" t="n">
        <x:v>1318</x:v>
      </x:c>
    </x:row>
    <x:row r="175">
      <x:c r="A175" s="20" t="n">
        <x:v>173</x:v>
      </x:c>
      <x:c r="B175" s="20" t="n">
        <x:v>1319</x:v>
      </x:c>
    </x:row>
    <x:row r="176">
      <x:c r="A176" s="20" t="n">
        <x:v>174</x:v>
      </x:c>
      <x:c r="B176" s="20" t="n">
        <x:v>1319</x:v>
      </x:c>
    </x:row>
    <x:row r="177">
      <x:c r="A177" s="20" t="n">
        <x:v>175</x:v>
      </x:c>
      <x:c r="B177" s="20" t="n">
        <x:v>1325</x:v>
      </x:c>
    </x:row>
    <x:row r="178">
      <x:c r="A178" s="20" t="n">
        <x:v>176</x:v>
      </x:c>
      <x:c r="B178" s="20" t="n">
        <x:v>1316</x:v>
      </x:c>
    </x:row>
    <x:row r="179">
      <x:c r="A179" s="20" t="n">
        <x:v>177</x:v>
      </x:c>
      <x:c r="B179" s="20" t="n">
        <x:v>1320</x:v>
      </x:c>
    </x:row>
    <x:row r="180">
      <x:c r="A180" s="20" t="n">
        <x:v>178</x:v>
      </x:c>
      <x:c r="B180" s="20" t="n">
        <x:v>1318</x:v>
      </x:c>
    </x:row>
    <x:row r="181">
      <x:c r="A181" s="20" t="n">
        <x:v>179</x:v>
      </x:c>
      <x:c r="B181" s="20" t="n">
        <x:v>1320</x:v>
      </x:c>
    </x:row>
    <x:row r="182">
      <x:c r="A182" s="20" t="n">
        <x:v>180</x:v>
      </x:c>
      <x:c r="B182" s="20" t="n">
        <x:v>1315</x:v>
      </x:c>
    </x:row>
    <x:row r="183">
      <x:c r="A183" s="20" t="n">
        <x:v>181</x:v>
      </x:c>
      <x:c r="B183" s="20" t="n">
        <x:v>1319</x:v>
      </x:c>
    </x:row>
    <x:row r="184">
      <x:c r="A184" s="20" t="n">
        <x:v>182</x:v>
      </x:c>
      <x:c r="B184" s="20" t="n">
        <x:v>1318</x:v>
      </x:c>
    </x:row>
    <x:row r="185">
      <x:c r="A185" s="20" t="n">
        <x:v>183</x:v>
      </x:c>
      <x:c r="B185" s="20" t="n">
        <x:v>1321</x:v>
      </x:c>
    </x:row>
    <x:row r="186">
      <x:c r="A186" s="20" t="n">
        <x:v>184</x:v>
      </x:c>
      <x:c r="B186" s="20" t="n">
        <x:v>1321</x:v>
      </x:c>
    </x:row>
    <x:row r="187">
      <x:c r="A187" s="20" t="n">
        <x:v>185</x:v>
      </x:c>
      <x:c r="B187" s="20" t="n">
        <x:v>1320</x:v>
      </x:c>
    </x:row>
    <x:row r="188">
      <x:c r="A188" s="20" t="n">
        <x:v>186</x:v>
      </x:c>
      <x:c r="B188" s="20" t="n">
        <x:v>1317</x:v>
      </x:c>
    </x:row>
    <x:row r="189">
      <x:c r="A189" s="20" t="n">
        <x:v>187</x:v>
      </x:c>
      <x:c r="B189" s="20" t="n">
        <x:v>1319</x:v>
      </x:c>
    </x:row>
    <x:row r="190">
      <x:c r="A190" s="20" t="n">
        <x:v>188</x:v>
      </x:c>
      <x:c r="B190" s="20" t="n">
        <x:v>1315</x:v>
      </x:c>
    </x:row>
    <x:row r="191">
      <x:c r="A191" s="20" t="n">
        <x:v>189</x:v>
      </x:c>
      <x:c r="B191" s="20" t="n">
        <x:v>1320</x:v>
      </x:c>
    </x:row>
    <x:row r="192">
      <x:c r="A192" s="20" t="n">
        <x:v>190</x:v>
      </x:c>
      <x:c r="B192" s="20" t="n">
        <x:v>1321</x:v>
      </x:c>
    </x:row>
    <x:row r="193">
      <x:c r="A193" s="20" t="n">
        <x:v>191</x:v>
      </x:c>
      <x:c r="B193" s="20" t="n">
        <x:v>1315</x:v>
      </x:c>
    </x:row>
    <x:row r="194">
      <x:c r="A194" s="20" t="n">
        <x:v>192</x:v>
      </x:c>
      <x:c r="B194" s="20" t="n">
        <x:v>1323</x:v>
      </x:c>
    </x:row>
    <x:row r="195">
      <x:c r="A195" s="20" t="n">
        <x:v>193</x:v>
      </x:c>
      <x:c r="B195" s="20" t="n">
        <x:v>1318</x:v>
      </x:c>
    </x:row>
    <x:row r="196">
      <x:c r="A196" s="20" t="n">
        <x:v>194</x:v>
      </x:c>
      <x:c r="B196" s="20" t="n">
        <x:v>1322</x:v>
      </x:c>
    </x:row>
    <x:row r="197">
      <x:c r="A197" s="20" t="n">
        <x:v>195</x:v>
      </x:c>
      <x:c r="B197" s="20" t="n">
        <x:v>1318</x:v>
      </x:c>
    </x:row>
    <x:row r="198">
      <x:c r="A198" s="20" t="n">
        <x:v>196</x:v>
      </x:c>
      <x:c r="B198" s="20" t="n">
        <x:v>1321</x:v>
      </x:c>
    </x:row>
    <x:row r="199">
      <x:c r="A199" s="20" t="n">
        <x:v>197</x:v>
      </x:c>
      <x:c r="B199" s="20" t="n">
        <x:v>1317</x:v>
      </x:c>
    </x:row>
    <x:row r="200">
      <x:c r="A200" s="20" t="n">
        <x:v>198</x:v>
      </x:c>
      <x:c r="B200" s="20" t="n">
        <x:v>1315</x:v>
      </x:c>
    </x:row>
    <x:row r="201">
      <x:c r="A201" s="20" t="n">
        <x:v>199</x:v>
      </x:c>
      <x:c r="B201" s="20" t="n">
        <x:v>1322</x:v>
      </x:c>
    </x:row>
    <x:row r="202">
      <x:c r="A202" s="20" t="n">
        <x:v>200</x:v>
      </x:c>
      <x:c r="B202" s="20" t="n">
        <x:v>1319</x:v>
      </x:c>
    </x:row>
    <x:row r="203">
      <x:c r="A203" s="20" t="n">
        <x:v>201</x:v>
      </x:c>
      <x:c r="B203" s="20" t="n">
        <x:v>1318</x:v>
      </x:c>
    </x:row>
    <x:row r="204">
      <x:c r="A204" s="20" t="n">
        <x:v>202</x:v>
      </x:c>
      <x:c r="B204" s="20" t="n">
        <x:v>1316</x:v>
      </x:c>
    </x:row>
    <x:row r="205">
      <x:c r="A205" s="20" t="n">
        <x:v>203</x:v>
      </x:c>
      <x:c r="B205" s="20" t="n">
        <x:v>1326</x:v>
      </x:c>
    </x:row>
    <x:row r="206">
      <x:c r="A206" s="20" t="n">
        <x:v>204</x:v>
      </x:c>
      <x:c r="B206" s="20" t="n">
        <x:v>1316</x:v>
      </x:c>
    </x:row>
    <x:row r="207">
      <x:c r="A207" s="20" t="n">
        <x:v>205</x:v>
      </x:c>
      <x:c r="B207" s="20" t="n">
        <x:v>1319</x:v>
      </x:c>
    </x:row>
    <x:row r="208">
      <x:c r="A208" s="20" t="n">
        <x:v>206</x:v>
      </x:c>
      <x:c r="B208" s="20" t="n">
        <x:v>1320</x:v>
      </x:c>
    </x:row>
    <x:row r="209">
      <x:c r="A209" s="20" t="n">
        <x:v>207</x:v>
      </x:c>
      <x:c r="B209" s="20" t="n">
        <x:v>1316</x:v>
      </x:c>
    </x:row>
    <x:row r="210">
      <x:c r="A210" s="20" t="n">
        <x:v>208</x:v>
      </x:c>
      <x:c r="B210" s="20" t="n">
        <x:v>1320</x:v>
      </x:c>
    </x:row>
    <x:row r="211">
      <x:c r="A211" s="20" t="n">
        <x:v>209</x:v>
      </x:c>
      <x:c r="B211" s="20" t="n">
        <x:v>1318</x:v>
      </x:c>
    </x:row>
    <x:row r="212">
      <x:c r="A212" s="20" t="n">
        <x:v>210</x:v>
      </x:c>
      <x:c r="B212" s="20" t="n">
        <x:v>1319</x:v>
      </x:c>
    </x:row>
    <x:row r="213">
      <x:c r="A213" s="20" t="n">
        <x:v>211</x:v>
      </x:c>
      <x:c r="B213" s="20" t="n">
        <x:v>1318</x:v>
      </x:c>
    </x:row>
    <x:row r="214">
      <x:c r="A214" s="20" t="n">
        <x:v>212</x:v>
      </x:c>
      <x:c r="B214" s="20" t="n">
        <x:v>1322</x:v>
      </x:c>
    </x:row>
    <x:row r="215">
      <x:c r="A215" s="20" t="n">
        <x:v>213</x:v>
      </x:c>
      <x:c r="B215" s="20" t="n">
        <x:v>1318</x:v>
      </x:c>
    </x:row>
    <x:row r="216">
      <x:c r="A216" s="20" t="n">
        <x:v>214</x:v>
      </x:c>
      <x:c r="B216" s="20" t="n">
        <x:v>1322</x:v>
      </x:c>
    </x:row>
    <x:row r="217">
      <x:c r="A217" s="20" t="n">
        <x:v>215</x:v>
      </x:c>
      <x:c r="B217" s="20" t="n">
        <x:v>1323</x:v>
      </x:c>
    </x:row>
    <x:row r="218">
      <x:c r="A218" s="20" t="n">
        <x:v>216</x:v>
      </x:c>
      <x:c r="B218" s="20" t="n">
        <x:v>1323</x:v>
      </x:c>
    </x:row>
    <x:row r="219">
      <x:c r="A219" s="20" t="n">
        <x:v>217</x:v>
      </x:c>
      <x:c r="B219" s="20" t="n">
        <x:v>1319</x:v>
      </x:c>
    </x:row>
    <x:row r="220">
      <x:c r="A220" s="20" t="n">
        <x:v>218</x:v>
      </x:c>
      <x:c r="B220" s="20" t="n">
        <x:v>1320</x:v>
      </x:c>
    </x:row>
    <x:row r="221">
      <x:c r="A221" s="20" t="n">
        <x:v>219</x:v>
      </x:c>
      <x:c r="B221" s="20" t="n">
        <x:v>1321</x:v>
      </x:c>
    </x:row>
    <x:row r="222">
      <x:c r="A222" s="20" t="n">
        <x:v>220</x:v>
      </x:c>
      <x:c r="B222" s="20" t="n">
        <x:v>1316</x:v>
      </x:c>
    </x:row>
    <x:row r="223">
      <x:c r="A223" s="20" t="n">
        <x:v>221</x:v>
      </x:c>
      <x:c r="B223" s="20" t="n">
        <x:v>1323</x:v>
      </x:c>
    </x:row>
    <x:row r="224">
      <x:c r="A224" s="20" t="n">
        <x:v>222</x:v>
      </x:c>
      <x:c r="B224" s="20" t="n">
        <x:v>1316</x:v>
      </x:c>
    </x:row>
    <x:row r="225">
      <x:c r="A225" s="20" t="n">
        <x:v>223</x:v>
      </x:c>
      <x:c r="B225" s="20" t="n">
        <x:v>1320</x:v>
      </x:c>
    </x:row>
    <x:row r="226">
      <x:c r="A226" s="20" t="n">
        <x:v>224</x:v>
      </x:c>
      <x:c r="B226" s="20" t="n">
        <x:v>1319</x:v>
      </x:c>
    </x:row>
    <x:row r="227">
      <x:c r="A227" s="20" t="n">
        <x:v>225</x:v>
      </x:c>
      <x:c r="B227" s="20" t="n">
        <x:v>1321</x:v>
      </x:c>
    </x:row>
    <x:row r="228">
      <x:c r="A228" s="20" t="n">
        <x:v>226</x:v>
      </x:c>
      <x:c r="B228" s="20" t="n">
        <x:v>1317</x:v>
      </x:c>
    </x:row>
    <x:row r="229">
      <x:c r="A229" s="20" t="n">
        <x:v>227</x:v>
      </x:c>
      <x:c r="B229" s="20" t="n">
        <x:v>1323</x:v>
      </x:c>
    </x:row>
    <x:row r="230">
      <x:c r="A230" s="20" t="n">
        <x:v>228</x:v>
      </x:c>
      <x:c r="B230" s="20" t="n">
        <x:v>1315</x:v>
      </x:c>
    </x:row>
    <x:row r="231">
      <x:c r="A231" s="20" t="n">
        <x:v>229</x:v>
      </x:c>
      <x:c r="B231" s="20" t="n">
        <x:v>1323</x:v>
      </x:c>
    </x:row>
    <x:row r="232">
      <x:c r="A232" s="20" t="n">
        <x:v>230</x:v>
      </x:c>
      <x:c r="B232" s="20" t="n">
        <x:v>1317</x:v>
      </x:c>
    </x:row>
    <x:row r="233">
      <x:c r="A233" s="20" t="n">
        <x:v>231</x:v>
      </x:c>
      <x:c r="B233" s="20" t="n">
        <x:v>1319</x:v>
      </x:c>
    </x:row>
    <x:row r="234">
      <x:c r="A234" s="20" t="n">
        <x:v>232</x:v>
      </x:c>
      <x:c r="B234" s="20" t="n">
        <x:v>1318</x:v>
      </x:c>
    </x:row>
    <x:row r="235">
      <x:c r="A235" s="20" t="n">
        <x:v>233</x:v>
      </x:c>
      <x:c r="B235" s="20" t="n">
        <x:v>1319</x:v>
      </x:c>
    </x:row>
    <x:row r="236">
      <x:c r="A236" s="20" t="n">
        <x:v>234</x:v>
      </x:c>
      <x:c r="B236" s="20" t="n">
        <x:v>1319</x:v>
      </x:c>
    </x:row>
    <x:row r="237">
      <x:c r="A237" s="20" t="n">
        <x:v>235</x:v>
      </x:c>
      <x:c r="B237" s="20" t="n">
        <x:v>1322</x:v>
      </x:c>
    </x:row>
    <x:row r="238">
      <x:c r="A238" s="20" t="n">
        <x:v>236</x:v>
      </x:c>
      <x:c r="B238" s="20" t="n">
        <x:v>1317</x:v>
      </x:c>
    </x:row>
    <x:row r="239">
      <x:c r="A239" s="20" t="n">
        <x:v>237</x:v>
      </x:c>
      <x:c r="B239" s="20" t="n">
        <x:v>1319</x:v>
      </x:c>
    </x:row>
    <x:row r="240">
      <x:c r="A240" s="20" t="n">
        <x:v>238</x:v>
      </x:c>
      <x:c r="B240" s="20" t="n">
        <x:v>1320</x:v>
      </x:c>
    </x:row>
    <x:row r="241">
      <x:c r="A241" s="20" t="n">
        <x:v>239</x:v>
      </x:c>
      <x:c r="B241" s="20" t="n">
        <x:v>1316</x:v>
      </x:c>
    </x:row>
    <x:row r="242">
      <x:c r="A242" s="20" t="n">
        <x:v>240</x:v>
      </x:c>
      <x:c r="B242" s="20" t="n">
        <x:v>1318</x:v>
      </x:c>
    </x:row>
    <x:row r="243">
      <x:c r="A243" s="20" t="n">
        <x:v>241</x:v>
      </x:c>
      <x:c r="B243" s="20" t="n">
        <x:v>1319</x:v>
      </x:c>
    </x:row>
    <x:row r="244">
      <x:c r="A244" s="20" t="n">
        <x:v>242</x:v>
      </x:c>
      <x:c r="B244" s="20" t="n">
        <x:v>1317</x:v>
      </x:c>
    </x:row>
    <x:row r="245">
      <x:c r="A245" s="20" t="n">
        <x:v>243</x:v>
      </x:c>
      <x:c r="B245" s="20" t="n">
        <x:v>1321</x:v>
      </x:c>
    </x:row>
    <x:row r="246">
      <x:c r="A246" s="20" t="n">
        <x:v>244</x:v>
      </x:c>
      <x:c r="B246" s="20" t="n">
        <x:v>1318</x:v>
      </x:c>
    </x:row>
    <x:row r="247">
      <x:c r="A247" s="20" t="n">
        <x:v>245</x:v>
      </x:c>
      <x:c r="B247" s="20" t="n">
        <x:v>1321</x:v>
      </x:c>
    </x:row>
    <x:row r="248">
      <x:c r="A248" s="20" t="n">
        <x:v>246</x:v>
      </x:c>
      <x:c r="B248" s="20" t="n">
        <x:v>1318</x:v>
      </x:c>
    </x:row>
    <x:row r="249">
      <x:c r="A249" s="20" t="n">
        <x:v>247</x:v>
      </x:c>
      <x:c r="B249" s="20" t="n">
        <x:v>1319</x:v>
      </x:c>
    </x:row>
    <x:row r="250">
      <x:c r="A250" s="20" t="n">
        <x:v>248</x:v>
      </x:c>
      <x:c r="B250" s="20" t="n">
        <x:v>1317</x:v>
      </x:c>
    </x:row>
    <x:row r="251">
      <x:c r="A251" s="20" t="n">
        <x:v>249</x:v>
      </x:c>
      <x:c r="B251" s="20" t="n">
        <x:v>1322</x:v>
      </x:c>
    </x:row>
    <x:row r="252">
      <x:c r="A252" s="20" t="n">
        <x:v>250</x:v>
      </x:c>
      <x:c r="B252" s="20" t="n">
        <x:v>1318</x:v>
      </x:c>
    </x:row>
    <x:row r="253">
      <x:c r="A253" s="20" t="n">
        <x:v>251</x:v>
      </x:c>
      <x:c r="B253" s="20" t="n">
        <x:v>1316</x:v>
      </x:c>
    </x:row>
    <x:row r="254">
      <x:c r="A254" s="20" t="n">
        <x:v>252</x:v>
      </x:c>
      <x:c r="B254" s="20" t="n">
        <x:v>1319</x:v>
      </x:c>
    </x:row>
    <x:row r="255">
      <x:c r="A255" s="20" t="n">
        <x:v>253</x:v>
      </x:c>
      <x:c r="B255" s="20" t="n">
        <x:v>1320</x:v>
      </x:c>
    </x:row>
    <x:row r="256">
      <x:c r="A256" s="20" t="n">
        <x:v>254</x:v>
      </x:c>
      <x:c r="B256" s="20" t="n">
        <x:v>1320</x:v>
      </x:c>
    </x:row>
    <x:row r="257">
      <x:c r="A257" s="20" t="n">
        <x:v>255</x:v>
      </x:c>
      <x:c r="B257" s="20" t="n">
        <x:v>1320</x:v>
      </x:c>
    </x:row>
    <x:row r="258">
      <x:c r="A258" s="20" t="n">
        <x:v>256</x:v>
      </x:c>
      <x:c r="B258" s="20" t="n">
        <x:v>1319</x:v>
      </x:c>
    </x:row>
    <x:row r="259">
      <x:c r="A259" s="20" t="n">
        <x:v>257</x:v>
      </x:c>
      <x:c r="B259" s="20" t="n">
        <x:v>1319</x:v>
      </x:c>
    </x:row>
    <x:row r="260">
      <x:c r="A260" s="20" t="n">
        <x:v>258</x:v>
      </x:c>
      <x:c r="B260" s="20" t="n">
        <x:v>1316</x:v>
      </x:c>
    </x:row>
    <x:row r="261">
      <x:c r="A261" s="20" t="n">
        <x:v>259</x:v>
      </x:c>
      <x:c r="B261" s="20" t="n">
        <x:v>1321</x:v>
      </x:c>
    </x:row>
    <x:row r="262">
      <x:c r="A262" s="20" t="n">
        <x:v>260</x:v>
      </x:c>
      <x:c r="B262" s="20" t="n">
        <x:v>1316</x:v>
      </x:c>
    </x:row>
    <x:row r="263">
      <x:c r="A263" s="20" t="n">
        <x:v>261</x:v>
      </x:c>
      <x:c r="B263" s="20" t="n">
        <x:v>1321</x:v>
      </x:c>
    </x:row>
    <x:row r="264">
      <x:c r="A264" s="20" t="n">
        <x:v>262</x:v>
      </x:c>
      <x:c r="B264" s="20" t="n">
        <x:v>1318</x:v>
      </x:c>
    </x:row>
    <x:row r="265">
      <x:c r="A265" s="20" t="n">
        <x:v>263</x:v>
      </x:c>
      <x:c r="B265" s="20" t="n">
        <x:v>1319</x:v>
      </x:c>
    </x:row>
    <x:row r="266">
      <x:c r="A266" s="20" t="n">
        <x:v>264</x:v>
      </x:c>
      <x:c r="B266" s="20" t="n">
        <x:v>1318</x:v>
      </x:c>
    </x:row>
    <x:row r="267">
      <x:c r="A267" s="20" t="n">
        <x:v>265</x:v>
      </x:c>
      <x:c r="B267" s="20" t="n">
        <x:v>1323</x:v>
      </x:c>
    </x:row>
    <x:row r="268">
      <x:c r="A268" s="20" t="n">
        <x:v>266</x:v>
      </x:c>
      <x:c r="B268" s="20" t="n">
        <x:v>1316</x:v>
      </x:c>
    </x:row>
    <x:row r="269">
      <x:c r="A269" s="20" t="n">
        <x:v>267</x:v>
      </x:c>
      <x:c r="B269" s="20" t="n">
        <x:v>1320</x:v>
      </x:c>
    </x:row>
    <x:row r="270">
      <x:c r="A270" s="20" t="n">
        <x:v>268</x:v>
      </x:c>
      <x:c r="B270" s="20" t="n">
        <x:v>1318</x:v>
      </x:c>
    </x:row>
    <x:row r="271">
      <x:c r="A271" s="20" t="n">
        <x:v>269</x:v>
      </x:c>
      <x:c r="B271" s="20" t="n">
        <x:v>1319</x:v>
      </x:c>
    </x:row>
    <x:row r="272">
      <x:c r="A272" s="20" t="n">
        <x:v>270</x:v>
      </x:c>
      <x:c r="B272" s="20" t="n">
        <x:v>1321</x:v>
      </x:c>
    </x:row>
    <x:row r="273">
      <x:c r="A273" s="20" t="n">
        <x:v>271</x:v>
      </x:c>
      <x:c r="B273" s="20" t="n">
        <x:v>1319</x:v>
      </x:c>
    </x:row>
    <x:row r="274">
      <x:c r="A274" s="20" t="n">
        <x:v>272</x:v>
      </x:c>
      <x:c r="B274" s="20" t="n">
        <x:v>1321</x:v>
      </x:c>
    </x:row>
    <x:row r="275">
      <x:c r="A275" s="20" t="n">
        <x:v>273</x:v>
      </x:c>
      <x:c r="B275" s="20" t="n">
        <x:v>1320</x:v>
      </x:c>
    </x:row>
    <x:row r="276">
      <x:c r="A276" s="20" t="n">
        <x:v>274</x:v>
      </x:c>
      <x:c r="B276" s="20" t="n">
        <x:v>1320</x:v>
      </x:c>
    </x:row>
    <x:row r="277">
      <x:c r="A277" s="20" t="n">
        <x:v>275</x:v>
      </x:c>
      <x:c r="B277" s="20" t="n">
        <x:v>1321</x:v>
      </x:c>
    </x:row>
    <x:row r="278">
      <x:c r="A278" s="20" t="n">
        <x:v>276</x:v>
      </x:c>
      <x:c r="B278" s="20" t="n">
        <x:v>1319</x:v>
      </x:c>
    </x:row>
    <x:row r="279">
      <x:c r="A279" s="20" t="n">
        <x:v>277</x:v>
      </x:c>
      <x:c r="B279" s="20" t="n">
        <x:v>1322</x:v>
      </x:c>
    </x:row>
    <x:row r="280">
      <x:c r="A280" s="20" t="n">
        <x:v>278</x:v>
      </x:c>
      <x:c r="B280" s="20" t="n">
        <x:v>1318</x:v>
      </x:c>
    </x:row>
    <x:row r="281">
      <x:c r="A281" s="20" t="n">
        <x:v>279</x:v>
      </x:c>
      <x:c r="B281" s="20" t="n">
        <x:v>1317</x:v>
      </x:c>
    </x:row>
    <x:row r="282">
      <x:c r="A282" s="20" t="n">
        <x:v>280</x:v>
      </x:c>
      <x:c r="B282" s="20" t="n">
        <x:v>1320</x:v>
      </x:c>
    </x:row>
    <x:row r="283">
      <x:c r="A283" s="20" t="n">
        <x:v>281</x:v>
      </x:c>
      <x:c r="B283" s="20" t="n">
        <x:v>1319</x:v>
      </x:c>
    </x:row>
    <x:row r="284">
      <x:c r="A284" s="20" t="n">
        <x:v>282</x:v>
      </x:c>
      <x:c r="B284" s="20" t="n">
        <x:v>1316</x:v>
      </x:c>
    </x:row>
    <x:row r="285">
      <x:c r="A285" s="20" t="n">
        <x:v>283</x:v>
      </x:c>
      <x:c r="B285" s="20" t="n">
        <x:v>1321</x:v>
      </x:c>
    </x:row>
    <x:row r="286">
      <x:c r="A286" s="20" t="n">
        <x:v>284</x:v>
      </x:c>
      <x:c r="B286" s="20" t="n">
        <x:v>1319</x:v>
      </x:c>
    </x:row>
    <x:row r="287">
      <x:c r="A287" s="20" t="n">
        <x:v>285</x:v>
      </x:c>
      <x:c r="B287" s="20" t="n">
        <x:v>1321</x:v>
      </x:c>
    </x:row>
    <x:row r="288">
      <x:c r="A288" s="20" t="n">
        <x:v>286</x:v>
      </x:c>
      <x:c r="B288" s="20" t="n">
        <x:v>1317</x:v>
      </x:c>
    </x:row>
    <x:row r="289">
      <x:c r="A289" s="20" t="n">
        <x:v>287</x:v>
      </x:c>
      <x:c r="B289" s="20" t="n">
        <x:v>1319</x:v>
      </x:c>
    </x:row>
    <x:row r="290">
      <x:c r="A290" s="20" t="n">
        <x:v>288</x:v>
      </x:c>
      <x:c r="B290" s="20" t="n">
        <x:v>1318</x:v>
      </x:c>
    </x:row>
    <x:row r="291">
      <x:c r="A291" s="20" t="n">
        <x:v>289</x:v>
      </x:c>
      <x:c r="B291" s="20" t="n">
        <x:v>1318</x:v>
      </x:c>
    </x:row>
    <x:row r="292">
      <x:c r="A292" s="20" t="n">
        <x:v>290</x:v>
      </x:c>
      <x:c r="B292" s="20" t="n">
        <x:v>1320</x:v>
      </x:c>
    </x:row>
    <x:row r="293">
      <x:c r="A293" s="20" t="n">
        <x:v>291</x:v>
      </x:c>
      <x:c r="B293" s="20" t="n">
        <x:v>1315</x:v>
      </x:c>
    </x:row>
    <x:row r="294">
      <x:c r="A294" s="20" t="n">
        <x:v>292</x:v>
      </x:c>
      <x:c r="B294" s="20" t="n">
        <x:v>1324</x:v>
      </x:c>
    </x:row>
    <x:row r="295">
      <x:c r="A295" s="20" t="n">
        <x:v>293</x:v>
      </x:c>
      <x:c r="B295" s="20" t="n">
        <x:v>1317</x:v>
      </x:c>
    </x:row>
    <x:row r="296">
      <x:c r="A296" s="20" t="n">
        <x:v>294</x:v>
      </x:c>
      <x:c r="B296" s="20" t="n">
        <x:v>1322</x:v>
      </x:c>
    </x:row>
    <x:row r="297">
      <x:c r="A297" s="20" t="n">
        <x:v>295</x:v>
      </x:c>
      <x:c r="B297" s="20" t="n">
        <x:v>1315</x:v>
      </x:c>
    </x:row>
    <x:row r="298">
      <x:c r="A298" s="20" t="n">
        <x:v>296</x:v>
      </x:c>
      <x:c r="B298" s="20" t="n">
        <x:v>1323</x:v>
      </x:c>
    </x:row>
    <x:row r="299">
      <x:c r="A299" s="20" t="n">
        <x:v>297</x:v>
      </x:c>
      <x:c r="B299" s="20" t="n">
        <x:v>1315</x:v>
      </x:c>
    </x:row>
    <x:row r="300">
      <x:c r="A300" s="20" t="n">
        <x:v>298</x:v>
      </x:c>
      <x:c r="B300" s="20" t="n">
        <x:v>1320</x:v>
      </x:c>
    </x:row>
    <x:row r="301">
      <x:c r="A301" s="20" t="n">
        <x:v>299</x:v>
      </x:c>
      <x:c r="B301" s="20" t="n">
        <x:v>1318</x:v>
      </x:c>
    </x:row>
    <x:row r="302">
      <x:c r="A302" s="20" t="n">
        <x:v>300</x:v>
      </x:c>
      <x:c r="B302" s="20" t="n">
        <x:v>1320</x:v>
      </x:c>
    </x:row>
    <x:row r="303">
      <x:c r="A303" s="20" t="n">
        <x:v>301</x:v>
      </x:c>
      <x:c r="B303" s="20" t="n">
        <x:v>1317</x:v>
      </x:c>
    </x:row>
    <x:row r="304">
      <x:c r="A304" s="20" t="n">
        <x:v>302</x:v>
      </x:c>
      <x:c r="B304" s="20" t="n">
        <x:v>1318</x:v>
      </x:c>
    </x:row>
    <x:row r="305">
      <x:c r="A305" s="20" t="n">
        <x:v>303</x:v>
      </x:c>
      <x:c r="B305" s="20" t="n">
        <x:v>1318</x:v>
      </x:c>
    </x:row>
    <x:row r="306">
      <x:c r="A306" s="20" t="n">
        <x:v>304</x:v>
      </x:c>
      <x:c r="B306" s="20" t="n">
        <x:v>1321</x:v>
      </x:c>
    </x:row>
    <x:row r="307">
      <x:c r="A307" s="20" t="n">
        <x:v>305</x:v>
      </x:c>
      <x:c r="B307" s="20" t="n">
        <x:v>1323</x:v>
      </x:c>
    </x:row>
    <x:row r="308">
      <x:c r="A308" s="20" t="n">
        <x:v>306</x:v>
      </x:c>
      <x:c r="B308" s="20" t="n">
        <x:v>1319</x:v>
      </x:c>
    </x:row>
    <x:row r="309">
      <x:c r="A309" s="20" t="n">
        <x:v>307</x:v>
      </x:c>
      <x:c r="B309" s="20" t="n">
        <x:v>1319</x:v>
      </x:c>
    </x:row>
    <x:row r="310">
      <x:c r="A310" s="20" t="n">
        <x:v>308</x:v>
      </x:c>
      <x:c r="B310" s="20" t="n">
        <x:v>1316</x:v>
      </x:c>
    </x:row>
    <x:row r="311">
      <x:c r="A311" s="20" t="n">
        <x:v>309</x:v>
      </x:c>
      <x:c r="B311" s="20" t="n">
        <x:v>1320</x:v>
      </x:c>
    </x:row>
    <x:row r="312">
      <x:c r="A312" s="20" t="n">
        <x:v>310</x:v>
      </x:c>
      <x:c r="B312" s="20" t="n">
        <x:v>1317</x:v>
      </x:c>
    </x:row>
    <x:row r="313">
      <x:c r="A313" s="20" t="n">
        <x:v>311</x:v>
      </x:c>
      <x:c r="B313" s="20" t="n">
        <x:v>1317</x:v>
      </x:c>
    </x:row>
    <x:row r="314">
      <x:c r="A314" s="20" t="n">
        <x:v>312</x:v>
      </x:c>
      <x:c r="B314" s="20" t="n">
        <x:v>1318</x:v>
      </x:c>
    </x:row>
    <x:row r="315">
      <x:c r="A315" s="20" t="n">
        <x:v>313</x:v>
      </x:c>
      <x:c r="B315" s="20" t="n">
        <x:v>1318</x:v>
      </x:c>
    </x:row>
    <x:row r="316">
      <x:c r="A316" s="20" t="n">
        <x:v>314</x:v>
      </x:c>
      <x:c r="B316" s="20" t="n">
        <x:v>1320</x:v>
      </x:c>
    </x:row>
    <x:row r="317">
      <x:c r="A317" s="20" t="n">
        <x:v>315</x:v>
      </x:c>
      <x:c r="B317" s="20" t="n">
        <x:v>1320</x:v>
      </x:c>
    </x:row>
    <x:row r="318">
      <x:c r="A318" s="20" t="n">
        <x:v>316</x:v>
      </x:c>
      <x:c r="B318" s="20" t="n">
        <x:v>1317</x:v>
      </x:c>
    </x:row>
    <x:row r="319">
      <x:c r="A319" s="20" t="n">
        <x:v>317</x:v>
      </x:c>
      <x:c r="B319" s="20" t="n">
        <x:v>1320</x:v>
      </x:c>
    </x:row>
    <x:row r="320">
      <x:c r="A320" s="20" t="n">
        <x:v>318</x:v>
      </x:c>
      <x:c r="B320" s="20" t="n">
        <x:v>1318</x:v>
      </x:c>
    </x:row>
    <x:row r="321">
      <x:c r="A321" s="20" t="n">
        <x:v>319</x:v>
      </x:c>
      <x:c r="B321" s="20" t="n">
        <x:v>1319</x:v>
      </x:c>
    </x:row>
    <x:row r="322">
      <x:c r="A322" s="20" t="n">
        <x:v>320</x:v>
      </x:c>
      <x:c r="B322" s="20" t="n">
        <x:v>1318</x:v>
      </x:c>
    </x:row>
    <x:row r="323">
      <x:c r="A323" s="20" t="n">
        <x:v>321</x:v>
      </x:c>
      <x:c r="B323" s="20" t="n">
        <x:v>1320</x:v>
      </x:c>
    </x:row>
    <x:row r="324">
      <x:c r="A324" s="20" t="n">
        <x:v>322</x:v>
      </x:c>
      <x:c r="B324" s="20" t="n">
        <x:v>1313</x:v>
      </x:c>
    </x:row>
    <x:row r="325">
      <x:c r="A325" s="20" t="n">
        <x:v>323</x:v>
      </x:c>
      <x:c r="B325" s="20" t="n">
        <x:v>1319</x:v>
      </x:c>
    </x:row>
    <x:row r="326">
      <x:c r="A326" s="20" t="n">
        <x:v>324</x:v>
      </x:c>
      <x:c r="B326" s="20" t="n">
        <x:v>1318</x:v>
      </x:c>
    </x:row>
    <x:row r="327">
      <x:c r="A327" s="20" t="n">
        <x:v>325</x:v>
      </x:c>
      <x:c r="B327" s="20" t="n">
        <x:v>1320</x:v>
      </x:c>
    </x:row>
    <x:row r="328">
      <x:c r="A328" s="20" t="n">
        <x:v>326</x:v>
      </x:c>
      <x:c r="B328" s="20" t="n">
        <x:v>1318</x:v>
      </x:c>
    </x:row>
    <x:row r="329">
      <x:c r="A329" s="20" t="n">
        <x:v>327</x:v>
      </x:c>
      <x:c r="B329" s="20" t="n">
        <x:v>1321</x:v>
      </x:c>
    </x:row>
    <x:row r="330">
      <x:c r="A330" s="20" t="n">
        <x:v>328</x:v>
      </x:c>
      <x:c r="B330" s="20" t="n">
        <x:v>1317</x:v>
      </x:c>
    </x:row>
    <x:row r="331">
      <x:c r="A331" s="20" t="n">
        <x:v>329</x:v>
      </x:c>
      <x:c r="B331" s="20" t="n">
        <x:v>1316</x:v>
      </x:c>
    </x:row>
    <x:row r="332">
      <x:c r="A332" s="20" t="n">
        <x:v>330</x:v>
      </x:c>
      <x:c r="B332" s="20" t="n">
        <x:v>1317</x:v>
      </x:c>
    </x:row>
    <x:row r="333">
      <x:c r="A333" s="20" t="n">
        <x:v>331</x:v>
      </x:c>
      <x:c r="B333" s="20" t="n">
        <x:v>1319</x:v>
      </x:c>
    </x:row>
    <x:row r="334">
      <x:c r="A334" s="20" t="n">
        <x:v>332</x:v>
      </x:c>
      <x:c r="B334" s="20" t="n">
        <x:v>1316</x:v>
      </x:c>
    </x:row>
    <x:row r="335">
      <x:c r="A335" s="20" t="n">
        <x:v>333</x:v>
      </x:c>
      <x:c r="B335" s="20" t="n">
        <x:v>1315</x:v>
      </x:c>
    </x:row>
    <x:row r="336">
      <x:c r="A336" s="20" t="n">
        <x:v>334</x:v>
      </x:c>
      <x:c r="B336" s="20" t="n">
        <x:v>1321</x:v>
      </x:c>
    </x:row>
    <x:row r="337">
      <x:c r="A337" s="20" t="n">
        <x:v>335</x:v>
      </x:c>
      <x:c r="B337" s="20" t="n">
        <x:v>1317</x:v>
      </x:c>
    </x:row>
    <x:row r="338">
      <x:c r="A338" s="20" t="n">
        <x:v>336</x:v>
      </x:c>
      <x:c r="B338" s="20" t="n">
        <x:v>1318</x:v>
      </x:c>
    </x:row>
    <x:row r="339">
      <x:c r="A339" s="20" t="n">
        <x:v>337</x:v>
      </x:c>
      <x:c r="B339" s="20" t="n">
        <x:v>1318</x:v>
      </x:c>
    </x:row>
    <x:row r="340">
      <x:c r="A340" s="20" t="n">
        <x:v>338</x:v>
      </x:c>
      <x:c r="B340" s="20" t="n">
        <x:v>1317</x:v>
      </x:c>
    </x:row>
    <x:row r="341">
      <x:c r="A341" s="20" t="n">
        <x:v>339</x:v>
      </x:c>
      <x:c r="B341" s="20" t="n">
        <x:v>1320</x:v>
      </x:c>
    </x:row>
    <x:row r="342">
      <x:c r="A342" s="20" t="n">
        <x:v>340</x:v>
      </x:c>
      <x:c r="B342" s="20" t="n">
        <x:v>1314</x:v>
      </x:c>
    </x:row>
    <x:row r="343">
      <x:c r="A343" s="20" t="n">
        <x:v>341</x:v>
      </x:c>
      <x:c r="B343" s="20" t="n">
        <x:v>1313</x:v>
      </x:c>
    </x:row>
    <x:row r="344">
      <x:c r="A344" s="20" t="n">
        <x:v>342</x:v>
      </x:c>
      <x:c r="B344" s="20" t="n">
        <x:v>1316</x:v>
      </x:c>
    </x:row>
    <x:row r="345">
      <x:c r="A345" s="20" t="n">
        <x:v>343</x:v>
      </x:c>
      <x:c r="B345" s="20" t="n">
        <x:v>1317</x:v>
      </x:c>
    </x:row>
    <x:row r="346">
      <x:c r="A346" s="20" t="n">
        <x:v>344</x:v>
      </x:c>
      <x:c r="B346" s="20" t="n">
        <x:v>1319</x:v>
      </x:c>
    </x:row>
    <x:row r="347">
      <x:c r="A347" s="20" t="n">
        <x:v>345</x:v>
      </x:c>
      <x:c r="B347" s="20" t="n">
        <x:v>1320</x:v>
      </x:c>
    </x:row>
    <x:row r="348">
      <x:c r="A348" s="20" t="n">
        <x:v>346</x:v>
      </x:c>
      <x:c r="B348" s="20" t="n">
        <x:v>1316</x:v>
      </x:c>
    </x:row>
    <x:row r="349">
      <x:c r="A349" s="20" t="n">
        <x:v>347</x:v>
      </x:c>
      <x:c r="B349" s="20" t="n">
        <x:v>1320</x:v>
      </x:c>
    </x:row>
    <x:row r="350">
      <x:c r="A350" s="20" t="n">
        <x:v>348</x:v>
      </x:c>
      <x:c r="B350" s="20" t="n">
        <x:v>1317</x:v>
      </x:c>
    </x:row>
    <x:row r="351">
      <x:c r="A351" s="20" t="n">
        <x:v>349</x:v>
      </x:c>
      <x:c r="B351" s="20" t="n">
        <x:v>1317</x:v>
      </x:c>
    </x:row>
    <x:row r="352">
      <x:c r="A352" s="20" t="n">
        <x:v>350</x:v>
      </x:c>
      <x:c r="B352" s="20" t="n">
        <x:v>1317</x:v>
      </x:c>
    </x:row>
    <x:row r="353">
      <x:c r="A353" s="20" t="n">
        <x:v>351</x:v>
      </x:c>
      <x:c r="B353" s="20" t="n">
        <x:v>1317</x:v>
      </x:c>
    </x:row>
    <x:row r="354">
      <x:c r="A354" s="20" t="n">
        <x:v>352</x:v>
      </x:c>
      <x:c r="B354" s="20" t="n">
        <x:v>1318</x:v>
      </x:c>
    </x:row>
    <x:row r="355">
      <x:c r="A355" s="20" t="n">
        <x:v>353</x:v>
      </x:c>
      <x:c r="B355" s="20" t="n">
        <x:v>1315</x:v>
      </x:c>
    </x:row>
    <x:row r="356">
      <x:c r="A356" s="20" t="n">
        <x:v>354</x:v>
      </x:c>
      <x:c r="B356" s="20" t="n">
        <x:v>1321</x:v>
      </x:c>
    </x:row>
    <x:row r="357">
      <x:c r="A357" s="20" t="n">
        <x:v>355</x:v>
      </x:c>
      <x:c r="B357" s="20" t="n">
        <x:v>1317</x:v>
      </x:c>
    </x:row>
    <x:row r="358">
      <x:c r="A358" s="20" t="n">
        <x:v>356</x:v>
      </x:c>
      <x:c r="B358" s="20" t="n">
        <x:v>1320</x:v>
      </x:c>
    </x:row>
    <x:row r="359">
      <x:c r="A359" s="20" t="n">
        <x:v>357</x:v>
      </x:c>
      <x:c r="B359" s="20" t="n">
        <x:v>1316</x:v>
      </x:c>
    </x:row>
    <x:row r="360">
      <x:c r="A360" s="20" t="n">
        <x:v>358</x:v>
      </x:c>
      <x:c r="B360" s="20" t="n">
        <x:v>1321</x:v>
      </x:c>
    </x:row>
    <x:row r="361">
      <x:c r="A361" s="20" t="n">
        <x:v>359</x:v>
      </x:c>
      <x:c r="B361" s="20" t="n">
        <x:v>1315</x:v>
      </x:c>
    </x:row>
    <x:row r="362">
      <x:c r="A362" s="20" t="n">
        <x:v>360</x:v>
      </x:c>
      <x:c r="B362" s="20" t="n">
        <x:v>1319</x:v>
      </x:c>
    </x:row>
    <x:row r="363">
      <x:c r="A363" s="20" t="n">
        <x:v>361</x:v>
      </x:c>
      <x:c r="B363" s="20" t="n">
        <x:v>1316</x:v>
      </x:c>
    </x:row>
    <x:row r="364">
      <x:c r="A364" s="20" t="n">
        <x:v>362</x:v>
      </x:c>
      <x:c r="B364" s="20" t="n">
        <x:v>1320</x:v>
      </x:c>
    </x:row>
    <x:row r="365">
      <x:c r="A365" s="20" t="n">
        <x:v>363</x:v>
      </x:c>
      <x:c r="B365" s="20" t="n">
        <x:v>1314</x:v>
      </x:c>
    </x:row>
    <x:row r="366">
      <x:c r="A366" s="20" t="n">
        <x:v>364</x:v>
      </x:c>
      <x:c r="B366" s="20" t="n">
        <x:v>1326</x:v>
      </x:c>
    </x:row>
    <x:row r="367">
      <x:c r="A367" s="20" t="n">
        <x:v>365</x:v>
      </x:c>
      <x:c r="B367" s="20" t="n">
        <x:v>1315</x:v>
      </x:c>
    </x:row>
    <x:row r="368">
      <x:c r="A368" s="20" t="n">
        <x:v>366</x:v>
      </x:c>
      <x:c r="B368" s="20" t="n">
        <x:v>1319</x:v>
      </x:c>
    </x:row>
    <x:row r="369">
      <x:c r="A369" s="20" t="n">
        <x:v>367</x:v>
      </x:c>
      <x:c r="B369" s="20" t="n">
        <x:v>1315</x:v>
      </x:c>
    </x:row>
    <x:row r="370">
      <x:c r="A370" s="20" t="n">
        <x:v>368</x:v>
      </x:c>
      <x:c r="B370" s="20" t="n">
        <x:v>1319</x:v>
      </x:c>
    </x:row>
    <x:row r="371">
      <x:c r="A371" s="20" t="n">
        <x:v>369</x:v>
      </x:c>
      <x:c r="B371" s="20" t="n">
        <x:v>1319</x:v>
      </x:c>
    </x:row>
    <x:row r="372">
      <x:c r="A372" s="20" t="n">
        <x:v>370</x:v>
      </x:c>
      <x:c r="B372" s="20" t="n">
        <x:v>1320</x:v>
      </x:c>
    </x:row>
    <x:row r="373">
      <x:c r="A373" s="20" t="n">
        <x:v>371</x:v>
      </x:c>
      <x:c r="B373" s="20" t="n">
        <x:v>1317</x:v>
      </x:c>
    </x:row>
    <x:row r="374">
      <x:c r="A374" s="20" t="n">
        <x:v>372</x:v>
      </x:c>
      <x:c r="B374" s="20" t="n">
        <x:v>1318</x:v>
      </x:c>
    </x:row>
    <x:row r="375">
      <x:c r="A375" s="20" t="n">
        <x:v>373</x:v>
      </x:c>
      <x:c r="B375" s="20" t="n">
        <x:v>1314</x:v>
      </x:c>
    </x:row>
    <x:row r="376">
      <x:c r="A376" s="20" t="n">
        <x:v>374</x:v>
      </x:c>
      <x:c r="B376" s="20" t="n">
        <x:v>1322</x:v>
      </x:c>
    </x:row>
    <x:row r="377">
      <x:c r="A377" s="20" t="n">
        <x:v>375</x:v>
      </x:c>
      <x:c r="B377" s="20" t="n">
        <x:v>1315</x:v>
      </x:c>
    </x:row>
    <x:row r="378">
      <x:c r="A378" s="20" t="n">
        <x:v>376</x:v>
      </x:c>
      <x:c r="B378" s="20" t="n">
        <x:v>1320</x:v>
      </x:c>
    </x:row>
    <x:row r="379">
      <x:c r="A379" s="20" t="n">
        <x:v>377</x:v>
      </x:c>
      <x:c r="B379" s="20" t="n">
        <x:v>1316</x:v>
      </x:c>
    </x:row>
    <x:row r="380">
      <x:c r="A380" s="20" t="n">
        <x:v>378</x:v>
      </x:c>
      <x:c r="B380" s="20" t="n">
        <x:v>1318</x:v>
      </x:c>
    </x:row>
    <x:row r="381">
      <x:c r="A381" s="20" t="n">
        <x:v>379</x:v>
      </x:c>
      <x:c r="B381" s="20" t="n">
        <x:v>1317</x:v>
      </x:c>
    </x:row>
    <x:row r="382">
      <x:c r="A382" s="20" t="n">
        <x:v>380</x:v>
      </x:c>
      <x:c r="B382" s="20" t="n">
        <x:v>1314</x:v>
      </x:c>
    </x:row>
    <x:row r="383">
      <x:c r="A383" s="20" t="n">
        <x:v>381</x:v>
      </x:c>
      <x:c r="B383" s="20" t="n">
        <x:v>1318</x:v>
      </x:c>
    </x:row>
    <x:row r="384">
      <x:c r="A384" s="20" t="n">
        <x:v>382</x:v>
      </x:c>
      <x:c r="B384" s="20" t="n">
        <x:v>1315</x:v>
      </x:c>
    </x:row>
    <x:row r="385">
      <x:c r="A385" s="20" t="n">
        <x:v>383</x:v>
      </x:c>
      <x:c r="B385" s="20" t="n">
        <x:v>1317</x:v>
      </x:c>
    </x:row>
    <x:row r="386">
      <x:c r="A386" s="20" t="n">
        <x:v>384</x:v>
      </x:c>
      <x:c r="B386" s="20" t="n">
        <x:v>1320</x:v>
      </x:c>
    </x:row>
    <x:row r="387">
      <x:c r="A387" s="20" t="n">
        <x:v>385</x:v>
      </x:c>
      <x:c r="B387" s="20" t="n">
        <x:v>1320</x:v>
      </x:c>
    </x:row>
    <x:row r="388">
      <x:c r="A388" s="20" t="n">
        <x:v>386</x:v>
      </x:c>
      <x:c r="B388" s="20" t="n">
        <x:v>1317</x:v>
      </x:c>
    </x:row>
    <x:row r="389">
      <x:c r="A389" s="20" t="n">
        <x:v>387</x:v>
      </x:c>
      <x:c r="B389" s="20" t="n">
        <x:v>1316</x:v>
      </x:c>
    </x:row>
    <x:row r="390">
      <x:c r="A390" s="20" t="n">
        <x:v>388</x:v>
      </x:c>
      <x:c r="B390" s="20" t="n">
        <x:v>1316</x:v>
      </x:c>
    </x:row>
    <x:row r="391">
      <x:c r="A391" s="20" t="n">
        <x:v>389</x:v>
      </x:c>
      <x:c r="B391" s="20" t="n">
        <x:v>1317</x:v>
      </x:c>
    </x:row>
    <x:row r="392">
      <x:c r="A392" s="20" t="n">
        <x:v>390</x:v>
      </x:c>
      <x:c r="B392" s="20" t="n">
        <x:v>1319</x:v>
      </x:c>
    </x:row>
    <x:row r="393">
      <x:c r="A393" s="20" t="n">
        <x:v>391</x:v>
      </x:c>
      <x:c r="B393" s="20" t="n">
        <x:v>1318</x:v>
      </x:c>
    </x:row>
    <x:row r="394">
      <x:c r="A394" s="20" t="n">
        <x:v>392</x:v>
      </x:c>
      <x:c r="B394" s="20" t="n">
        <x:v>1319</x:v>
      </x:c>
    </x:row>
    <x:row r="395">
      <x:c r="A395" s="20" t="n">
        <x:v>393</x:v>
      </x:c>
      <x:c r="B395" s="20" t="n">
        <x:v>1317</x:v>
      </x:c>
    </x:row>
    <x:row r="396">
      <x:c r="A396" s="20" t="n">
        <x:v>394</x:v>
      </x:c>
      <x:c r="B396" s="20" t="n">
        <x:v>1318</x:v>
      </x:c>
    </x:row>
    <x:row r="397">
      <x:c r="A397" s="20" t="n">
        <x:v>395</x:v>
      </x:c>
      <x:c r="B397" s="20" t="n">
        <x:v>1311</x:v>
      </x:c>
    </x:row>
    <x:row r="398">
      <x:c r="A398" s="20" t="n">
        <x:v>396</x:v>
      </x:c>
      <x:c r="B398" s="20" t="n">
        <x:v>1319</x:v>
      </x:c>
    </x:row>
    <x:row r="399">
      <x:c r="A399" s="20" t="n">
        <x:v>397</x:v>
      </x:c>
      <x:c r="B399" s="20" t="n">
        <x:v>1312</x:v>
      </x:c>
    </x:row>
    <x:row r="400">
      <x:c r="A400" s="20" t="n">
        <x:v>398</x:v>
      </x:c>
      <x:c r="B400" s="20" t="n">
        <x:v>1322</x:v>
      </x:c>
    </x:row>
    <x:row r="401">
      <x:c r="A401" s="20" t="n">
        <x:v>399</x:v>
      </x:c>
      <x:c r="B401" s="20" t="n">
        <x:v>1316</x:v>
      </x:c>
    </x:row>
    <x:row r="402">
      <x:c r="A402" s="20" t="n">
        <x:v>400</x:v>
      </x:c>
      <x:c r="B402" s="20" t="n">
        <x:v>1317</x:v>
      </x:c>
    </x:row>
    <x:row r="403">
      <x:c r="A403" s="20" t="n">
        <x:v>401</x:v>
      </x:c>
      <x:c r="B403" s="20" t="n">
        <x:v>1316</x:v>
      </x:c>
    </x:row>
    <x:row r="404">
      <x:c r="A404" s="20" t="n">
        <x:v>402</x:v>
      </x:c>
      <x:c r="B404" s="20" t="n">
        <x:v>1321</x:v>
      </x:c>
    </x:row>
    <x:row r="405">
      <x:c r="A405" s="20" t="n">
        <x:v>403</x:v>
      </x:c>
      <x:c r="B405" s="20" t="n">
        <x:v>1315</x:v>
      </x:c>
    </x:row>
    <x:row r="406">
      <x:c r="A406" s="20" t="n">
        <x:v>404</x:v>
      </x:c>
      <x:c r="B406" s="20" t="n">
        <x:v>1320</x:v>
      </x:c>
    </x:row>
    <x:row r="407">
      <x:c r="A407" s="20" t="n">
        <x:v>405</x:v>
      </x:c>
      <x:c r="B407" s="20" t="n">
        <x:v>1319</x:v>
      </x:c>
    </x:row>
    <x:row r="408">
      <x:c r="A408" s="20" t="n">
        <x:v>406</x:v>
      </x:c>
      <x:c r="B408" s="20" t="n">
        <x:v>1319</x:v>
      </x:c>
    </x:row>
    <x:row r="409">
      <x:c r="A409" s="20" t="n">
        <x:v>407</x:v>
      </x:c>
      <x:c r="B409" s="20" t="n">
        <x:v>1317</x:v>
      </x:c>
    </x:row>
    <x:row r="410">
      <x:c r="A410" s="20" t="n">
        <x:v>408</x:v>
      </x:c>
      <x:c r="B410" s="20" t="n">
        <x:v>1323</x:v>
      </x:c>
    </x:row>
    <x:row r="411">
      <x:c r="A411" s="20" t="n">
        <x:v>409</x:v>
      </x:c>
      <x:c r="B411" s="20" t="n">
        <x:v>1320</x:v>
      </x:c>
    </x:row>
    <x:row r="412">
      <x:c r="A412" s="20" t="n">
        <x:v>410</x:v>
      </x:c>
      <x:c r="B412" s="20" t="n">
        <x:v>1318</x:v>
      </x:c>
    </x:row>
    <x:row r="413">
      <x:c r="A413" s="20" t="n">
        <x:v>411</x:v>
      </x:c>
      <x:c r="B413" s="20" t="n">
        <x:v>1316</x:v>
      </x:c>
    </x:row>
    <x:row r="414">
      <x:c r="A414" s="20" t="n">
        <x:v>412</x:v>
      </x:c>
      <x:c r="B414" s="20" t="n">
        <x:v>1321</x:v>
      </x:c>
    </x:row>
    <x:row r="415">
      <x:c r="A415" s="20" t="n">
        <x:v>413</x:v>
      </x:c>
      <x:c r="B415" s="20" t="n">
        <x:v>1313</x:v>
      </x:c>
    </x:row>
    <x:row r="416">
      <x:c r="A416" s="20" t="n">
        <x:v>414</x:v>
      </x:c>
      <x:c r="B416" s="20" t="n">
        <x:v>1324</x:v>
      </x:c>
    </x:row>
    <x:row r="417">
      <x:c r="A417" s="20" t="n">
        <x:v>415</x:v>
      </x:c>
      <x:c r="B417" s="20" t="n">
        <x:v>1318</x:v>
      </x:c>
    </x:row>
    <x:row r="418">
      <x:c r="A418" s="20" t="n">
        <x:v>416</x:v>
      </x:c>
      <x:c r="B418" s="20" t="n">
        <x:v>1319</x:v>
      </x:c>
    </x:row>
    <x:row r="419">
      <x:c r="A419" s="20" t="n">
        <x:v>417</x:v>
      </x:c>
      <x:c r="B419" s="20" t="n">
        <x:v>1318</x:v>
      </x:c>
    </x:row>
    <x:row r="420">
      <x:c r="A420" s="20" t="n">
        <x:v>418</x:v>
      </x:c>
      <x:c r="B420" s="20" t="n">
        <x:v>1324</x:v>
      </x:c>
    </x:row>
    <x:row r="421">
      <x:c r="A421" s="20" t="n">
        <x:v>419</x:v>
      </x:c>
      <x:c r="B421" s="20" t="n">
        <x:v>1315</x:v>
      </x:c>
    </x:row>
    <x:row r="422">
      <x:c r="A422" s="20" t="n">
        <x:v>420</x:v>
      </x:c>
      <x:c r="B422" s="20" t="n">
        <x:v>1321</x:v>
      </x:c>
    </x:row>
    <x:row r="423">
      <x:c r="A423" s="20" t="n">
        <x:v>421</x:v>
      </x:c>
      <x:c r="B423" s="20" t="n">
        <x:v>1314</x:v>
      </x:c>
    </x:row>
    <x:row r="424">
      <x:c r="A424" s="20" t="n">
        <x:v>422</x:v>
      </x:c>
      <x:c r="B424" s="20" t="n">
        <x:v>1320</x:v>
      </x:c>
    </x:row>
    <x:row r="425">
      <x:c r="A425" s="20" t="n">
        <x:v>423</x:v>
      </x:c>
      <x:c r="B425" s="20" t="n">
        <x:v>1317</x:v>
      </x:c>
    </x:row>
    <x:row r="426">
      <x:c r="A426" s="20" t="n">
        <x:v>424</x:v>
      </x:c>
      <x:c r="B426" s="20" t="n">
        <x:v>1321</x:v>
      </x:c>
    </x:row>
    <x:row r="427">
      <x:c r="A427" s="20" t="n">
        <x:v>425</x:v>
      </x:c>
      <x:c r="B427" s="20" t="n">
        <x:v>1319</x:v>
      </x:c>
    </x:row>
    <x:row r="428">
      <x:c r="A428" s="20" t="n">
        <x:v>426</x:v>
      </x:c>
      <x:c r="B428" s="20" t="n">
        <x:v>1321</x:v>
      </x:c>
    </x:row>
    <x:row r="429">
      <x:c r="A429" s="20" t="n">
        <x:v>427</x:v>
      </x:c>
      <x:c r="B429" s="20" t="n">
        <x:v>1315</x:v>
      </x:c>
    </x:row>
    <x:row r="430">
      <x:c r="A430" s="20" t="n">
        <x:v>428</x:v>
      </x:c>
      <x:c r="B430" s="20" t="n">
        <x:v>1325</x:v>
      </x:c>
    </x:row>
    <x:row r="431">
      <x:c r="A431" s="20" t="n">
        <x:v>429</x:v>
      </x:c>
      <x:c r="B431" s="20" t="n">
        <x:v>1317</x:v>
      </x:c>
    </x:row>
    <x:row r="432">
      <x:c r="A432" s="20" t="n">
        <x:v>430</x:v>
      </x:c>
      <x:c r="B432" s="20" t="n">
        <x:v>1318</x:v>
      </x:c>
    </x:row>
    <x:row r="433">
      <x:c r="A433" s="20" t="n">
        <x:v>431</x:v>
      </x:c>
      <x:c r="B433" s="20" t="n">
        <x:v>1318</x:v>
      </x:c>
    </x:row>
    <x:row r="434">
      <x:c r="A434" s="20" t="n">
        <x:v>432</x:v>
      </x:c>
      <x:c r="B434" s="20" t="n">
        <x:v>1317</x:v>
      </x:c>
    </x:row>
    <x:row r="435">
      <x:c r="A435" s="20" t="n">
        <x:v>433</x:v>
      </x:c>
      <x:c r="B435" s="20" t="n">
        <x:v>1316</x:v>
      </x:c>
    </x:row>
    <x:row r="436">
      <x:c r="A436" s="20" t="n">
        <x:v>434</x:v>
      </x:c>
      <x:c r="B436" s="20" t="n">
        <x:v>1319</x:v>
      </x:c>
    </x:row>
    <x:row r="437">
      <x:c r="A437" s="20" t="n">
        <x:v>435</x:v>
      </x:c>
      <x:c r="B437" s="20" t="n">
        <x:v>1320</x:v>
      </x:c>
    </x:row>
    <x:row r="438">
      <x:c r="A438" s="20" t="n">
        <x:v>436</x:v>
      </x:c>
      <x:c r="B438" s="20" t="n">
        <x:v>1317</x:v>
      </x:c>
    </x:row>
    <x:row r="439">
      <x:c r="A439" s="20" t="n">
        <x:v>437</x:v>
      </x:c>
      <x:c r="B439" s="20" t="n">
        <x:v>1319</x:v>
      </x:c>
    </x:row>
    <x:row r="440">
      <x:c r="A440" s="20" t="n">
        <x:v>438</x:v>
      </x:c>
      <x:c r="B440" s="20" t="n">
        <x:v>1321</x:v>
      </x:c>
    </x:row>
    <x:row r="441">
      <x:c r="A441" s="20" t="n">
        <x:v>439</x:v>
      </x:c>
      <x:c r="B441" s="20" t="n">
        <x:v>1317</x:v>
      </x:c>
    </x:row>
    <x:row r="442">
      <x:c r="A442" s="20" t="n">
        <x:v>440</x:v>
      </x:c>
      <x:c r="B442" s="20" t="n">
        <x:v>1314</x:v>
      </x:c>
    </x:row>
    <x:row r="443">
      <x:c r="A443" s="20" t="n">
        <x:v>441</x:v>
      </x:c>
      <x:c r="B443" s="20" t="n">
        <x:v>1322</x:v>
      </x:c>
    </x:row>
    <x:row r="444">
      <x:c r="A444" s="20" t="n">
        <x:v>442</x:v>
      </x:c>
      <x:c r="B444" s="20" t="n">
        <x:v>1318</x:v>
      </x:c>
    </x:row>
    <x:row r="445">
      <x:c r="A445" s="20" t="n">
        <x:v>443</x:v>
      </x:c>
      <x:c r="B445" s="20" t="n">
        <x:v>1317</x:v>
      </x:c>
    </x:row>
    <x:row r="446">
      <x:c r="A446" s="20" t="n">
        <x:v>444</x:v>
      </x:c>
      <x:c r="B446" s="20" t="n">
        <x:v>1316</x:v>
      </x:c>
    </x:row>
    <x:row r="447">
      <x:c r="A447" s="20" t="n">
        <x:v>445</x:v>
      </x:c>
      <x:c r="B447" s="20" t="n">
        <x:v>1322</x:v>
      </x:c>
    </x:row>
    <x:row r="448">
      <x:c r="A448" s="20" t="n">
        <x:v>446</x:v>
      </x:c>
      <x:c r="B448" s="20" t="n">
        <x:v>1316</x:v>
      </x:c>
    </x:row>
    <x:row r="449">
      <x:c r="A449" s="20" t="n">
        <x:v>447</x:v>
      </x:c>
      <x:c r="B449" s="20" t="n">
        <x:v>1318</x:v>
      </x:c>
    </x:row>
    <x:row r="450">
      <x:c r="A450" s="20" t="n">
        <x:v>448</x:v>
      </x:c>
      <x:c r="B450" s="20" t="n">
        <x:v>1321</x:v>
      </x:c>
    </x:row>
    <x:row r="451">
      <x:c r="A451" s="20" t="n">
        <x:v>449</x:v>
      </x:c>
      <x:c r="B451" s="20" t="n">
        <x:v>1318</x:v>
      </x:c>
    </x:row>
    <x:row r="452">
      <x:c r="A452" s="20" t="n">
        <x:v>450</x:v>
      </x:c>
      <x:c r="B452" s="20" t="n">
        <x:v>1320</x:v>
      </x:c>
    </x:row>
    <x:row r="453">
      <x:c r="A453" s="20" t="n">
        <x:v>451</x:v>
      </x:c>
      <x:c r="B453" s="20" t="n">
        <x:v>1315</x:v>
      </x:c>
    </x:row>
    <x:row r="454">
      <x:c r="A454" s="20" t="n">
        <x:v>452</x:v>
      </x:c>
      <x:c r="B454" s="20" t="n">
        <x:v>1318</x:v>
      </x:c>
    </x:row>
    <x:row r="455">
      <x:c r="A455" s="20" t="n">
        <x:v>453</x:v>
      </x:c>
      <x:c r="B455" s="20" t="n">
        <x:v>1318</x:v>
      </x:c>
    </x:row>
    <x:row r="456">
      <x:c r="A456" s="20" t="n">
        <x:v>454</x:v>
      </x:c>
      <x:c r="B456" s="20" t="n">
        <x:v>1318</x:v>
      </x:c>
    </x:row>
    <x:row r="457">
      <x:c r="A457" s="20" t="n">
        <x:v>455</x:v>
      </x:c>
      <x:c r="B457" s="20" t="n">
        <x:v>1318</x:v>
      </x:c>
    </x:row>
    <x:row r="458">
      <x:c r="A458" s="20" t="n">
        <x:v>456</x:v>
      </x:c>
      <x:c r="B458" s="20" t="n">
        <x:v>1318</x:v>
      </x:c>
    </x:row>
    <x:row r="459">
      <x:c r="A459" s="20" t="n">
        <x:v>457</x:v>
      </x:c>
      <x:c r="B459" s="20" t="n">
        <x:v>1318</x:v>
      </x:c>
    </x:row>
    <x:row r="460">
      <x:c r="A460" s="20" t="n">
        <x:v>458</x:v>
      </x:c>
      <x:c r="B460" s="20" t="n">
        <x:v>1318</x:v>
      </x:c>
    </x:row>
    <x:row r="461">
      <x:c r="A461" s="20" t="n">
        <x:v>459</x:v>
      </x:c>
      <x:c r="B461" s="20" t="n">
        <x:v>1318</x:v>
      </x:c>
    </x:row>
    <x:row r="462">
      <x:c r="A462" s="20" t="n">
        <x:v>460</x:v>
      </x:c>
      <x:c r="B462" s="20" t="n">
        <x:v>1318</x:v>
      </x:c>
    </x:row>
    <x:row r="463">
      <x:c r="A463" s="20" t="n">
        <x:v>461</x:v>
      </x:c>
      <x:c r="B463" s="20" t="n">
        <x:v>1319</x:v>
      </x:c>
    </x:row>
    <x:row r="464">
      <x:c r="A464" s="20" t="n">
        <x:v>462</x:v>
      </x:c>
      <x:c r="B464" s="20" t="n">
        <x:v>1315</x:v>
      </x:c>
    </x:row>
    <x:row r="465">
      <x:c r="A465" s="20" t="n">
        <x:v>463</x:v>
      </x:c>
      <x:c r="B465" s="20" t="n">
        <x:v>1317</x:v>
      </x:c>
    </x:row>
    <x:row r="466">
      <x:c r="A466" s="20" t="n">
        <x:v>464</x:v>
      </x:c>
      <x:c r="B466" s="20" t="n">
        <x:v>1315</x:v>
      </x:c>
    </x:row>
    <x:row r="467">
      <x:c r="A467" s="20" t="n">
        <x:v>465</x:v>
      </x:c>
      <x:c r="B467" s="20" t="n">
        <x:v>1319</x:v>
      </x:c>
    </x:row>
    <x:row r="468">
      <x:c r="A468" s="20" t="n">
        <x:v>466</x:v>
      </x:c>
      <x:c r="B468" s="20" t="n">
        <x:v>1320</x:v>
      </x:c>
    </x:row>
    <x:row r="469">
      <x:c r="A469" s="20" t="n">
        <x:v>467</x:v>
      </x:c>
      <x:c r="B469" s="20" t="n">
        <x:v>1312</x:v>
      </x:c>
    </x:row>
    <x:row r="470">
      <x:c r="A470" s="20" t="n">
        <x:v>468</x:v>
      </x:c>
      <x:c r="B470" s="20" t="n">
        <x:v>1320</x:v>
      </x:c>
    </x:row>
    <x:row r="471">
      <x:c r="A471" s="20" t="n">
        <x:v>469</x:v>
      </x:c>
      <x:c r="B471" s="20" t="n">
        <x:v>1320</x:v>
      </x:c>
    </x:row>
    <x:row r="472">
      <x:c r="A472" s="20" t="n">
        <x:v>470</x:v>
      </x:c>
      <x:c r="B472" s="20" t="n">
        <x:v>1316</x:v>
      </x:c>
    </x:row>
    <x:row r="473">
      <x:c r="A473" s="20" t="n">
        <x:v>471</x:v>
      </x:c>
      <x:c r="B473" s="20" t="n">
        <x:v>1317</x:v>
      </x:c>
    </x:row>
    <x:row r="474">
      <x:c r="A474" s="20" t="n">
        <x:v>472</x:v>
      </x:c>
      <x:c r="B474" s="20" t="n">
        <x:v>1321</x:v>
      </x:c>
    </x:row>
    <x:row r="475">
      <x:c r="A475" s="20" t="n">
        <x:v>473</x:v>
      </x:c>
      <x:c r="B475" s="20" t="n">
        <x:v>1319</x:v>
      </x:c>
    </x:row>
    <x:row r="476">
      <x:c r="A476" s="20" t="n">
        <x:v>474</x:v>
      </x:c>
      <x:c r="B476" s="20" t="n">
        <x:v>1318</x:v>
      </x:c>
    </x:row>
    <x:row r="477">
      <x:c r="A477" s="20" t="n">
        <x:v>475</x:v>
      </x:c>
      <x:c r="B477" s="20" t="n">
        <x:v>1319</x:v>
      </x:c>
    </x:row>
    <x:row r="478">
      <x:c r="A478" s="20" t="n">
        <x:v>476</x:v>
      </x:c>
      <x:c r="B478" s="20" t="n">
        <x:v>1315</x:v>
      </x:c>
    </x:row>
    <x:row r="479">
      <x:c r="A479" s="20" t="n">
        <x:v>477</x:v>
      </x:c>
      <x:c r="B479" s="20" t="n">
        <x:v>1315</x:v>
      </x:c>
    </x:row>
    <x:row r="480">
      <x:c r="A480" s="20" t="n">
        <x:v>478</x:v>
      </x:c>
      <x:c r="B480" s="20" t="n">
        <x:v>1316</x:v>
      </x:c>
    </x:row>
    <x:row r="481">
      <x:c r="A481" s="20" t="n">
        <x:v>479</x:v>
      </x:c>
      <x:c r="B481" s="20" t="n">
        <x:v>1321</x:v>
      </x:c>
    </x:row>
    <x:row r="482">
      <x:c r="A482" s="20" t="n">
        <x:v>480</x:v>
      </x:c>
      <x:c r="B482" s="20" t="n">
        <x:v>1321</x:v>
      </x:c>
    </x:row>
    <x:row r="483">
      <x:c r="A483" s="20" t="n">
        <x:v>481</x:v>
      </x:c>
      <x:c r="B483" s="20" t="n">
        <x:v>1316</x:v>
      </x:c>
    </x:row>
    <x:row r="484">
      <x:c r="A484" s="20" t="n">
        <x:v>482</x:v>
      </x:c>
      <x:c r="B484" s="20" t="n">
        <x:v>1322</x:v>
      </x:c>
    </x:row>
    <x:row r="485">
      <x:c r="A485" s="20" t="n">
        <x:v>483</x:v>
      </x:c>
      <x:c r="B485" s="20" t="n">
        <x:v>1310</x:v>
      </x:c>
    </x:row>
    <x:row r="486">
      <x:c r="A486" s="20" t="n">
        <x:v>484</x:v>
      </x:c>
      <x:c r="B486" s="20" t="n">
        <x:v>1320</x:v>
      </x:c>
    </x:row>
    <x:row r="487">
      <x:c r="A487" s="20" t="n">
        <x:v>485</x:v>
      </x:c>
      <x:c r="B487" s="20" t="n">
        <x:v>1318</x:v>
      </x:c>
    </x:row>
    <x:row r="488">
      <x:c r="A488" s="20" t="n">
        <x:v>486</x:v>
      </x:c>
      <x:c r="B488" s="20" t="n">
        <x:v>1318</x:v>
      </x:c>
    </x:row>
    <x:row r="489">
      <x:c r="A489" s="20" t="n">
        <x:v>487</x:v>
      </x:c>
      <x:c r="B489" s="20" t="n">
        <x:v>1317</x:v>
      </x:c>
    </x:row>
    <x:row r="490">
      <x:c r="A490" s="20" t="n">
        <x:v>488</x:v>
      </x:c>
      <x:c r="B490" s="20" t="n">
        <x:v>1317</x:v>
      </x:c>
    </x:row>
    <x:row r="491">
      <x:c r="A491" s="20" t="n">
        <x:v>489</x:v>
      </x:c>
      <x:c r="B491" s="20" t="n">
        <x:v>1319</x:v>
      </x:c>
    </x:row>
    <x:row r="492">
      <x:c r="A492" s="20" t="n">
        <x:v>490</x:v>
      </x:c>
      <x:c r="B492" s="20" t="n">
        <x:v>1318</x:v>
      </x:c>
    </x:row>
    <x:row r="493">
      <x:c r="A493" s="20" t="n">
        <x:v>491</x:v>
      </x:c>
      <x:c r="B493" s="20" t="n">
        <x:v>1318</x:v>
      </x:c>
    </x:row>
    <x:row r="494">
      <x:c r="A494" s="20" t="n">
        <x:v>492</x:v>
      </x:c>
      <x:c r="B494" s="20" t="n">
        <x:v>1316</x:v>
      </x:c>
    </x:row>
    <x:row r="495">
      <x:c r="A495" s="20" t="n">
        <x:v>493</x:v>
      </x:c>
      <x:c r="B495" s="20" t="n">
        <x:v>1319</x:v>
      </x:c>
    </x:row>
    <x:row r="496">
      <x:c r="A496" s="20" t="n">
        <x:v>494</x:v>
      </x:c>
      <x:c r="B496" s="20" t="n">
        <x:v>1317</x:v>
      </x:c>
    </x:row>
    <x:row r="497">
      <x:c r="A497" s="20" t="n">
        <x:v>495</x:v>
      </x:c>
      <x:c r="B497" s="20" t="n">
        <x:v>1323</x:v>
      </x:c>
    </x:row>
    <x:row r="498">
      <x:c r="A498" s="20" t="n">
        <x:v>496</x:v>
      </x:c>
      <x:c r="B498" s="20" t="n">
        <x:v>1314</x:v>
      </x:c>
    </x:row>
    <x:row r="499">
      <x:c r="A499" s="20" t="n">
        <x:v>497</x:v>
      </x:c>
      <x:c r="B499" s="20" t="n">
        <x:v>1319</x:v>
      </x:c>
    </x:row>
    <x:row r="500">
      <x:c r="A500" s="20" t="n">
        <x:v>498</x:v>
      </x:c>
      <x:c r="B500" s="20" t="n">
        <x:v>1316</x:v>
      </x:c>
    </x:row>
    <x:row r="501">
      <x:c r="A501" s="20" t="n">
        <x:v>499</x:v>
      </x:c>
      <x:c r="B501" s="20" t="n">
        <x:v>1322</x:v>
      </x:c>
    </x:row>
    <x:row r="502">
      <x:c r="A502" s="20" t="n">
        <x:v>500</x:v>
      </x:c>
      <x:c r="B502" s="20" t="n">
        <x:v>1318</x:v>
      </x:c>
    </x:row>
    <x:row r="503">
      <x:c r="A503" s="20" t="n">
        <x:v>501</x:v>
      </x:c>
      <x:c r="B503" s="20" t="n">
        <x:v>1318</x:v>
      </x:c>
    </x:row>
    <x:row r="504">
      <x:c r="A504" s="20" t="n">
        <x:v>502</x:v>
      </x:c>
      <x:c r="B504" s="20" t="n">
        <x:v>1317</x:v>
      </x:c>
    </x:row>
    <x:row r="505">
      <x:c r="A505" s="20" t="n">
        <x:v>503</x:v>
      </x:c>
      <x:c r="B505" s="20" t="n">
        <x:v>1318</x:v>
      </x:c>
    </x:row>
    <x:row r="506">
      <x:c r="A506" s="20" t="n">
        <x:v>504</x:v>
      </x:c>
      <x:c r="B506" s="20" t="n">
        <x:v>1320</x:v>
      </x:c>
    </x:row>
    <x:row r="507">
      <x:c r="A507" s="20" t="n">
        <x:v>505</x:v>
      </x:c>
      <x:c r="B507" s="20" t="n">
        <x:v>1319</x:v>
      </x:c>
    </x:row>
    <x:row r="508">
      <x:c r="A508" s="20" t="n">
        <x:v>506</x:v>
      </x:c>
      <x:c r="B508" s="20" t="n">
        <x:v>1316</x:v>
      </x:c>
    </x:row>
    <x:row r="509">
      <x:c r="A509" s="20" t="n">
        <x:v>507</x:v>
      </x:c>
      <x:c r="B509" s="20" t="n">
        <x:v>1316</x:v>
      </x:c>
    </x:row>
    <x:row r="510">
      <x:c r="A510" s="20" t="n">
        <x:v>508</x:v>
      </x:c>
      <x:c r="B510" s="20" t="n">
        <x:v>1319</x:v>
      </x:c>
    </x:row>
    <x:row r="511">
      <x:c r="A511" s="20" t="n">
        <x:v>509</x:v>
      </x:c>
      <x:c r="B511" s="20" t="n">
        <x:v>1318</x:v>
      </x:c>
    </x:row>
    <x:row r="512">
      <x:c r="A512" s="20" t="n">
        <x:v>510</x:v>
      </x:c>
      <x:c r="B512" s="20" t="n">
        <x:v>1319</x:v>
      </x:c>
    </x:row>
    <x:row r="513">
      <x:c r="A513" s="20" t="n">
        <x:v>511</x:v>
      </x:c>
      <x:c r="B513" s="20" t="n">
        <x:v>1318</x:v>
      </x:c>
    </x:row>
    <x:row r="514">
      <x:c r="A514" s="20" t="n">
        <x:v>512</x:v>
      </x:c>
      <x:c r="B514" s="20" t="n">
        <x:v>1321</x:v>
      </x:c>
    </x:row>
    <x:row r="515">
      <x:c r="A515" s="20" t="n">
        <x:v>513</x:v>
      </x:c>
      <x:c r="B515" s="20" t="n">
        <x:v>1317</x:v>
      </x:c>
    </x:row>
    <x:row r="516">
      <x:c r="A516" s="20" t="n">
        <x:v>514</x:v>
      </x:c>
      <x:c r="B516" s="20" t="n">
        <x:v>1322</x:v>
      </x:c>
    </x:row>
    <x:row r="517">
      <x:c r="A517" s="20" t="n">
        <x:v>515</x:v>
      </x:c>
      <x:c r="B517" s="20" t="n">
        <x:v>1320</x:v>
      </x:c>
    </x:row>
    <x:row r="518">
      <x:c r="A518" s="20" t="n">
        <x:v>516</x:v>
      </x:c>
      <x:c r="B518" s="20" t="n">
        <x:v>1318</x:v>
      </x:c>
    </x:row>
    <x:row r="519">
      <x:c r="A519" s="20" t="n">
        <x:v>517</x:v>
      </x:c>
      <x:c r="B519" s="20" t="n">
        <x:v>1320</x:v>
      </x:c>
    </x:row>
    <x:row r="520">
      <x:c r="A520" s="20" t="n">
        <x:v>518</x:v>
      </x:c>
      <x:c r="B520" s="20" t="n">
        <x:v>1317</x:v>
      </x:c>
    </x:row>
    <x:row r="521">
      <x:c r="A521" s="20" t="n">
        <x:v>519</x:v>
      </x:c>
      <x:c r="B521" s="20" t="n">
        <x:v>1315</x:v>
      </x:c>
    </x:row>
    <x:row r="522">
      <x:c r="A522" s="20" t="n">
        <x:v>520</x:v>
      </x:c>
      <x:c r="B522" s="20" t="n">
        <x:v>1317</x:v>
      </x:c>
    </x:row>
    <x:row r="523">
      <x:c r="A523" s="20" t="n">
        <x:v>521</x:v>
      </x:c>
      <x:c r="B523" s="20" t="n">
        <x:v>1314</x:v>
      </x:c>
    </x:row>
    <x:row r="524">
      <x:c r="A524" s="20" t="n">
        <x:v>522</x:v>
      </x:c>
      <x:c r="B524" s="20" t="n">
        <x:v>1312</x:v>
      </x:c>
    </x:row>
    <x:row r="525">
      <x:c r="A525" s="20" t="n">
        <x:v>523</x:v>
      </x:c>
      <x:c r="B525" s="20" t="n">
        <x:v>1316</x:v>
      </x:c>
    </x:row>
    <x:row r="526">
      <x:c r="A526" s="20" t="n">
        <x:v>524</x:v>
      </x:c>
      <x:c r="B526" s="20" t="n">
        <x:v>1318</x:v>
      </x:c>
    </x:row>
    <x:row r="527">
      <x:c r="A527" s="20" t="n">
        <x:v>525</x:v>
      </x:c>
      <x:c r="B527" s="20" t="n">
        <x:v>1321</x:v>
      </x:c>
    </x:row>
    <x:row r="528">
      <x:c r="A528" s="20" t="n">
        <x:v>526</x:v>
      </x:c>
      <x:c r="B528" s="20" t="n">
        <x:v>1314</x:v>
      </x:c>
    </x:row>
    <x:row r="529">
      <x:c r="A529" s="20" t="n">
        <x:v>527</x:v>
      </x:c>
      <x:c r="B529" s="20" t="n">
        <x:v>1319</x:v>
      </x:c>
    </x:row>
    <x:row r="530">
      <x:c r="A530" s="20" t="n">
        <x:v>528</x:v>
      </x:c>
      <x:c r="B530" s="20" t="n">
        <x:v>1316</x:v>
      </x:c>
    </x:row>
    <x:row r="531">
      <x:c r="A531" s="20" t="n">
        <x:v>529</x:v>
      </x:c>
      <x:c r="B531" s="20" t="n">
        <x:v>1319</x:v>
      </x:c>
    </x:row>
    <x:row r="532">
      <x:c r="A532" s="20" t="n">
        <x:v>530</x:v>
      </x:c>
      <x:c r="B532" s="20" t="n">
        <x:v>1318</x:v>
      </x:c>
    </x:row>
    <x:row r="533">
      <x:c r="A533" s="20" t="n">
        <x:v>531</x:v>
      </x:c>
      <x:c r="B533" s="20" t="n">
        <x:v>1317</x:v>
      </x:c>
    </x:row>
    <x:row r="534">
      <x:c r="A534" s="20" t="n">
        <x:v>532</x:v>
      </x:c>
      <x:c r="B534" s="20" t="n">
        <x:v>1317</x:v>
      </x:c>
    </x:row>
    <x:row r="535">
      <x:c r="A535" s="20" t="n">
        <x:v>533</x:v>
      </x:c>
      <x:c r="B535" s="20" t="n">
        <x:v>1319</x:v>
      </x:c>
    </x:row>
    <x:row r="536">
      <x:c r="A536" s="20" t="n">
        <x:v>534</x:v>
      </x:c>
      <x:c r="B536" s="20" t="n">
        <x:v>1318</x:v>
      </x:c>
    </x:row>
    <x:row r="537">
      <x:c r="A537" s="20" t="n">
        <x:v>535</x:v>
      </x:c>
      <x:c r="B537" s="20" t="n">
        <x:v>1319</x:v>
      </x:c>
    </x:row>
    <x:row r="538">
      <x:c r="A538" s="20" t="n">
        <x:v>536</x:v>
      </x:c>
      <x:c r="B538" s="20" t="n">
        <x:v>1317</x:v>
      </x:c>
    </x:row>
    <x:row r="539">
      <x:c r="A539" s="20" t="n">
        <x:v>537</x:v>
      </x:c>
      <x:c r="B539" s="20" t="n">
        <x:v>1317</x:v>
      </x:c>
    </x:row>
    <x:row r="540">
      <x:c r="A540" s="20" t="n">
        <x:v>538</x:v>
      </x:c>
      <x:c r="B540" s="20" t="n">
        <x:v>1322</x:v>
      </x:c>
    </x:row>
    <x:row r="541">
      <x:c r="A541" s="20" t="n">
        <x:v>539</x:v>
      </x:c>
      <x:c r="B541" s="20" t="n">
        <x:v>1312</x:v>
      </x:c>
    </x:row>
    <x:row r="542">
      <x:c r="A542" s="20" t="n">
        <x:v>540</x:v>
      </x:c>
      <x:c r="B542" s="20" t="n">
        <x:v>1316</x:v>
      </x:c>
    </x:row>
    <x:row r="543">
      <x:c r="A543" s="20" t="n">
        <x:v>541</x:v>
      </x:c>
      <x:c r="B543" s="20" t="n">
        <x:v>1317</x:v>
      </x:c>
    </x:row>
    <x:row r="544">
      <x:c r="A544" s="20" t="n">
        <x:v>542</x:v>
      </x:c>
      <x:c r="B544" s="20" t="n">
        <x:v>1320</x:v>
      </x:c>
    </x:row>
    <x:row r="545">
      <x:c r="A545" s="20" t="n">
        <x:v>543</x:v>
      </x:c>
      <x:c r="B545" s="20" t="n">
        <x:v>1315</x:v>
      </x:c>
    </x:row>
    <x:row r="546">
      <x:c r="A546" s="20" t="n">
        <x:v>544</x:v>
      </x:c>
      <x:c r="B546" s="20" t="n">
        <x:v>1323</x:v>
      </x:c>
    </x:row>
    <x:row r="547">
      <x:c r="A547" s="20" t="n">
        <x:v>545</x:v>
      </x:c>
      <x:c r="B547" s="20" t="n">
        <x:v>1308</x:v>
      </x:c>
    </x:row>
    <x:row r="548">
      <x:c r="A548" s="20" t="n">
        <x:v>546</x:v>
      </x:c>
      <x:c r="B548" s="20" t="n">
        <x:v>1317</x:v>
      </x:c>
    </x:row>
    <x:row r="549">
      <x:c r="A549" s="20" t="n">
        <x:v>547</x:v>
      </x:c>
      <x:c r="B549" s="20" t="n">
        <x:v>1318</x:v>
      </x:c>
    </x:row>
    <x:row r="550">
      <x:c r="A550" s="20" t="n">
        <x:v>548</x:v>
      </x:c>
      <x:c r="B550" s="20" t="n">
        <x:v>1316</x:v>
      </x:c>
    </x:row>
    <x:row r="551">
      <x:c r="A551" s="20" t="n">
        <x:v>549</x:v>
      </x:c>
      <x:c r="B551" s="20" t="n">
        <x:v>1319</x:v>
      </x:c>
    </x:row>
    <x:row r="552">
      <x:c r="A552" s="20" t="n">
        <x:v>550</x:v>
      </x:c>
      <x:c r="B552" s="20" t="n">
        <x:v>1316</x:v>
      </x:c>
    </x:row>
    <x:row r="553">
      <x:c r="A553" s="20" t="n">
        <x:v>551</x:v>
      </x:c>
      <x:c r="B553" s="20" t="n">
        <x:v>1321</x:v>
      </x:c>
    </x:row>
    <x:row r="554">
      <x:c r="A554" s="20" t="n">
        <x:v>552</x:v>
      </x:c>
      <x:c r="B554" s="20" t="n">
        <x:v>1317</x:v>
      </x:c>
    </x:row>
    <x:row r="555">
      <x:c r="A555" s="20" t="n">
        <x:v>553</x:v>
      </x:c>
      <x:c r="B555" s="20" t="n">
        <x:v>1316</x:v>
      </x:c>
    </x:row>
    <x:row r="556">
      <x:c r="A556" s="20" t="n">
        <x:v>554</x:v>
      </x:c>
      <x:c r="B556" s="20" t="n">
        <x:v>1319</x:v>
      </x:c>
    </x:row>
    <x:row r="557">
      <x:c r="A557" s="20" t="n">
        <x:v>555</x:v>
      </x:c>
      <x:c r="B557" s="20" t="n">
        <x:v>1322</x:v>
      </x:c>
    </x:row>
    <x:row r="558">
      <x:c r="A558" s="20" t="n">
        <x:v>556</x:v>
      </x:c>
      <x:c r="B558" s="20" t="n">
        <x:v>1313</x:v>
      </x:c>
    </x:row>
    <x:row r="559">
      <x:c r="A559" s="20" t="n">
        <x:v>557</x:v>
      </x:c>
      <x:c r="B559" s="20" t="n">
        <x:v>1322</x:v>
      </x:c>
    </x:row>
    <x:row r="560">
      <x:c r="A560" s="20" t="n">
        <x:v>558</x:v>
      </x:c>
      <x:c r="B560" s="20" t="n">
        <x:v>1315</x:v>
      </x:c>
    </x:row>
    <x:row r="561">
      <x:c r="A561" s="20" t="n">
        <x:v>559</x:v>
      </x:c>
      <x:c r="B561" s="20" t="n">
        <x:v>1321</x:v>
      </x:c>
    </x:row>
    <x:row r="562">
      <x:c r="A562" s="20" t="n">
        <x:v>560</x:v>
      </x:c>
      <x:c r="B562" s="20" t="n">
        <x:v>1317</x:v>
      </x:c>
    </x:row>
    <x:row r="563">
      <x:c r="A563" s="20" t="n">
        <x:v>561</x:v>
      </x:c>
      <x:c r="B563" s="20" t="n">
        <x:v>1318</x:v>
      </x:c>
    </x:row>
    <x:row r="564">
      <x:c r="A564" s="20" t="n">
        <x:v>562</x:v>
      </x:c>
      <x:c r="B564" s="20" t="n">
        <x:v>1316</x:v>
      </x:c>
    </x:row>
    <x:row r="565">
      <x:c r="A565" s="20" t="n">
        <x:v>563</x:v>
      </x:c>
      <x:c r="B565" s="20" t="n">
        <x:v>1319</x:v>
      </x:c>
    </x:row>
    <x:row r="566">
      <x:c r="A566" s="20" t="n">
        <x:v>564</x:v>
      </x:c>
      <x:c r="B566" s="20" t="n">
        <x:v>1319</x:v>
      </x:c>
    </x:row>
    <x:row r="567">
      <x:c r="A567" s="20" t="n">
        <x:v>565</x:v>
      </x:c>
      <x:c r="B567" s="20" t="n">
        <x:v>1319</x:v>
      </x:c>
    </x:row>
    <x:row r="568">
      <x:c r="A568" s="20" t="n">
        <x:v>566</x:v>
      </x:c>
      <x:c r="B568" s="20" t="n">
        <x:v>1316</x:v>
      </x:c>
    </x:row>
    <x:row r="569">
      <x:c r="A569" s="20" t="n">
        <x:v>567</x:v>
      </x:c>
      <x:c r="B569" s="20" t="n">
        <x:v>1319</x:v>
      </x:c>
    </x:row>
    <x:row r="570">
      <x:c r="A570" s="20" t="n">
        <x:v>568</x:v>
      </x:c>
      <x:c r="B570" s="20" t="n">
        <x:v>1317</x:v>
      </x:c>
    </x:row>
    <x:row r="571">
      <x:c r="A571" s="20" t="n">
        <x:v>569</x:v>
      </x:c>
      <x:c r="B571" s="20" t="n">
        <x:v>1319</x:v>
      </x:c>
    </x:row>
    <x:row r="572">
      <x:c r="A572" s="20" t="n">
        <x:v>570</x:v>
      </x:c>
      <x:c r="B572" s="20" t="n">
        <x:v>1317</x:v>
      </x:c>
    </x:row>
    <x:row r="573">
      <x:c r="A573" s="20" t="n">
        <x:v>571</x:v>
      </x:c>
      <x:c r="B573" s="20" t="n">
        <x:v>1319</x:v>
      </x:c>
    </x:row>
    <x:row r="574">
      <x:c r="A574" s="20" t="n">
        <x:v>572</x:v>
      </x:c>
      <x:c r="B574" s="20" t="n">
        <x:v>1318</x:v>
      </x:c>
    </x:row>
    <x:row r="575">
      <x:c r="A575" s="20" t="n">
        <x:v>573</x:v>
      </x:c>
      <x:c r="B575" s="20" t="n">
        <x:v>1316</x:v>
      </x:c>
    </x:row>
    <x:row r="576">
      <x:c r="A576" s="20" t="n">
        <x:v>574</x:v>
      </x:c>
      <x:c r="B576" s="20" t="n">
        <x:v>1319</x:v>
      </x:c>
    </x:row>
    <x:row r="577">
      <x:c r="A577" s="20" t="n">
        <x:v>575</x:v>
      </x:c>
      <x:c r="B577" s="20" t="n">
        <x:v>1213</x:v>
      </x:c>
    </x:row>
    <x:row r="578">
      <x:c r="A578" s="20" t="n">
        <x:v>576</x:v>
      </x:c>
      <x:c r="B578" s="20" t="n">
        <x:v>26</x:v>
      </x:c>
    </x:row>
    <x:row r="579">
      <x:c r="A579" s="20" t="n">
        <x:v>577</x:v>
      </x:c>
      <x:c r="B579" s="20" t="n">
        <x:v>23</x:v>
      </x:c>
    </x:row>
    <x:row r="580">
      <x:c r="A580" s="20" t="n">
        <x:v>578</x:v>
      </x:c>
      <x:c r="B580" s="20" t="n">
        <x:v>23</x:v>
      </x:c>
    </x:row>
    <x:row r="581">
      <x:c r="A581" s="20" t="n">
        <x:v>579</x:v>
      </x:c>
      <x:c r="B581" s="20" t="n">
        <x:v>24</x:v>
      </x:c>
    </x:row>
    <x:row r="582">
      <x:c r="A582" s="20" t="n">
        <x:v>580</x:v>
      </x:c>
      <x:c r="B582" s="20" t="n">
        <x:v>22</x:v>
      </x:c>
    </x:row>
    <x:row r="583">
      <x:c r="A583" s="20" t="n">
        <x:v>581</x:v>
      </x:c>
      <x:c r="B583" s="20" t="n">
        <x:v>23</x:v>
      </x:c>
    </x:row>
    <x:row r="584">
      <x:c r="A584" s="20" t="n">
        <x:v>582</x:v>
      </x:c>
      <x:c r="B584" s="20" t="n">
        <x:v>23</x:v>
      </x:c>
    </x:row>
    <x:row r="585">
      <x:c r="A585" s="20" t="n">
        <x:v>583</x:v>
      </x:c>
      <x:c r="B585" s="20" t="n">
        <x:v>22</x:v>
      </x:c>
    </x:row>
    <x:row r="586">
      <x:c r="A586" s="20" t="n">
        <x:v>584</x:v>
      </x:c>
      <x:c r="B586" s="20" t="n">
        <x:v>23</x:v>
      </x:c>
    </x:row>
    <x:row r="587">
      <x:c r="A587" s="20" t="n">
        <x:v>585</x:v>
      </x:c>
      <x:c r="B587" s="20" t="n">
        <x:v>23</x:v>
      </x:c>
    </x:row>
    <x:row r="588">
      <x:c r="A588" s="20" t="n">
        <x:v>586</x:v>
      </x:c>
      <x:c r="B588" s="20" t="n">
        <x:v>23</x:v>
      </x:c>
    </x:row>
    <x:row r="589">
      <x:c r="A589" s="20" t="n">
        <x:v>587</x:v>
      </x:c>
      <x:c r="B589" s="20" t="n">
        <x:v>22</x:v>
      </x:c>
    </x:row>
    <x:row r="590">
      <x:c r="A590" s="20" t="n">
        <x:v>588</x:v>
      </x:c>
      <x:c r="B590" s="20" t="n">
        <x:v>24</x:v>
      </x:c>
    </x:row>
    <x:row r="591">
      <x:c r="A591" s="20" t="n">
        <x:v>589</x:v>
      </x:c>
      <x:c r="B591" s="20" t="n">
        <x:v>1</x:v>
      </x:c>
    </x:row>
  </x:sheetData>
  <x:conditionalFormatting sqref="B2:B591">
    <x:cfRule type="dataBar" priority="1">
      <x:dataBar>
        <x:cfvo type="min"/>
        <x:cfvo type="max"/>
        <x:color rgb="FF4F81BD"/>
      </x:dataBar>
      <x:extLst>
        <x:ext xmlns:x14="http://schemas.microsoft.com/office/spreadsheetml/2009/9/main" uri="{B025F937-C7B1-47D3-B67F-A62EFF666E3E}">
          <x14:id>{9813220D-AFEB-CAD7-2420-6556AECBA963}</x14:id>
        </x:ext>
      </x:extLst>
    </x:cfRule>
  </x:conditionalFormatting>
  <x:pageMargins left="0.7" right="0.7" top="0.75" bottom="0.75" header="0.3" footer="0.3"/>
  <x:drawing xmlns:r="http://schemas.openxmlformats.org/officeDocument/2006/relationships" r:id="R8364dbaaf8f24f54"/>
  <x:tableParts count="1">
    <x:tablePart xmlns:r="http://schemas.openxmlformats.org/officeDocument/2006/relationships" r:id="Rd642e960c2e54ef6"/>
  </x:tableParts>
  <x:extLst>
    <x:ext xmlns:x14="http://schemas.microsoft.com/office/spreadsheetml/2009/9/main" xmlns:xm="http://schemas.microsoft.com/office/excel/2006/main" uri="{78C0D931-6437-407d-A8EE-F0AAD7539E65}">
      <x14:conditionalFormattings>
        <x14:conditionalFormatting>
          <x14:cfRule type="dataBar" priority="1" id="{9813220D-AFEB-CAD7-2420-6556AECBA963}">
            <x14:dataBar gradient="1">
              <x14:cfvo type="min"/>
              <x14:cfvo type="max"/>
              <x14:fillColor rgb="FF4F81BD"/>
            </x14:dataBar>
          </x14:cfRule>
          <xm:sqref>B2:B591</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30" hidden="0" customWidth="1"/>
    <x:col min="5" max="5" width="26" hidden="0" customWidth="1"/>
    <x:col min="6" max="6" width="30" hidden="0" customWidth="1"/>
    <x:col min="7" max="7" width="14" hidden="0" customWidth="1"/>
    <x:col min="8" max="8" width="34" hidden="0" customWidth="1"/>
    <x:col min="9" max="9" width="65" hidden="0" customWidth="1"/>
  </x:cols>
  <x:sheetData>
    <x:row r="1">
      <x:c r="A1" s="56" t="str">
        <x:v>CAN ID</x:v>
      </x:c>
      <x:c r="B1" s="56" t="str">
        <x:v>Subsystem</x:v>
      </x:c>
      <x:c r="C1" s="56" t="str">
        <x:v>Normalized Signal</x:v>
      </x:c>
      <x:c r="D1" s="56" t="str">
        <x:v>Field / Encoding</x:v>
      </x:c>
      <x:c r="E1" s="56" t="str">
        <x:v>Raw Mapping</x:v>
      </x:c>
      <x:c r="F1" s="56" t="str">
        <x:v>Scale / Unit</x:v>
      </x:c>
      <x:c r="G1" s="56" t="str">
        <x:v>Acquisition</x:v>
      </x:c>
      <x:c r="H1" s="56" t="str">
        <x:v>Confidence</x:v>
      </x:c>
      <x:c r="I1" s="56" t="str">
        <x:v>Evidence</x:v>
      </x:c>
    </x:row>
    <x:row r="2">
      <x:c r="A2" s="20" t="str">
        <x:v>0x025</x:v>
      </x:c>
      <x:c r="B2" s="20" t="str">
        <x:v>Steering</x:v>
      </x:c>
      <x:c r="C2" s="20" t="str">
        <x:v>Steering angle</x:v>
      </x:c>
      <x:c r="D2" s="20" t="str">
        <x:v>Bytes 0–1; signed 12-bit field</x:v>
      </x:c>
      <x:c r="E2" s="20" t="str">
        <x:v>signed 12-bit</x:v>
      </x:c>
      <x:c r="F2" s="20" t="str">
        <x:v>Likely 1.5°/count; requires independent scale corroboration</x:v>
      </x:c>
      <x:c r="G2" s="20" t="str">
        <x:v>Passive</x:v>
      </x:c>
      <x:c r="H2" s="20" t="str">
        <x:v>CONFIRMED BY CAPTURE (signal); HIGH (scale)</x:v>
      </x:c>
      <x:c r="I2" s="20" t="str">
        <x:v>Test-window raw extrema -387 at 57.372s and 377 at 50.576s; smooth full-left/right sweep</x:v>
      </x:c>
    </x:row>
    <x:row r="3">
      <x:c r="A3" s="20" t="str">
        <x:v>0x0B0</x:v>
      </x:c>
      <x:c r="B3" s="20" t="str">
        <x:v>Chassis</x:v>
      </x:c>
      <x:c r="C3" s="20" t="str">
        <x:v>Wheel speed pair A/B</x:v>
      </x:c>
      <x:c r="D3" s="20" t="str">
        <x:v>Bytes 0–1 and 2–3, big-endian</x:v>
      </x:c>
      <x:c r="E3" s="20" t="str">
        <x:v>0.01 km/h/count</x:v>
      </x:c>
      <x:c r="F3" s="20" t="str">
        <x:v>0.01 km/h/count</x:v>
      </x:c>
      <x:c r="G3" s="20" t="str">
        <x:v>Passive</x:v>
      </x:c>
      <x:c r="H3" s="20" t="str">
        <x:v>CONFIRMED BY CAPTURE</x:v>
      </x:c>
      <x:c r="I3" s="20" t="str">
        <x:v>Tracks motion and stop; cross-checks narrated ~10 mph</x:v>
      </x:c>
    </x:row>
    <x:row r="4">
      <x:c r="A4" s="20" t="str">
        <x:v>0x0B2</x:v>
      </x:c>
      <x:c r="B4" s="20" t="str">
        <x:v>Chassis</x:v>
      </x:c>
      <x:c r="C4" s="20" t="str">
        <x:v>Wheel speed pair C/D</x:v>
      </x:c>
      <x:c r="D4" s="20" t="str">
        <x:v>Bytes 0–1 and 2–3, big-endian</x:v>
      </x:c>
      <x:c r="E4" s="20" t="str">
        <x:v>0.01 km/h/count</x:v>
      </x:c>
      <x:c r="F4" s="20" t="str">
        <x:v>0.01 km/h/count</x:v>
      </x:c>
      <x:c r="G4" s="20" t="str">
        <x:v>Passive</x:v>
      </x:c>
      <x:c r="H4" s="20" t="str">
        <x:v>CONFIRMED BY CAPTURE</x:v>
      </x:c>
      <x:c r="I4" s="20" t="str">
        <x:v>Other two wheels; tracks 0x0B0 and stop</x:v>
      </x:c>
    </x:row>
    <x:row r="5">
      <x:c r="A5" s="20" t="str">
        <x:v>0x120</x:v>
      </x:c>
      <x:c r="B5" s="20" t="str">
        <x:v>Hybrid / Gear</x:v>
      </x:c>
      <x:c r="C5" s="20" t="str">
        <x:v>Gear selector</x:v>
      </x:c>
      <x:c r="D5" s="20" t="str">
        <x:v>Byte 5</x:v>
      </x:c>
      <x:c r="E5" s="20" t="str">
        <x:v>0x10=P, 0x11=R, 0x12=N, 0x13=D, 0x14=B</x:v>
      </x:c>
      <x:c r="F5" s="20" t="str">
        <x:v>enumeration</x:v>
      </x:c>
      <x:c r="G5" s="20" t="str">
        <x:v>Passive</x:v>
      </x:c>
      <x:c r="H5" s="20" t="str">
        <x:v>CONFIRMED BY CAPTURE</x:v>
      </x:c>
      <x:c r="I5" s="20" t="str">
        <x:v>Repeated P/R/N/D/B exercise gives clean state sequence</x:v>
      </x:c>
    </x:row>
    <x:row r="6">
      <x:c r="A6" s="20" t="str">
        <x:v>0x230</x:v>
      </x:c>
      <x:c r="B6" s="20" t="str">
        <x:v>Brakes</x:v>
      </x:c>
      <x:c r="C6" s="20" t="str">
        <x:v>Service brake</x:v>
      </x:c>
      <x:c r="D6" s="20" t="str">
        <x:v>Byte 3 bit 2</x:v>
      </x:c>
      <x:c r="E6" s="20" t="str">
        <x:v>0/1</x:v>
      </x:c>
      <x:c r="F6" s="20" t="str">
        <x:v>boolean</x:v>
      </x:c>
      <x:c r="G6" s="20" t="str">
        <x:v>Passive</x:v>
      </x:c>
      <x:c r="H6" s="20" t="str">
        <x:v>CONFIRMED BY CAPTURE</x:v>
      </x:c>
      <x:c r="I6" s="20" t="str">
        <x:v>Brake press/release toggles 0x04</x:v>
      </x:c>
    </x:row>
    <x:row r="7">
      <x:c r="A7" s="20" t="str">
        <x:v>0x230</x:v>
      </x:c>
      <x:c r="B7" s="20" t="str">
        <x:v>Brakes</x:v>
      </x:c>
      <x:c r="C7" s="20" t="str">
        <x:v>Parking brake</x:v>
      </x:c>
      <x:c r="D7" s="20" t="str">
        <x:v>Byte 3 bit 0</x:v>
      </x:c>
      <x:c r="E7" s="20" t="str">
        <x:v>0/1</x:v>
      </x:c>
      <x:c r="F7" s="20" t="str">
        <x:v>boolean</x:v>
      </x:c>
      <x:c r="G7" s="20" t="str">
        <x:v>Passive</x:v>
      </x:c>
      <x:c r="H7" s="20" t="str">
        <x:v>CONFIRMED BY CAPTURE</x:v>
      </x:c>
      <x:c r="I7" s="20" t="str">
        <x:v>Repeated parking-brake ON/OFF toggles 0x01</x:v>
      </x:c>
    </x:row>
    <x:row r="8">
      <x:c r="A8" s="20" t="str">
        <x:v>0x2C4</x:v>
      </x:c>
      <x:c r="B8" s="20" t="str">
        <x:v>Engine</x:v>
      </x:c>
      <x:c r="C8" s="20" t="str">
        <x:v>ICE engine speed</x:v>
      </x:c>
      <x:c r="D8" s="20" t="str">
        <x:v>Bytes 0–1, big-endian</x:v>
      </x:c>
      <x:c r="E8" s="20" t="str">
        <x:v>raw count</x:v>
      </x:c>
      <x:c r="F8" s="20" t="str">
        <x:v>RPM scaling pending corroboration</x:v>
      </x:c>
      <x:c r="G8" s="20" t="str">
        <x:v>Passive</x:v>
      </x:c>
      <x:c r="H8" s="20" t="str">
        <x:v>CONFIRMED BY CAPTURE (signal); SCALE TBD</x:v>
      </x:c>
      <x:c r="I8" s="20" t="str">
        <x:v>Repeated ICE ON/OFF narration correlates with nonzero/zero raw field</x:v>
      </x:c>
    </x:row>
    <x:row r="9">
      <x:c r="A9" s="20" t="str">
        <x:v>0x380</x:v>
      </x:c>
      <x:c r="B9" s="20" t="str">
        <x:v>HVAC</x:v>
      </x:c>
      <x:c r="C9" s="20" t="str">
        <x:v>HVAC / A-C state flags</x:v>
      </x:c>
      <x:c r="D9" s="20" t="str">
        <x:v>Byte 2</x:v>
      </x:c>
      <x:c r="E9" s="20" t="str">
        <x:v>bitfield</x:v>
      </x:c>
      <x:c r="F9" s="20" t="str">
        <x:v>Bit meanings not yet separated</x:v>
      </x:c>
      <x:c r="G9" s="20" t="str">
        <x:v>Passive</x:v>
      </x:c>
      <x:c r="H9" s="20" t="str">
        <x:v>EMPIRICALLY SUPPORTED / HIGH</x:v>
      </x:c>
      <x:c r="I9" s="20" t="str">
        <x:v>Changes during narrated HVAC activation; not blower level</x:v>
      </x:c>
    </x:row>
    <x:row r="10">
      <x:c r="A10" s="20" t="str">
        <x:v>0x381</x:v>
      </x:c>
      <x:c r="B10" s="20" t="str">
        <x:v>HVAC</x:v>
      </x:c>
      <x:c r="C10" s="20" t="str">
        <x:v>Blower level</x:v>
      </x:c>
      <x:c r="D10" s="20" t="str">
        <x:v>Byte 2</x:v>
      </x:c>
      <x:c r="E10" s="20" t="str">
        <x:v>0–7</x:v>
      </x:c>
      <x:c r="F10" s="20" t="str">
        <x:v>level</x:v>
      </x:c>
      <x:c r="G10" s="20" t="str">
        <x:v>Passive</x:v>
      </x:c>
      <x:c r="H10" s="20" t="str">
        <x:v>CONFIRMED BY CAPTURE</x:v>
      </x:c>
      <x:c r="I10" s="20" t="str">
        <x:v>Narrated fan steps produce ordered 0→7 sequence</x:v>
      </x:c>
    </x:row>
    <x:row r="11">
      <x:c r="A11" s="20" t="str">
        <x:v>0x610</x:v>
      </x:c>
      <x:c r="B11" s="20" t="str">
        <x:v>Chassis</x:v>
      </x:c>
      <x:c r="C11" s="20" t="str">
        <x:v>Vehicle speed</x:v>
      </x:c>
      <x:c r="D11" s="20" t="str">
        <x:v>Byte 2</x:v>
      </x:c>
      <x:c r="E11" s="20" t="str">
        <x:v>1 km/h/count</x:v>
      </x:c>
      <x:c r="F11" s="20" t="str">
        <x:v>km/h</x:v>
      </x:c>
      <x:c r="G11" s="20" t="str">
        <x:v>Passive</x:v>
      </x:c>
      <x:c r="H11" s="20" t="str">
        <x:v>CONFIRMED BY CAPTURE</x:v>
      </x:c>
      <x:c r="I11" s="20" t="str">
        <x:v>~10 mph narration corresponds ~16 km/h; returns to zero at stop</x:v>
      </x:c>
    </x:row>
    <x:row r="12">
      <x:c r="A12" s="20" t="str">
        <x:v>0x3B4</x:v>
      </x:c>
      <x:c r="B12" s="20" t="str">
        <x:v>Hybrid / Gear</x:v>
      </x:c>
      <x:c r="C12" s="20" t="str">
        <x:v>Secondary gear state</x:v>
      </x:c>
      <x:c r="D12" s="20" t="str">
        <x:v>Byte 4/5 bitfield</x:v>
      </x:c>
      <x:c r="E12" s="20" t="str">
        <x:v>P/R/N/D/B-related</x:v>
      </x:c>
      <x:c r="F12" s="20" t="str">
        <x:v>mapping incomplete</x:v>
      </x:c>
      <x:c r="G12" s="20" t="str">
        <x:v>Passive</x:v>
      </x:c>
      <x:c r="H12" s="20" t="str">
        <x:v>EMPIRICALLY SUPPORTED / HIGH</x:v>
      </x:c>
      <x:c r="I12" s="20" t="str">
        <x:v>Redundant gear correlation; keep 0x120 as normalized source</x:v>
      </x:c>
    </x:row>
  </x:sheetData>
  <x:pageMargins left="0.7" right="0.7" top="0.75" bottom="0.75" header="0.3" footer="0.3"/>
  <x:tableParts count="1">
    <x:tablePart xmlns:r="http://schemas.openxmlformats.org/officeDocument/2006/relationships" r:id="Rc0903ffe48db4621"/>
  </x:tableParts>
</x:worksheet>
</file>

<file path=xl/worksheets/sheet1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s>
  <x:sheetData>
    <x:row r="1">
      <x:c r="A1" s="54" t="str">
        <x:v>Steering metric</x:v>
      </x:c>
      <x:c r="B1" s="54" t="str">
        <x:v>Value</x:v>
      </x:c>
      <x:c r="C1" s="54" t="str">
        <x:v>CAN Time s</x:v>
      </x:c>
      <x:c r="D1" s="54" t="str">
        <x:v>Notes</x:v>
      </x:c>
      <x:c r="E1" s="54"/>
      <x:c r="F1" s="54"/>
      <x:c r="G1" s="54"/>
      <x:c r="H1" s="54"/>
    </x:row>
    <x:row r="2">
      <x:c r="A2" s="20" t="str">
        <x:v>Signed-12 min</x:v>
      </x:c>
      <x:c r="B2" s="20" t="n">
        <x:v>-387</x:v>
      </x:c>
      <x:c r="C2" s="20" t="n">
        <x:v>57.372</x:v>
      </x:c>
      <x:c r="D2" s="20" t="str">
        <x:v>During narrated steering sweep</x:v>
      </x:c>
      <x:c r="E2" s="20"/>
      <x:c r="F2" s="20"/>
      <x:c r="G2" s="20"/>
      <x:c r="H2" s="20"/>
    </x:row>
    <x:row r="3">
      <x:c r="A3" s="20" t="str">
        <x:v>Signed-12 max</x:v>
      </x:c>
      <x:c r="B3" s="20" t="n">
        <x:v>377</x:v>
      </x:c>
      <x:c r="C3" s="20" t="n">
        <x:v>50.576</x:v>
      </x:c>
      <x:c r="D3" s="20" t="str">
        <x:v>During narrated steering sweep</x:v>
      </x:c>
      <x:c r="E3" s="20"/>
      <x:c r="F3" s="20"/>
      <x:c r="G3" s="20"/>
      <x:c r="H3" s="20"/>
    </x:row>
    <x:row r="4">
      <x:c r="A4" s="20"/>
      <x:c r="B4" s="20"/>
      <x:c r="C4" s="20"/>
      <x:c r="D4" s="20"/>
      <x:c r="E4" s="20"/>
      <x:c r="F4" s="20"/>
      <x:c r="G4" s="20"/>
      <x:c r="H4" s="20"/>
    </x:row>
    <x:row r="5">
      <x:c r="A5" s="20"/>
      <x:c r="B5" s="20"/>
      <x:c r="C5" s="20"/>
      <x:c r="D5" s="20"/>
      <x:c r="E5" s="20"/>
      <x:c r="F5" s="20"/>
      <x:c r="G5" s="20"/>
      <x:c r="H5" s="20"/>
    </x:row>
    <x:row r="6">
      <x:c r="A6" s="54" t="str">
        <x:v>Gear transition CAN s</x:v>
      </x:c>
      <x:c r="B6" s="54" t="str">
        <x:v>Raw byte 5</x:v>
      </x:c>
      <x:c r="C6" s="54" t="str">
        <x:v>Gear</x:v>
      </x:c>
      <x:c r="D6" s="54" t="str">
        <x:v>Full frame</x:v>
      </x:c>
      <x:c r="E6" s="54"/>
      <x:c r="F6" s="54"/>
      <x:c r="G6" s="54"/>
      <x:c r="H6" s="54"/>
    </x:row>
    <x:row r="7">
      <x:c r="A7" s="20" t="n">
        <x:v>78.72</x:v>
      </x:c>
      <x:c r="B7" s="20" t="str">
        <x:v>0x11</x:v>
      </x:c>
      <x:c r="C7" s="20" t="str">
        <x:v>R</x:v>
      </x:c>
      <x:c r="D7" s="20" t="str">
        <x:v>00 00 00 00 10 11 04 4E</x:v>
      </x:c>
      <x:c r="E7" s="20"/>
      <x:c r="F7" s="20"/>
      <x:c r="G7" s="20"/>
      <x:c r="H7" s="20"/>
    </x:row>
    <x:row r="8">
      <x:c r="A8" s="20" t="n">
        <x:v>86.026</x:v>
      </x:c>
      <x:c r="B8" s="20" t="str">
        <x:v>0x12</x:v>
      </x:c>
      <x:c r="C8" s="20" t="str">
        <x:v>N</x:v>
      </x:c>
      <x:c r="D8" s="20" t="str">
        <x:v>00 00 00 00 10 12 04 4F</x:v>
      </x:c>
      <x:c r="E8" s="20"/>
      <x:c r="F8" s="20"/>
      <x:c r="G8" s="20"/>
      <x:c r="H8" s="20"/>
    </x:row>
    <x:row r="9">
      <x:c r="A9" s="20" t="n">
        <x:v>97.811</x:v>
      </x:c>
      <x:c r="B9" s="20" t="str">
        <x:v>0x14</x:v>
      </x:c>
      <x:c r="C9" s="20" t="str">
        <x:v>B</x:v>
      </x:c>
      <x:c r="D9" s="20" t="str">
        <x:v>00 00 00 00 10 14 04 51</x:v>
      </x:c>
      <x:c r="E9" s="20"/>
      <x:c r="F9" s="20"/>
      <x:c r="G9" s="20"/>
      <x:c r="H9" s="20"/>
    </x:row>
    <x:row r="10">
      <x:c r="A10" s="20" t="n">
        <x:v>97.952</x:v>
      </x:c>
      <x:c r="B10" s="20" t="str">
        <x:v>0x13</x:v>
      </x:c>
      <x:c r="C10" s="20" t="str">
        <x:v>D</x:v>
      </x:c>
      <x:c r="D10" s="20" t="str">
        <x:v>00 00 00 00 10 13 04 50</x:v>
      </x:c>
      <x:c r="E10" s="20"/>
      <x:c r="F10" s="20"/>
      <x:c r="G10" s="20"/>
      <x:c r="H10" s="20"/>
    </x:row>
    <x:row r="11">
      <x:c r="A11" s="20" t="n">
        <x:v>106.65</x:v>
      </x:c>
      <x:c r="B11" s="20" t="str">
        <x:v>0x14</x:v>
      </x:c>
      <x:c r="C11" s="20" t="str">
        <x:v>B</x:v>
      </x:c>
      <x:c r="D11" s="20" t="str">
        <x:v>00 00 00 00 10 14 04 51</x:v>
      </x:c>
      <x:c r="E11" s="20"/>
      <x:c r="F11" s="20"/>
      <x:c r="G11" s="20"/>
      <x:c r="H11" s="20"/>
    </x:row>
    <x:row r="12">
      <x:c r="A12" s="20" t="n">
        <x:v>114.815</x:v>
      </x:c>
      <x:c r="B12" s="20" t="str">
        <x:v>0x13</x:v>
      </x:c>
      <x:c r="C12" s="20" t="str">
        <x:v>D</x:v>
      </x:c>
      <x:c r="D12" s="20" t="str">
        <x:v>00 00 00 00 10 13 04 50</x:v>
      </x:c>
      <x:c r="E12" s="20"/>
      <x:c r="F12" s="20"/>
      <x:c r="G12" s="20"/>
      <x:c r="H12" s="20"/>
    </x:row>
    <x:row r="13">
      <x:c r="A13" s="20" t="n">
        <x:v>117.813</x:v>
      </x:c>
      <x:c r="B13" s="20" t="str">
        <x:v>0x12</x:v>
      </x:c>
      <x:c r="C13" s="20" t="str">
        <x:v>N</x:v>
      </x:c>
      <x:c r="D13" s="20" t="str">
        <x:v>00 00 00 00 10 12 04 4F</x:v>
      </x:c>
      <x:c r="E13" s="20"/>
      <x:c r="F13" s="20"/>
      <x:c r="G13" s="20"/>
      <x:c r="H13" s="20"/>
    </x:row>
    <x:row r="14">
      <x:c r="A14" s="20" t="n">
        <x:v>120.492</x:v>
      </x:c>
      <x:c r="B14" s="20" t="str">
        <x:v>0x11</x:v>
      </x:c>
      <x:c r="C14" s="20" t="str">
        <x:v>R</x:v>
      </x:c>
      <x:c r="D14" s="20" t="str">
        <x:v>00 00 00 00 10 11 04 4E</x:v>
      </x:c>
      <x:c r="E14" s="20"/>
      <x:c r="F14" s="20"/>
      <x:c r="G14" s="20"/>
      <x:c r="H14" s="20"/>
    </x:row>
    <x:row r="15">
      <x:c r="A15" s="20" t="n">
        <x:v>123.818</x:v>
      </x:c>
      <x:c r="B15" s="20" t="str">
        <x:v>0x10</x:v>
      </x:c>
      <x:c r="C15" s="20" t="str">
        <x:v>P</x:v>
      </x:c>
      <x:c r="D15" s="20" t="str">
        <x:v>00 00 00 00 10 10 04 4D</x:v>
      </x:c>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54" t="str">
        <x:v>Brake transition CAN s</x:v>
      </x:c>
      <x:c r="B18" s="54" t="str">
        <x:v>Byte 3</x:v>
      </x:c>
      <x:c r="C18" s="54" t="str">
        <x:v>Service brake</x:v>
      </x:c>
      <x:c r="D18" s="54" t="str">
        <x:v>Parking brake</x:v>
      </x:c>
      <x:c r="E18" s="54" t="str">
        <x:v>Full frame</x:v>
      </x:c>
      <x:c r="F18" s="54"/>
      <x:c r="G18" s="54"/>
      <x:c r="H18" s="54"/>
    </x:row>
    <x:row r="19">
      <x:c r="A19" s="20" t="n">
        <x:v>28.484</x:v>
      </x:c>
      <x:c r="B19" s="20" t="str">
        <x:v>0x04</x:v>
      </x:c>
      <x:c r="C19" s="20" t="n">
        <x:v>1</x:v>
      </x:c>
      <x:c r="D19" s="20" t="n">
        <x:v>0</x:v>
      </x:c>
      <x:c r="E19" s="20" t="str">
        <x:v>00 00 00 04 00 00 3D</x:v>
      </x:c>
      <x:c r="F19" s="20"/>
      <x:c r="G19" s="20"/>
      <x:c r="H19" s="20"/>
    </x:row>
    <x:row r="20">
      <x:c r="A20" s="20" t="n">
        <x:v>36.723</x:v>
      </x:c>
      <x:c r="B20" s="20" t="str">
        <x:v>0x00</x:v>
      </x:c>
      <x:c r="C20" s="20" t="n">
        <x:v>0</x:v>
      </x:c>
      <x:c r="D20" s="20" t="n">
        <x:v>0</x:v>
      </x:c>
      <x:c r="E20" s="20" t="str">
        <x:v>00 00 00 00 00 00 39</x:v>
      </x:c>
      <x:c r="F20" s="20"/>
      <x:c r="G20" s="20"/>
      <x:c r="H20" s="20"/>
    </x:row>
    <x:row r="21">
      <x:c r="A21" s="20" t="n">
        <x:v>75.158</x:v>
      </x:c>
      <x:c r="B21" s="20" t="str">
        <x:v>0x04</x:v>
      </x:c>
      <x:c r="C21" s="20" t="n">
        <x:v>1</x:v>
      </x:c>
      <x:c r="D21" s="20" t="n">
        <x:v>0</x:v>
      </x:c>
      <x:c r="E21" s="20" t="str">
        <x:v>00 00 00 04 00 00 3D</x:v>
      </x:c>
      <x:c r="F21" s="20"/>
      <x:c r="G21" s="20"/>
      <x:c r="H21" s="20"/>
    </x:row>
    <x:row r="22">
      <x:c r="A22" s="20" t="n">
        <x:v>90.915</x:v>
      </x:c>
      <x:c r="B22" s="20" t="str">
        <x:v>0x00</x:v>
      </x:c>
      <x:c r="C22" s="20" t="n">
        <x:v>0</x:v>
      </x:c>
      <x:c r="D22" s="20" t="n">
        <x:v>0</x:v>
      </x:c>
      <x:c r="E22" s="20" t="str">
        <x:v>00 00 00 00 00 00 39</x:v>
      </x:c>
      <x:c r="F22" s="20"/>
      <x:c r="G22" s="20"/>
      <x:c r="H22" s="20"/>
    </x:row>
    <x:row r="23">
      <x:c r="A23" s="20" t="n">
        <x:v>91.831</x:v>
      </x:c>
      <x:c r="B23" s="20" t="str">
        <x:v>0x04</x:v>
      </x:c>
      <x:c r="C23" s="20" t="n">
        <x:v>1</x:v>
      </x:c>
      <x:c r="D23" s="20" t="n">
        <x:v>0</x:v>
      </x:c>
      <x:c r="E23" s="20" t="str">
        <x:v>00 00 00 04 00 00 3D</x:v>
      </x:c>
      <x:c r="F23" s="20"/>
      <x:c r="G23" s="20"/>
      <x:c r="H23" s="20"/>
    </x:row>
    <x:row r="24">
      <x:c r="A24" s="20" t="n">
        <x:v>92.94</x:v>
      </x:c>
      <x:c r="B24" s="20" t="str">
        <x:v>0x00</x:v>
      </x:c>
      <x:c r="C24" s="20" t="n">
        <x:v>0</x:v>
      </x:c>
      <x:c r="D24" s="20" t="n">
        <x:v>0</x:v>
      </x:c>
      <x:c r="E24" s="20" t="str">
        <x:v>00 00 00 00 00 00 39</x:v>
      </x:c>
      <x:c r="F24" s="20"/>
      <x:c r="G24" s="20"/>
      <x:c r="H24" s="20"/>
    </x:row>
    <x:row r="25">
      <x:c r="A25" s="20" t="n">
        <x:v>93.952</x:v>
      </x:c>
      <x:c r="B25" s="20" t="str">
        <x:v>0x04</x:v>
      </x:c>
      <x:c r="C25" s="20" t="n">
        <x:v>1</x:v>
      </x:c>
      <x:c r="D25" s="20" t="n">
        <x:v>0</x:v>
      </x:c>
      <x:c r="E25" s="20" t="str">
        <x:v>00 00 00 04 00 00 3D</x:v>
      </x:c>
      <x:c r="F25" s="20"/>
      <x:c r="G25" s="20"/>
      <x:c r="H25" s="20"/>
    </x:row>
    <x:row r="26">
      <x:c r="A26" s="20" t="n">
        <x:v>108.479</x:v>
      </x:c>
      <x:c r="B26" s="20" t="str">
        <x:v>0x00</x:v>
      </x:c>
      <x:c r="C26" s="20" t="n">
        <x:v>0</x:v>
      </x:c>
      <x:c r="D26" s="20" t="n">
        <x:v>0</x:v>
      </x:c>
      <x:c r="E26" s="20" t="str">
        <x:v>00 00 00 00 00 00 39</x:v>
      </x:c>
      <x:c r="F26" s="20"/>
      <x:c r="G26" s="20"/>
      <x:c r="H26" s="20"/>
    </x:row>
    <x:row r="27">
      <x:c r="A27" s="20" t="n">
        <x:v>108.889</x:v>
      </x:c>
      <x:c r="B27" s="20" t="str">
        <x:v>0x04</x:v>
      </x:c>
      <x:c r="C27" s="20" t="n">
        <x:v>1</x:v>
      </x:c>
      <x:c r="D27" s="20" t="n">
        <x:v>0</x:v>
      </x:c>
      <x:c r="E27" s="20" t="str">
        <x:v>00 00 00 04 00 00 3D</x:v>
      </x:c>
      <x:c r="F27" s="20"/>
      <x:c r="G27" s="20"/>
      <x:c r="H27" s="20"/>
    </x:row>
    <x:row r="28">
      <x:c r="A28" s="20" t="n">
        <x:v>126.863</x:v>
      </x:c>
      <x:c r="B28" s="20" t="str">
        <x:v>0x00</x:v>
      </x:c>
      <x:c r="C28" s="20" t="n">
        <x:v>0</x:v>
      </x:c>
      <x:c r="D28" s="20" t="n">
        <x:v>0</x:v>
      </x:c>
      <x:c r="E28" s="20" t="str">
        <x:v>00 00 00 00 00 00 39</x:v>
      </x:c>
      <x:c r="F28" s="20"/>
      <x:c r="G28" s="20"/>
      <x:c r="H28" s="20"/>
    </x:row>
    <x:row r="29">
      <x:c r="A29" s="20" t="n">
        <x:v>132.381</x:v>
      </x:c>
      <x:c r="B29" s="20" t="str">
        <x:v>0x01</x:v>
      </x:c>
      <x:c r="C29" s="20" t="n">
        <x:v>0</x:v>
      </x:c>
      <x:c r="D29" s="20" t="n">
        <x:v>1</x:v>
      </x:c>
      <x:c r="E29" s="20" t="str">
        <x:v>00 00 00 01 00 00 3A</x:v>
      </x:c>
      <x:c r="F29" s="20"/>
      <x:c r="G29" s="20"/>
      <x:c r="H29" s="20"/>
    </x:row>
    <x:row r="30">
      <x:c r="A30" s="20" t="n">
        <x:v>136.694</x:v>
      </x:c>
      <x:c r="B30" s="20" t="str">
        <x:v>0x00</x:v>
      </x:c>
      <x:c r="C30" s="20" t="n">
        <x:v>0</x:v>
      </x:c>
      <x:c r="D30" s="20" t="n">
        <x:v>0</x:v>
      </x:c>
      <x:c r="E30" s="20" t="str">
        <x:v>00 00 00 00 00 00 39</x:v>
      </x:c>
      <x:c r="F30" s="20"/>
      <x:c r="G30" s="20"/>
      <x:c r="H30" s="20"/>
    </x:row>
    <x:row r="31">
      <x:c r="A31" s="20" t="n">
        <x:v>141.898</x:v>
      </x:c>
      <x:c r="B31" s="20" t="str">
        <x:v>0x01</x:v>
      </x:c>
      <x:c r="C31" s="20" t="n">
        <x:v>0</x:v>
      </x:c>
      <x:c r="D31" s="20" t="n">
        <x:v>1</x:v>
      </x:c>
      <x:c r="E31" s="20" t="str">
        <x:v>00 00 00 01 00 00 3A</x:v>
      </x:c>
      <x:c r="F31" s="20"/>
      <x:c r="G31" s="20"/>
      <x:c r="H31" s="20"/>
    </x:row>
    <x:row r="32">
      <x:c r="A32" s="20" t="n">
        <x:v>145.681</x:v>
      </x:c>
      <x:c r="B32" s="20" t="str">
        <x:v>0x00</x:v>
      </x:c>
      <x:c r="C32" s="20" t="n">
        <x:v>0</x:v>
      </x:c>
      <x:c r="D32" s="20" t="n">
        <x:v>0</x:v>
      </x:c>
      <x:c r="E32" s="20" t="str">
        <x:v>00 00 00 00 00 00 39</x:v>
      </x:c>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54" t="str">
        <x:v>Fan transition CAN s</x:v>
      </x:c>
      <x:c r="B35" s="54" t="str">
        <x:v>Blower level</x:v>
      </x:c>
      <x:c r="C35" s="54" t="str">
        <x:v>Full frame</x:v>
      </x:c>
      <x:c r="D35" s="54"/>
      <x:c r="E35" s="54"/>
      <x:c r="F35" s="54"/>
      <x:c r="G35" s="54"/>
      <x:c r="H35" s="54"/>
    </x:row>
    <x:row r="36">
      <x:c r="A36" s="20" t="n">
        <x:v>162.072</x:v>
      </x:c>
      <x:c r="B36" s="20" t="n">
        <x:v>1</x:v>
      </x:c>
      <x:c r="C36" s="20" t="str">
        <x:v>00 00 01 00 00 00 00 00</x:v>
      </x:c>
      <x:c r="D36" s="20"/>
      <x:c r="E36" s="20"/>
      <x:c r="F36" s="20"/>
      <x:c r="G36" s="20"/>
      <x:c r="H36" s="20"/>
    </x:row>
    <x:row r="37">
      <x:c r="A37" s="20" t="n">
        <x:v>167.071</x:v>
      </x:c>
      <x:c r="B37" s="20" t="n">
        <x:v>2</x:v>
      </x:c>
      <x:c r="C37" s="20" t="str">
        <x:v>00 00 02 00 00 00 00 00</x:v>
      </x:c>
      <x:c r="D37" s="20"/>
      <x:c r="E37" s="20"/>
      <x:c r="F37" s="20"/>
      <x:c r="G37" s="20"/>
      <x:c r="H37" s="20"/>
    </x:row>
    <x:row r="38">
      <x:c r="A38" s="20" t="n">
        <x:v>172.141</x:v>
      </x:c>
      <x:c r="B38" s="20" t="n">
        <x:v>3</x:v>
      </x:c>
      <x:c r="C38" s="20" t="str">
        <x:v>00 00 03 00 00 00 00 00</x:v>
      </x:c>
      <x:c r="D38" s="20"/>
      <x:c r="E38" s="20"/>
      <x:c r="F38" s="20"/>
      <x:c r="G38" s="20"/>
      <x:c r="H38" s="20"/>
    </x:row>
    <x:row r="39">
      <x:c r="A39" s="20" t="n">
        <x:v>173.98</x:v>
      </x:c>
      <x:c r="B39" s="20" t="n">
        <x:v>4</x:v>
      </x:c>
      <x:c r="C39" s="20" t="str">
        <x:v>00 00 04 00 00 00 00 00</x:v>
      </x:c>
      <x:c r="D39" s="20"/>
      <x:c r="E39" s="20"/>
      <x:c r="F39" s="20"/>
      <x:c r="G39" s="20"/>
      <x:c r="H39" s="20"/>
    </x:row>
    <x:row r="40">
      <x:c r="A40" s="20" t="n">
        <x:v>175.9</x:v>
      </x:c>
      <x:c r="B40" s="20" t="n">
        <x:v>5</x:v>
      </x:c>
      <x:c r="C40" s="20" t="str">
        <x:v>00 00 05 00 00 00 00 00</x:v>
      </x:c>
      <x:c r="D40" s="20"/>
      <x:c r="E40" s="20"/>
      <x:c r="F40" s="20"/>
      <x:c r="G40" s="20"/>
      <x:c r="H40" s="20"/>
    </x:row>
    <x:row r="41">
      <x:c r="A41" s="20" t="n">
        <x:v>178.74</x:v>
      </x:c>
      <x:c r="B41" s="20" t="n">
        <x:v>6</x:v>
      </x:c>
      <x:c r="C41" s="20" t="str">
        <x:v>00 00 06 00 00 00 00 00</x:v>
      </x:c>
      <x:c r="D41" s="20"/>
      <x:c r="E41" s="20"/>
      <x:c r="F41" s="20"/>
      <x:c r="G41" s="20"/>
      <x:c r="H41" s="20"/>
    </x:row>
    <x:row r="42">
      <x:c r="A42" s="20" t="n">
        <x:v>182.059</x:v>
      </x:c>
      <x:c r="B42" s="20" t="n">
        <x:v>7</x:v>
      </x:c>
      <x:c r="C42" s="20" t="str">
        <x:v>00 00 07 00 00 00 00 00</x:v>
      </x:c>
      <x:c r="D42" s="20"/>
      <x:c r="E42" s="20"/>
      <x:c r="F42" s="20"/>
      <x:c r="G42" s="20"/>
      <x:c r="H42" s="20"/>
    </x:row>
    <x:row r="43">
      <x:c r="A43" s="20" t="n">
        <x:v>191.81</x:v>
      </x:c>
      <x:c r="B43" s="20" t="n">
        <x:v>0</x:v>
      </x:c>
      <x:c r="C43" s="20" t="str">
        <x:v>00 00 00 00 00 00 00 00</x:v>
      </x:c>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54" t="str">
        <x:v>HVAC transition CAN s</x:v>
      </x:c>
      <x:c r="B46" s="54" t="str">
        <x:v>0x380 byte 2</x:v>
      </x:c>
      <x:c r="C46" s="54" t="str">
        <x:v>Full frame</x:v>
      </x:c>
      <x:c r="D46" s="54"/>
      <x:c r="E46" s="54"/>
      <x:c r="F46" s="54"/>
      <x:c r="G46" s="54"/>
      <x:c r="H46" s="54"/>
    </x:row>
    <x:row r="47">
      <x:c r="A47" s="20" t="n">
        <x:v>162.316</x:v>
      </x:c>
      <x:c r="B47" s="20" t="str">
        <x:v>0x10</x:v>
      </x:c>
      <x:c r="C47" s="20" t="str">
        <x:v>00 00 10 00 00 00 2A 00</x:v>
      </x:c>
      <x:c r="D47" s="20"/>
      <x:c r="E47" s="20"/>
      <x:c r="F47" s="20"/>
      <x:c r="G47" s="20"/>
      <x:c r="H47" s="20"/>
    </x:row>
    <x:row r="48">
      <x:c r="A48" s="20" t="n">
        <x:v>162.571</x:v>
      </x:c>
      <x:c r="B48" s="20" t="str">
        <x:v>0x30</x:v>
      </x:c>
      <x:c r="C48" s="20" t="str">
        <x:v>00 00 30 00 00 00 2A 00</x:v>
      </x:c>
      <x:c r="D48" s="20"/>
      <x:c r="E48" s="20"/>
      <x:c r="F48" s="20"/>
      <x:c r="G48" s="20"/>
      <x:c r="H48" s="20"/>
    </x:row>
    <x:row r="49">
      <x:c r="A49" s="20" t="n">
        <x:v>192.029</x:v>
      </x:c>
      <x:c r="B49" s="20" t="str">
        <x:v>0x20</x:v>
      </x:c>
      <x:c r="C49" s="20" t="str">
        <x:v>00 00 20 00 00 00 29 00</x:v>
      </x:c>
      <x:c r="D49" s="20"/>
      <x:c r="E49" s="20"/>
      <x:c r="F49" s="20"/>
      <x:c r="G49" s="20"/>
      <x:c r="H49" s="20"/>
    </x:row>
    <x:row r="50">
      <x:c r="A50" s="20" t="n">
        <x:v>192.259</x:v>
      </x:c>
      <x:c r="B50" s="20" t="str">
        <x:v>0x00</x:v>
      </x:c>
      <x:c r="C50" s="20" t="str">
        <x:v>00 00 00 00 00 00 29 00</x:v>
      </x:c>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54" t="str">
        <x:v>ICE event</x:v>
      </x:c>
      <x:c r="B53" s="54" t="str">
        <x:v>Audio s</x:v>
      </x:c>
      <x:c r="C53" s="54" t="str">
        <x:v>Aligned CAN s</x:v>
      </x:c>
      <x:c r="D53" s="54" t="str">
        <x:v>0x2C4 raw samples (-2s / event / +2s)</x:v>
      </x:c>
      <x:c r="E53" s="54"/>
      <x:c r="F53" s="54"/>
      <x:c r="G53" s="54"/>
      <x:c r="H53" s="54"/>
    </x:row>
    <x:row r="54">
      <x:c r="A54" s="20" t="str">
        <x:v>ICE OFF</x:v>
      </x:c>
      <x:c r="B54" s="20" t="n">
        <x:v>362</x:v>
      </x:c>
      <x:c r="C54" s="20" t="n">
        <x:v>307.382</x:v>
      </x:c>
      <x:c r="D54" s="20" t="str">
        <x:v>-2s:1169 | +0s:146 | +2s:0</x:v>
      </x:c>
      <x:c r="E54" s="20"/>
      <x:c r="F54" s="20"/>
      <x:c r="G54" s="20"/>
      <x:c r="H54" s="20"/>
    </x:row>
    <x:row r="55">
      <x:c r="A55" s="20" t="str">
        <x:v>ICE ON</x:v>
      </x:c>
      <x:c r="B55" s="20" t="n">
        <x:v>462</x:v>
      </x:c>
      <x:c r="C55" s="20" t="n">
        <x:v>407.615</x:v>
      </x:c>
      <x:c r="D55" s="20" t="str">
        <x:v>-2s:1621 | +0s:1769 | +2s:1834</x:v>
      </x:c>
      <x:c r="E55" s="20"/>
      <x:c r="F55" s="20"/>
      <x:c r="G55" s="20"/>
      <x:c r="H55" s="20"/>
    </x:row>
    <x:row r="56">
      <x:c r="A56" s="20" t="str">
        <x:v>ICE ON</x:v>
      </x:c>
      <x:c r="B56" s="20" t="n">
        <x:v>534</x:v>
      </x:c>
      <x:c r="C56" s="20" t="n">
        <x:v>479.782</x:v>
      </x:c>
      <x:c r="D56" s="20" t="str">
        <x:v>-2s:0 | +0s:1723 | +2s:1357</x:v>
      </x:c>
      <x:c r="E56" s="20"/>
      <x:c r="F56" s="20"/>
      <x:c r="G56" s="20"/>
      <x:c r="H56" s="20"/>
    </x:row>
    <x:row r="57">
      <x:c r="A57" s="20" t="str">
        <x:v>ICE ON</x:v>
      </x:c>
      <x:c r="B57" s="20" t="n">
        <x:v>553</x:v>
      </x:c>
      <x:c r="C57" s="20" t="n">
        <x:v>498.826</x:v>
      </x:c>
      <x:c r="D57" s="20" t="str">
        <x:v>-2s:0 | +0s:1729 | +2s:1791</x:v>
      </x:c>
      <x:c r="E57" s="20"/>
      <x:c r="F57" s="20"/>
      <x:c r="G57" s="20"/>
      <x:c r="H57" s="20"/>
    </x:row>
    <x:row r="58">
      <x:c r="A58" s="20" t="str">
        <x:v>ICE OFF</x:v>
      </x:c>
      <x:c r="B58" s="20" t="n">
        <x:v>580</x:v>
      </x:c>
      <x:c r="C58" s="20" t="n">
        <x:v>525.889</x:v>
      </x:c>
      <x:c r="D58" s="20" t="str">
        <x:v>-2s:0 | +0s:0 | +2s:0</x:v>
      </x:c>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54" t="str">
        <x:v>Speed event</x:v>
      </x:c>
      <x:c r="B61" s="54" t="str">
        <x:v>Audio s</x:v>
      </x:c>
      <x:c r="C61" s="54" t="str">
        <x:v>Aligned CAN s</x:v>
      </x:c>
      <x:c r="D61" s="54" t="str">
        <x:v>Wheel A km/h</x:v>
      </x:c>
      <x:c r="E61" s="54" t="str">
        <x:v>Wheel B km/h</x:v>
      </x:c>
      <x:c r="F61" s="54" t="str">
        <x:v>Wheel C km/h</x:v>
      </x:c>
      <x:c r="G61" s="54" t="str">
        <x:v>Wheel D km/h</x:v>
      </x:c>
      <x:c r="H61" s="54" t="str">
        <x:v>0x610 km/h</x:v>
      </x:c>
    </x:row>
    <x:row r="62">
      <x:c r="A62" s="20" t="str">
        <x:v>~10 mph</x:v>
      </x:c>
      <x:c r="B62" s="20" t="n">
        <x:v>410</x:v>
      </x:c>
      <x:c r="C62" s="20" t="n">
        <x:v>355.494</x:v>
      </x:c>
      <x:c r="D62" s="20" t="n">
        <x:v>16.16</x:v>
      </x:c>
      <x:c r="E62" s="20" t="n">
        <x:v>15.9</x:v>
      </x:c>
      <x:c r="F62" s="20" t="n">
        <x:v>16.33</x:v>
      </x:c>
      <x:c r="G62" s="20" t="n">
        <x:v>15.97</x:v>
      </x:c>
      <x:c r="H62" s="20" t="n">
        <x:v>16</x:v>
      </x:c>
    </x:row>
    <x:row r="63">
      <x:c r="A63" s="20" t="str">
        <x:v>~5 mph / ICE off</x:v>
      </x:c>
      <x:c r="B63" s="20" t="n">
        <x:v>580</x:v>
      </x:c>
      <x:c r="C63" s="20" t="n">
        <x:v>525.889</x:v>
      </x:c>
      <x:c r="D63" s="20" t="n">
        <x:v>8.87</x:v>
      </x:c>
      <x:c r="E63" s="20" t="n">
        <x:v>8.82</x:v>
      </x:c>
      <x:c r="F63" s="20" t="n">
        <x:v>8.83</x:v>
      </x:c>
      <x:c r="G63" s="20" t="n">
        <x:v>8.78</x:v>
      </x:c>
      <x:c r="H63" s="20" t="n">
        <x:v>8</x:v>
      </x:c>
    </x:row>
    <x:row r="64">
      <x:c r="A64" s="20" t="str">
        <x:v>Complete stop</x:v>
      </x:c>
      <x:c r="B64" s="20" t="n">
        <x:v>606</x:v>
      </x:c>
      <x:c r="C64" s="20" t="n">
        <x:v>551.949</x:v>
      </x:c>
      <x:c r="D64" s="20" t="n">
        <x:v>0</x:v>
      </x:c>
      <x:c r="E64" s="20" t="n">
        <x:v>0</x:v>
      </x:c>
      <x:c r="F64" s="20" t="n">
        <x:v>0</x:v>
      </x:c>
      <x:c r="G64" s="20" t="n">
        <x:v>0</x:v>
      </x:c>
      <x:c r="H64" s="20" t="n">
        <x:v>0</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0" hidden="0" customWidth="1"/>
    <x:col min="3" max="3" width="24" hidden="0" customWidth="1"/>
    <x:col min="4" max="4" width="22" hidden="0" customWidth="1"/>
    <x:col min="5" max="5" width="58" hidden="0" customWidth="1"/>
  </x:cols>
  <x:sheetData>
    <x:row r="1">
      <x:c r="A1" s="56" t="str">
        <x:v>Vehicle</x:v>
      </x:c>
      <x:c r="B1" s="56" t="str">
        <x:v>DLC Pin</x:v>
      </x:c>
      <x:c r="C1" s="56" t="str">
        <x:v>Wire Color</x:v>
      </x:c>
      <x:c r="D1" s="56" t="str">
        <x:v>Observation</x:v>
      </x:c>
      <x:c r="E1" s="56" t="str">
        <x:v>Current Interpretation</x:v>
      </x:c>
    </x:row>
    <x:row r="2">
      <x:c r="A2" s="20" t="str">
        <x:v>2007 Camry Hybrid AHV40</x:v>
      </x:c>
      <x:c r="B2" s="20" t="str">
        <x:v>4</x:v>
      </x:c>
      <x:c r="C2" s="20" t="str">
        <x:v>White with black line</x:v>
      </x:c>
      <x:c r="D2" s="20" t="str">
        <x:v>Factory-populated</x:v>
      </x:c>
      <x:c r="E2" s="20" t="str">
        <x:v>Chassis ground; pass-through candidate</x:v>
      </x:c>
    </x:row>
    <x:row r="3">
      <x:c r="A3" s="20" t="str">
        <x:v>2007 Camry Hybrid AHV40</x:v>
      </x:c>
      <x:c r="B3" s="20" t="str">
        <x:v>5</x:v>
      </x:c>
      <x:c r="C3" s="20" t="str">
        <x:v>Brown</x:v>
      </x:c>
      <x:c r="D3" s="20" t="str">
        <x:v>Factory-populated</x:v>
      </x:c>
      <x:c r="E3" s="20" t="str">
        <x:v>Signal ground; pass-through candidate</x:v>
      </x:c>
    </x:row>
    <x:row r="4">
      <x:c r="A4" s="20" t="str">
        <x:v>2007 Camry Hybrid AHV40</x:v>
      </x:c>
      <x:c r="B4" s="20" t="str">
        <x:v>6</x:v>
      </x:c>
      <x:c r="C4" s="20" t="str">
        <x:v>Black</x:v>
      </x:c>
      <x:c r="D4" s="20" t="str">
        <x:v>Factory-populated</x:v>
      </x:c>
      <x:c r="E4" s="20" t="str">
        <x:v>CAN-H; twisted with pin 14</x:v>
      </x:c>
    </x:row>
    <x:row r="5">
      <x:c r="A5" s="20" t="str">
        <x:v>2007 Camry Hybrid AHV40</x:v>
      </x:c>
      <x:c r="B5" s="20" t="str">
        <x:v>7</x:v>
      </x:c>
      <x:c r="C5" s="20" t="str">
        <x:v>Gray</x:v>
      </x:c>
      <x:c r="D5" s="20" t="str">
        <x:v>Factory-populated</x:v>
      </x:c>
      <x:c r="E5" s="20" t="str">
        <x:v>Function not yet established; preserve for comparison</x:v>
      </x:c>
    </x:row>
    <x:row r="6">
      <x:c r="A6" s="20" t="str">
        <x:v>2007 Camry Hybrid AHV40</x:v>
      </x:c>
      <x:c r="B6" s="20" t="str">
        <x:v>9</x:v>
      </x:c>
      <x:c r="C6" s="20" t="str">
        <x:v>Black</x:v>
      </x:c>
      <x:c r="D6" s="20" t="str">
        <x:v>Factory-populated</x:v>
      </x:c>
      <x:c r="E6" s="20" t="str">
        <x:v>Function not yet established; preserve for comparison</x:v>
      </x:c>
    </x:row>
    <x:row r="7">
      <x:c r="A7" s="20" t="str">
        <x:v>2007 Camry Hybrid AHV40</x:v>
      </x:c>
      <x:c r="B7" s="20" t="str">
        <x:v>12</x:v>
      </x:c>
      <x:c r="C7" s="20" t="str">
        <x:v>Orange</x:v>
      </x:c>
      <x:c r="D7" s="20" t="str">
        <x:v>Factory-populated</x:v>
      </x:c>
      <x:c r="E7" s="20" t="str">
        <x:v>Function not yet established; preserve for comparison</x:v>
      </x:c>
    </x:row>
    <x:row r="8">
      <x:c r="A8" s="20" t="str">
        <x:v>2007 Camry Hybrid AHV40</x:v>
      </x:c>
      <x:c r="B8" s="20" t="str">
        <x:v>13</x:v>
      </x:c>
      <x:c r="C8" s="20" t="str">
        <x:v>Pink</x:v>
      </x:c>
      <x:c r="D8" s="20" t="str">
        <x:v>Factory-populated</x:v>
      </x:c>
      <x:c r="E8" s="20" t="str">
        <x:v>Function not yet established; preserve for comparison</x:v>
      </x:c>
    </x:row>
    <x:row r="9">
      <x:c r="A9" s="20" t="str">
        <x:v>2007 Camry Hybrid AHV40</x:v>
      </x:c>
      <x:c r="B9" s="20" t="str">
        <x:v>14</x:v>
      </x:c>
      <x:c r="C9" s="20" t="str">
        <x:v>White</x:v>
      </x:c>
      <x:c r="D9" s="20" t="str">
        <x:v>Factory-populated</x:v>
      </x:c>
      <x:c r="E9" s="20" t="str">
        <x:v>CAN-L; twisted with pin 6</x:v>
      </x:c>
    </x:row>
    <x:row r="10">
      <x:c r="A10" s="20" t="str">
        <x:v>2007 Camry Hybrid AHV40</x:v>
      </x:c>
      <x:c r="B10" s="20" t="str">
        <x:v>16</x:v>
      </x:c>
      <x:c r="C10" s="20" t="str">
        <x:v>Blue</x:v>
      </x:c>
      <x:c r="D10" s="20" t="str">
        <x:v>Factory-populated</x:v>
      </x:c>
      <x:c r="E10" s="20" t="str">
        <x:v>+12 V battery supply; handle carefully</x:v>
      </x:c>
    </x:row>
    <x:row r="12">
      <x:c r="A12" t="str">
        <x:v>Important</x:v>
      </x:c>
      <x:c r="B12" t="str"/>
      <x:c r="C12" t="str"/>
      <x:c r="D12" t="str"/>
      <x:c r="E12" t="str"/>
    </x:row>
    <x:row r="13">
      <x:c r="A13" t="str">
        <x:v>Pin numbering</x:v>
      </x:c>
      <x:c r="B13" t="str">
        <x:v>Use molded cavity number / mating-face orientation; rear wiring view is mirrored.</x:v>
      </x:c>
      <x:c r="C13" t="str"/>
      <x:c r="D13" t="str"/>
      <x:c r="E13" t="str"/>
    </x:row>
    <x:row r="14">
      <x:c r="A14" t="str">
        <x:v>Pending comparison</x:v>
      </x:c>
      <x:c r="B14" t="str">
        <x:v>Do not solder the salvage connector into the splitter until Gen2/Gen3 Prius DLC population is compared.</x:v>
      </x:c>
      <x:c r="C14" t="str"/>
      <x:c r="D14" t="str"/>
      <x:c r="E14" t="str"/>
    </x:row>
    <x:row r="15">
      <x:c r="A15" t="str">
        <x:v>Photos</x:v>
      </x:c>
      <x:c r="B15" t="str">
        <x:v>Two poor-lighting front/back photographs exist as physical references, but no new pin functions are inferred from the images alone.</x:v>
      </x:c>
      <x:c r="C15" t="str"/>
      <x:c r="D15" t="str"/>
      <x:c r="E15" t="str"/>
    </x:row>
  </x:sheetData>
  <x:pageMargins left="0.7" right="0.7" top="0.75" bottom="0.75" header="0.3" footer="0.3"/>
  <x:tableParts count="1">
    <x:tablePart xmlns:r="http://schemas.openxmlformats.org/officeDocument/2006/relationships" r:id="R94f0eaa08de84de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str">
        <x:v>0</x:v>
      </x:c>
      <x:c r="F2" s="79" t="str">
        <x:v>120</x:v>
      </x:c>
      <x:c r="G2" s="79" t="str">
        <x:v>mph</x:v>
      </x:c>
      <x:c r="H2" s="79" t="str">
        <x:v>7B0</x:v>
      </x:c>
      <x:c r="I2" s="79" t="str">
        <x:v>PRIUS_GEN3 / ZVW30</x:v>
      </x:c>
      <x:c r="J2" s="79" t="str">
        <x:v>GenIII Prius 4-24-12 (US).csv</x:v>
      </x:c>
      <x:c r="K2" s="79" t="str">
        <x:v>2012-04-24</x:v>
      </x:c>
      <x:c r="L2" s="79" t="str">
        <x:v>READ-ONLY DIAGNOSTIC CANDIDATE</x:v>
      </x:c>
      <x:c r="M2" s="79" t="str">
        <x:v>CANDIDATE</x:v>
      </x:c>
      <x:c r="N2" s="80" t="str">
        <x:v>Older US snapshot retained for change comparison</x:v>
      </x:c>
    </x:row>
    <x:row r="3">
      <x:c r="A3" s="78" t="str">
        <x:v>FL Wheel Speed</x:v>
      </x:c>
      <x:c r="B3" s="79" t="str">
        <x:v>FL WS</x:v>
      </x:c>
      <x:c r="C3" s="79" t="str">
        <x:v>2103</x:v>
      </x:c>
      <x:c r="D3" s="79" t="str">
        <x:v>B * 32 / 25 * 15625 / 25146</x:v>
      </x:c>
      <x:c r="E3" s="79" t="str">
        <x:v>0</x:v>
      </x:c>
      <x:c r="F3" s="79" t="str">
        <x:v>120</x:v>
      </x:c>
      <x:c r="G3" s="79" t="str">
        <x:v>mph</x:v>
      </x:c>
      <x:c r="H3" s="79" t="str">
        <x:v>7B0</x:v>
      </x:c>
      <x:c r="I3" s="79" t="str">
        <x:v>PRIUS_GEN3 / ZVW30</x:v>
      </x:c>
      <x:c r="J3" s="79" t="str">
        <x:v>GenIII Prius 4-24-12 (US).csv</x:v>
      </x:c>
      <x:c r="K3" s="79" t="str">
        <x:v>2012-04-24</x:v>
      </x:c>
      <x:c r="L3" s="79" t="str">
        <x:v>READ-ONLY DIAGNOSTIC CANDIDATE</x:v>
      </x:c>
      <x:c r="M3" s="79" t="str">
        <x:v>CANDIDATE</x:v>
      </x:c>
      <x:c r="N3" s="80" t="str">
        <x:v>Older US snapshot retained for change comparison</x:v>
      </x:c>
    </x:row>
    <x:row r="4">
      <x:c r="A4" s="78" t="str">
        <x:v>RR Wheel Speed</x:v>
      </x:c>
      <x:c r="B4" s="79" t="str">
        <x:v>RR WS</x:v>
      </x:c>
      <x:c r="C4" s="79" t="str">
        <x:v>2103</x:v>
      </x:c>
      <x:c r="D4" s="79" t="str">
        <x:v>C * 32 / 25 * 15625 / 25146</x:v>
      </x:c>
      <x:c r="E4" s="79" t="str">
        <x:v>0</x:v>
      </x:c>
      <x:c r="F4" s="79" t="str">
        <x:v>120</x:v>
      </x:c>
      <x:c r="G4" s="79" t="str">
        <x:v>mph</x:v>
      </x:c>
      <x:c r="H4" s="79" t="str">
        <x:v>7B0</x:v>
      </x:c>
      <x:c r="I4" s="79" t="str">
        <x:v>PRIUS_GEN3 / ZVW30</x:v>
      </x:c>
      <x:c r="J4" s="79" t="str">
        <x:v>GenIII Prius 4-24-12 (US).csv</x:v>
      </x:c>
      <x:c r="K4" s="79" t="str">
        <x:v>2012-04-24</x:v>
      </x:c>
      <x:c r="L4" s="79" t="str">
        <x:v>READ-ONLY DIAGNOSTIC CANDIDATE</x:v>
      </x:c>
      <x:c r="M4" s="79" t="str">
        <x:v>CANDIDATE</x:v>
      </x:c>
      <x:c r="N4" s="80" t="str">
        <x:v>Older US snapshot retained for change comparison</x:v>
      </x:c>
    </x:row>
    <x:row r="5">
      <x:c r="A5" s="78" t="str">
        <x:v>RL Wheel Speed</x:v>
      </x:c>
      <x:c r="B5" s="79" t="str">
        <x:v>RL WS</x:v>
      </x:c>
      <x:c r="C5" s="79" t="str">
        <x:v>2103</x:v>
      </x:c>
      <x:c r="D5" s="79" t="str">
        <x:v>D * 32 / 25 * 15625 / 25146</x:v>
      </x:c>
      <x:c r="E5" s="79" t="str">
        <x:v>0</x:v>
      </x:c>
      <x:c r="F5" s="79" t="str">
        <x:v>120</x:v>
      </x:c>
      <x:c r="G5" s="79" t="str">
        <x:v>mph</x:v>
      </x:c>
      <x:c r="H5" s="79" t="str">
        <x:v>7B0</x:v>
      </x:c>
      <x:c r="I5" s="79" t="str">
        <x:v>PRIUS_GEN3 / ZVW30</x:v>
      </x:c>
      <x:c r="J5" s="79" t="str">
        <x:v>GenIII Prius 4-24-12 (US).csv</x:v>
      </x:c>
      <x:c r="K5" s="79" t="str">
        <x:v>2012-04-24</x:v>
      </x:c>
      <x:c r="L5" s="79" t="str">
        <x:v>READ-ONLY DIAGNOSTIC CANDIDATE</x:v>
      </x:c>
      <x:c r="M5" s="79" t="str">
        <x:v>CANDIDATE</x:v>
      </x:c>
      <x:c r="N5" s="80" t="str">
        <x:v>Older US snapshot retained for change comparison</x:v>
      </x:c>
    </x:row>
    <x:row r="6">
      <x:c r="A6" s="78" t="str">
        <x:v>Yaw Rate Sensor</x:v>
      </x:c>
      <x:c r="B6" s="79" t="str">
        <x:v>YR1</x:v>
      </x:c>
      <x:c r="C6" s="79" t="str">
        <x:v>2106</x:v>
      </x:c>
      <x:c r="D6" s="79" t="str">
        <x:v>A - 128</x:v>
      </x:c>
      <x:c r="E6" s="79" t="str">
        <x:v>-128</x:v>
      </x:c>
      <x:c r="F6" s="79" t="str">
        <x:v>127</x:v>
      </x:c>
      <x:c r="G6" s="79" t="str">
        <x:v>degrees/s</x:v>
      </x:c>
      <x:c r="H6" s="79" t="str">
        <x:v>7B0</x:v>
      </x:c>
      <x:c r="I6" s="79" t="str">
        <x:v>PRIUS_GEN3 / ZVW30</x:v>
      </x:c>
      <x:c r="J6" s="79" t="str">
        <x:v>GenIII Prius 4-24-12 (US).csv</x:v>
      </x:c>
      <x:c r="K6" s="79" t="str">
        <x:v>2012-04-24</x:v>
      </x:c>
      <x:c r="L6" s="79" t="str">
        <x:v>READ-ONLY DIAGNOSTIC CANDIDATE</x:v>
      </x:c>
      <x:c r="M6" s="79" t="str">
        <x:v>CANDIDATE</x:v>
      </x:c>
      <x:c r="N6" s="80" t="str">
        <x:v>Older US snapshot retained for change comparison</x:v>
      </x:c>
    </x:row>
    <x:row r="7">
      <x:c r="A7" s="78" t="str">
        <x:v>Yaw Rate Sensor2</x:v>
      </x:c>
      <x:c r="B7" s="79" t="str">
        <x:v>YR2</x:v>
      </x:c>
      <x:c r="C7" s="79" t="str">
        <x:v>2106</x:v>
      </x:c>
      <x:c r="D7" s="79" t="str">
        <x:v>B - 128</x:v>
      </x:c>
      <x:c r="E7" s="79" t="str">
        <x:v>-128</x:v>
      </x:c>
      <x:c r="F7" s="79" t="str">
        <x:v>127</x:v>
      </x:c>
      <x:c r="G7" s="79" t="str">
        <x:v>degrees/s</x:v>
      </x:c>
      <x:c r="H7" s="79" t="str">
        <x:v>7B0</x:v>
      </x:c>
      <x:c r="I7" s="79" t="str">
        <x:v>PRIUS_GEN3 / ZVW30</x:v>
      </x:c>
      <x:c r="J7" s="79" t="str">
        <x:v>GenIII Prius 4-24-12 (US).csv</x:v>
      </x:c>
      <x:c r="K7" s="79" t="str">
        <x:v>2012-04-24</x:v>
      </x:c>
      <x:c r="L7" s="79" t="str">
        <x:v>READ-ONLY DIAGNOSTIC CANDIDATE</x:v>
      </x:c>
      <x:c r="M7" s="79" t="str">
        <x:v>CANDIDATE</x:v>
      </x:c>
      <x:c r="N7" s="80" t="str">
        <x:v>Older US snapshot retained for change comparison</x:v>
      </x:c>
    </x:row>
    <x:row r="8">
      <x:c r="A8" s="78" t="str">
        <x:v>Wheel Cylinder Pressure Sensor</x:v>
      </x:c>
      <x:c r="B8" s="79" t="str">
        <x:v>WC Pres</x:v>
      </x:c>
      <x:c r="C8" s="79" t="str">
        <x:v>2107</x:v>
      </x:c>
      <x:c r="D8" s="79" t="str">
        <x:v>A / 51</x:v>
      </x:c>
      <x:c r="E8" s="79" t="str">
        <x:v>0</x:v>
      </x:c>
      <x:c r="F8" s="79" t="str">
        <x:v>5</x:v>
      </x:c>
      <x:c r="G8" s="79" t="str">
        <x:v>V</x:v>
      </x:c>
      <x:c r="H8" s="79" t="str">
        <x:v>7B0</x:v>
      </x:c>
      <x:c r="I8" s="79" t="str">
        <x:v>PRIUS_GEN3 / ZVW30</x:v>
      </x:c>
      <x:c r="J8" s="79" t="str">
        <x:v>GenIII Prius 4-24-12 (US).csv</x:v>
      </x:c>
      <x:c r="K8" s="79" t="str">
        <x:v>2012-04-24</x:v>
      </x:c>
      <x:c r="L8" s="79" t="str">
        <x:v>READ-ONLY DIAGNOSTIC CANDIDATE</x:v>
      </x:c>
      <x:c r="M8" s="79" t="str">
        <x:v>CANDIDATE</x:v>
      </x:c>
      <x:c r="N8" s="80" t="str">
        <x:v>Older US snapshot retained for change comparison</x:v>
      </x:c>
    </x:row>
    <x:row r="9">
      <x:c r="A9" s="78" t="str">
        <x:v>Lateral G</x:v>
      </x:c>
      <x:c r="B9" s="79" t="str">
        <x:v>Lateral G</x:v>
      </x:c>
      <x:c r="C9" s="79" t="str">
        <x:v>2147</x:v>
      </x:c>
      <x:c r="D9" s="79" t="str">
        <x:v>A * 50.02 / 255 - 25.11</x:v>
      </x:c>
      <x:c r="E9" s="79" t="str">
        <x:v>-25.11</x:v>
      </x:c>
      <x:c r="F9" s="79" t="str">
        <x:v>24.91</x:v>
      </x:c>
      <x:c r="G9" s="79" t="str">
        <x:v>m/s2</x:v>
      </x:c>
      <x:c r="H9" s="79" t="str">
        <x:v>7B0</x:v>
      </x:c>
      <x:c r="I9" s="79" t="str">
        <x:v>PRIUS_GEN3 / ZVW30</x:v>
      </x:c>
      <x:c r="J9" s="79" t="str">
        <x:v>GenIII Prius 4-24-12 (US).csv</x:v>
      </x:c>
      <x:c r="K9" s="79" t="str">
        <x:v>2012-04-24</x:v>
      </x:c>
      <x:c r="L9" s="79" t="str">
        <x:v>READ-ONLY DIAGNOSTIC CANDIDATE</x:v>
      </x:c>
      <x:c r="M9" s="79" t="str">
        <x:v>CANDIDATE</x:v>
      </x:c>
      <x:c r="N9" s="80" t="str">
        <x:v>Older US snapshot retained for change comparison</x:v>
      </x:c>
    </x:row>
    <x:row r="10">
      <x:c r="A10" s="78" t="str">
        <x:v>Forward and Rearward G</x:v>
      </x:c>
      <x:c r="B10" s="79" t="str">
        <x:v>Fwd/Rwd G</x:v>
      </x:c>
      <x:c r="C10" s="79" t="str">
        <x:v>2147</x:v>
      </x:c>
      <x:c r="D10" s="79" t="str">
        <x:v>B * 50.02 / 255 - 25.11</x:v>
      </x:c>
      <x:c r="E10" s="79" t="str">
        <x:v>-25.11</x:v>
      </x:c>
      <x:c r="F10" s="79" t="str">
        <x:v>24.91</x:v>
      </x:c>
      <x:c r="G10" s="79" t="str">
        <x:v>m/s2</x:v>
      </x:c>
      <x:c r="H10" s="79" t="str">
        <x:v>7B0</x:v>
      </x:c>
      <x:c r="I10" s="79" t="str">
        <x:v>PRIUS_GEN3 / ZVW30</x:v>
      </x:c>
      <x:c r="J10" s="79" t="str">
        <x:v>GenIII Prius 4-24-12 (US).csv</x:v>
      </x:c>
      <x:c r="K10" s="79" t="str">
        <x:v>2012-04-24</x:v>
      </x:c>
      <x:c r="L10" s="79" t="str">
        <x:v>READ-ONLY DIAGNOSTIC CANDIDATE</x:v>
      </x:c>
      <x:c r="M10" s="79" t="str">
        <x:v>CANDIDATE</x:v>
      </x:c>
      <x:c r="N10" s="80" t="str">
        <x:v>Older US snapshot retained for change comparison</x:v>
      </x:c>
    </x:row>
    <x:row r="11">
      <x:c r="A11" s="78" t="str">
        <x:v>Yaw Rate Value</x:v>
      </x:c>
      <x:c r="B11" s="79" t="str">
        <x:v>YR Val</x:v>
      </x:c>
      <x:c r="C11" s="79" t="str">
        <x:v>2147</x:v>
      </x:c>
      <x:c r="D11" s="79" t="str">
        <x:v>C - 128</x:v>
      </x:c>
      <x:c r="E11" s="79" t="str">
        <x:v>-128</x:v>
      </x:c>
      <x:c r="F11" s="79" t="str">
        <x:v>127</x:v>
      </x:c>
      <x:c r="G11" s="79" t="str">
        <x:v>degrees/s</x:v>
      </x:c>
      <x:c r="H11" s="79" t="str">
        <x:v>7B0</x:v>
      </x:c>
      <x:c r="I11" s="79" t="str">
        <x:v>PRIUS_GEN3 / ZVW30</x:v>
      </x:c>
      <x:c r="J11" s="79" t="str">
        <x:v>GenIII Prius 4-24-12 (US).csv</x:v>
      </x:c>
      <x:c r="K11" s="79" t="str">
        <x:v>2012-04-24</x:v>
      </x:c>
      <x:c r="L11" s="79" t="str">
        <x:v>READ-ONLY DIAGNOSTIC CANDIDATE</x:v>
      </x:c>
      <x:c r="M11" s="79" t="str">
        <x:v>CANDIDATE</x:v>
      </x:c>
      <x:c r="N11" s="80" t="str">
        <x:v>Older US snapshot retained for change comparison</x:v>
      </x:c>
    </x:row>
    <x:row r="12">
      <x:c r="A12" s="78" t="str">
        <x:v>Steering Angle Value</x:v>
      </x:c>
      <x:c r="B12" s="79" t="str">
        <x:v>SteerAngle</x:v>
      </x:c>
      <x:c r="C12" s="79" t="str">
        <x:v>2147</x:v>
      </x:c>
      <x:c r="D12" s="79" t="str">
        <x:v>(D * 256 + E) / 10 - 3276.8</x:v>
      </x:c>
      <x:c r="E12" s="79" t="str">
        <x:v>-720</x:v>
      </x:c>
      <x:c r="F12" s="79" t="str">
        <x:v>720</x:v>
      </x:c>
      <x:c r="G12" s="79" t="str">
        <x:v>degrees</x:v>
      </x:c>
      <x:c r="H12" s="79" t="str">
        <x:v>7B0</x:v>
      </x:c>
      <x:c r="I12" s="79" t="str">
        <x:v>PRIUS_GEN3 / ZVW30</x:v>
      </x:c>
      <x:c r="J12" s="79" t="str">
        <x:v>GenIII Prius 4-24-12 (US).csv</x:v>
      </x:c>
      <x:c r="K12" s="79" t="str">
        <x:v>2012-04-24</x:v>
      </x:c>
      <x:c r="L12" s="79" t="str">
        <x:v>READ-ONLY DIAGNOSTIC CANDIDATE</x:v>
      </x:c>
      <x:c r="M12" s="79" t="str">
        <x:v>CANDIDATE</x:v>
      </x:c>
      <x:c r="N12" s="80" t="str">
        <x:v>Older US snapshot retained for change comparison</x:v>
      </x:c>
    </x:row>
    <x:row r="13">
      <x:c r="A13" s="78" t="str">
        <x:v>Regen Cooperation</x:v>
      </x:c>
      <x:c r="B13" s="79" t="str">
        <x:v>RegenCoop</x:v>
      </x:c>
      <x:c r="C13" s="79" t="str">
        <x:v>2158</x:v>
      </x:c>
      <x:c r="D13" s="79" t="str">
        <x:v>{A:7}</x:v>
      </x:c>
      <x:c r="E13" s="79" t="str">
        <x:v>0</x:v>
      </x:c>
      <x:c r="F13" s="79" t="str">
        <x:v>1</x:v>
      </x:c>
      <x:c r="G13" s="79" t="str">
        <x:v>Off/On</x:v>
      </x:c>
      <x:c r="H13" s="79" t="str">
        <x:v>7B0</x:v>
      </x:c>
      <x:c r="I13" s="79" t="str">
        <x:v>PRIUS_GEN3 / ZVW30</x:v>
      </x:c>
      <x:c r="J13" s="79" t="str">
        <x:v>GenIII Prius 4-24-12 (US).csv</x:v>
      </x:c>
      <x:c r="K13" s="79" t="str">
        <x:v>2012-04-24</x:v>
      </x:c>
      <x:c r="L13" s="79" t="str">
        <x:v>READ-ONLY DIAGNOSTIC CANDIDATE</x:v>
      </x:c>
      <x:c r="M13" s="79" t="str">
        <x:v>CANDIDATE</x:v>
      </x:c>
      <x:c r="N13" s="80" t="str">
        <x:v>Older US snapshot retained for change comparison</x:v>
      </x:c>
    </x:row>
    <x:row r="14">
      <x:c r="A14" s="78" t="str">
        <x:v>SLA Solenoid Current</x:v>
      </x:c>
      <x:c r="B14" s="79" t="str">
        <x:v>SLA curr</x:v>
      </x:c>
      <x:c r="C14" s="79" t="str">
        <x:v>21A3</x:v>
      </x:c>
      <x:c r="D14" s="79" t="str">
        <x:v>A * 3 / 255</x:v>
      </x:c>
      <x:c r="E14" s="79" t="str">
        <x:v>0</x:v>
      </x:c>
      <x:c r="F14" s="79" t="str">
        <x:v>3</x:v>
      </x:c>
      <x:c r="G14" s="79" t="str">
        <x:v>A</x:v>
      </x:c>
      <x:c r="H14" s="79" t="str">
        <x:v>7B0</x:v>
      </x:c>
      <x:c r="I14" s="79" t="str">
        <x:v>PRIUS_GEN3 / ZVW30</x:v>
      </x:c>
      <x:c r="J14" s="79" t="str">
        <x:v>GenIII Prius 4-24-12 (US).csv</x:v>
      </x:c>
      <x:c r="K14" s="79" t="str">
        <x:v>2012-04-24</x:v>
      </x:c>
      <x:c r="L14" s="79" t="str">
        <x:v>READ-ONLY DIAGNOSTIC CANDIDATE</x:v>
      </x:c>
      <x:c r="M14" s="79" t="str">
        <x:v>CANDIDATE</x:v>
      </x:c>
      <x:c r="N14" s="80" t="str">
        <x:v>Older US snapshot retained for change comparison</x:v>
      </x:c>
    </x:row>
    <x:row r="15">
      <x:c r="A15" s="78" t="str">
        <x:v>SLR Solenoid Current</x:v>
      </x:c>
      <x:c r="B15" s="79" t="str">
        <x:v>SLR curr</x:v>
      </x:c>
      <x:c r="C15" s="79" t="str">
        <x:v>21A3</x:v>
      </x:c>
      <x:c r="D15" s="79" t="str">
        <x:v>B * 3 / 255</x:v>
      </x:c>
      <x:c r="E15" s="79" t="str">
        <x:v>0</x:v>
      </x:c>
      <x:c r="F15" s="79" t="str">
        <x:v>3</x:v>
      </x:c>
      <x:c r="G15" s="79" t="str">
        <x:v>A</x:v>
      </x:c>
      <x:c r="H15" s="79" t="str">
        <x:v>7B0</x:v>
      </x:c>
      <x:c r="I15" s="79" t="str">
        <x:v>PRIUS_GEN3 / ZVW30</x:v>
      </x:c>
      <x:c r="J15" s="79" t="str">
        <x:v>GenIII Prius 4-24-12 (US).csv</x:v>
      </x:c>
      <x:c r="K15" s="79" t="str">
        <x:v>2012-04-24</x:v>
      </x:c>
      <x:c r="L15" s="79" t="str">
        <x:v>READ-ONLY DIAGNOSTIC CANDIDATE</x:v>
      </x:c>
      <x:c r="M15" s="79" t="str">
        <x:v>CANDIDATE</x:v>
      </x:c>
      <x:c r="N15" s="80" t="str">
        <x:v>Older US snapshot retained for change comparison</x:v>
      </x:c>
    </x:row>
    <x:row r="16">
      <x:c r="A16" s="78" t="str">
        <x:v>SSC Solenoid Current</x:v>
      </x:c>
      <x:c r="B16" s="79" t="str">
        <x:v>SSC curr</x:v>
      </x:c>
      <x:c r="C16" s="79" t="str">
        <x:v>21A3</x:v>
      </x:c>
      <x:c r="D16" s="79" t="str">
        <x:v>C * 3 / 255</x:v>
      </x:c>
      <x:c r="E16" s="79" t="str">
        <x:v>0</x:v>
      </x:c>
      <x:c r="F16" s="79" t="str">
        <x:v>3</x:v>
      </x:c>
      <x:c r="G16" s="79" t="str">
        <x:v>A</x:v>
      </x:c>
      <x:c r="H16" s="79" t="str">
        <x:v>7B0</x:v>
      </x:c>
      <x:c r="I16" s="79" t="str">
        <x:v>PRIUS_GEN3 / ZVW30</x:v>
      </x:c>
      <x:c r="J16" s="79" t="str">
        <x:v>GenIII Prius 4-24-12 (US).csv</x:v>
      </x:c>
      <x:c r="K16" s="79" t="str">
        <x:v>2012-04-24</x:v>
      </x:c>
      <x:c r="L16" s="79" t="str">
        <x:v>READ-ONLY DIAGNOSTIC CANDIDATE</x:v>
      </x:c>
      <x:c r="M16" s="79" t="str">
        <x:v>CANDIDATE</x:v>
      </x:c>
      <x:c r="N16" s="80" t="str">
        <x:v>Older US snapshot retained for change comparison</x:v>
      </x:c>
    </x:row>
    <x:row r="17">
      <x:c r="A17" s="78" t="str">
        <x:v>SCC Solenoid Current</x:v>
      </x:c>
      <x:c r="B17" s="79" t="str">
        <x:v>SCC curr</x:v>
      </x:c>
      <x:c r="C17" s="79" t="str">
        <x:v>21A3</x:v>
      </x:c>
      <x:c r="D17" s="79" t="str">
        <x:v>D * 3 / 255</x:v>
      </x:c>
      <x:c r="E17" s="79" t="str">
        <x:v>0</x:v>
      </x:c>
      <x:c r="F17" s="79" t="str">
        <x:v>3</x:v>
      </x:c>
      <x:c r="G17" s="79" t="str">
        <x:v>A</x:v>
      </x:c>
      <x:c r="H17" s="79" t="str">
        <x:v>7B0</x:v>
      </x:c>
      <x:c r="I17" s="79" t="str">
        <x:v>PRIUS_GEN3 / ZVW30</x:v>
      </x:c>
      <x:c r="J17" s="79" t="str">
        <x:v>GenIII Prius 4-24-12 (US).csv</x:v>
      </x:c>
      <x:c r="K17" s="79" t="str">
        <x:v>2012-04-24</x:v>
      </x:c>
      <x:c r="L17" s="79" t="str">
        <x:v>READ-ONLY DIAGNOSTIC CANDIDATE</x:v>
      </x:c>
      <x:c r="M17" s="79" t="str">
        <x:v>CANDIDATE</x:v>
      </x:c>
      <x:c r="N17" s="80" t="str">
        <x:v>Older US snapshot retained for change comparison</x:v>
      </x:c>
    </x:row>
    <x:row r="18">
      <x:c r="A18" s="78" t="str">
        <x:v>SMC Solenoid Current</x:v>
      </x:c>
      <x:c r="B18" s="79" t="str">
        <x:v>SMC curr</x:v>
      </x:c>
      <x:c r="C18" s="79" t="str">
        <x:v>21A3</x:v>
      </x:c>
      <x:c r="D18" s="79" t="str">
        <x:v>E * 3 / 255</x:v>
      </x:c>
      <x:c r="E18" s="79" t="str">
        <x:v>0</x:v>
      </x:c>
      <x:c r="F18" s="79" t="str">
        <x:v>3</x:v>
      </x:c>
      <x:c r="G18" s="79" t="str">
        <x:v>A</x:v>
      </x:c>
      <x:c r="H18" s="79" t="str">
        <x:v>7B0</x:v>
      </x:c>
      <x:c r="I18" s="79" t="str">
        <x:v>PRIUS_GEN3 / ZVW30</x:v>
      </x:c>
      <x:c r="J18" s="79" t="str">
        <x:v>GenIII Prius 4-24-12 (US).csv</x:v>
      </x:c>
      <x:c r="K18" s="79" t="str">
        <x:v>2012-04-24</x:v>
      </x:c>
      <x:c r="L18" s="79" t="str">
        <x:v>READ-ONLY DIAGNOSTIC CANDIDATE</x:v>
      </x:c>
      <x:c r="M18" s="79" t="str">
        <x:v>CANDIDATE</x:v>
      </x:c>
      <x:c r="N18" s="80" t="str">
        <x:v>Older US snapshot retained for change comparison</x:v>
      </x:c>
    </x:row>
    <x:row r="19">
      <x:c r="A19" s="78" t="str">
        <x:v>SRC Solenoid Current</x:v>
      </x:c>
      <x:c r="B19" s="79" t="str">
        <x:v>SRC curr</x:v>
      </x:c>
      <x:c r="C19" s="79" t="str">
        <x:v>21A3</x:v>
      </x:c>
      <x:c r="D19" s="79" t="str">
        <x:v>F * 3 / 255</x:v>
      </x:c>
      <x:c r="E19" s="79" t="str">
        <x:v>0</x:v>
      </x:c>
      <x:c r="F19" s="79" t="str">
        <x:v>3</x:v>
      </x:c>
      <x:c r="G19" s="79" t="str">
        <x:v>A</x:v>
      </x:c>
      <x:c r="H19" s="79" t="str">
        <x:v>7B0</x:v>
      </x:c>
      <x:c r="I19" s="79" t="str">
        <x:v>PRIUS_GEN3 / ZVW30</x:v>
      </x:c>
      <x:c r="J19" s="79" t="str">
        <x:v>GenIII Prius 4-24-12 (US).csv</x:v>
      </x:c>
      <x:c r="K19" s="79" t="str">
        <x:v>2012-04-24</x:v>
      </x:c>
      <x:c r="L19" s="79" t="str">
        <x:v>READ-ONLY DIAGNOSTIC CANDIDATE</x:v>
      </x:c>
      <x:c r="M19" s="79" t="str">
        <x:v>CANDIDATE</x:v>
      </x:c>
      <x:c r="N19" s="80" t="str">
        <x:v>Older US snapshot retained for change comparison</x:v>
      </x:c>
    </x:row>
    <x:row r="20">
      <x:c r="A20" s="78" t="str">
        <x:v>Inspection Mode (Other=Off,Inspect=On)</x:v>
      </x:c>
      <x:c r="B20" s="79" t="str">
        <x:v>Insp Mode</x:v>
      </x:c>
      <x:c r="C20" s="79" t="str">
        <x:v>21A6</x:v>
      </x:c>
      <x:c r="D20" s="79" t="str">
        <x:v>{A:7}</x:v>
      </x:c>
      <x:c r="E20" s="79" t="str">
        <x:v>0</x:v>
      </x:c>
      <x:c r="F20" s="79" t="str">
        <x:v>1</x:v>
      </x:c>
      <x:c r="G20" s="79" t="str">
        <x:v>Off/On</x:v>
      </x:c>
      <x:c r="H20" s="79" t="str">
        <x:v>7B0</x:v>
      </x:c>
      <x:c r="I20" s="79" t="str">
        <x:v>PRIUS_GEN3 / ZVW30</x:v>
      </x:c>
      <x:c r="J20" s="79" t="str">
        <x:v>GenIII Prius 4-24-12 (US).csv</x:v>
      </x:c>
      <x:c r="K20" s="79" t="str">
        <x:v>2012-04-24</x:v>
      </x:c>
      <x:c r="L20" s="79" t="str">
        <x:v>READ-ONLY DIAGNOSTIC CANDIDATE</x:v>
      </x:c>
      <x:c r="M20" s="79" t="str">
        <x:v>CANDIDATE</x:v>
      </x:c>
      <x:c r="N20" s="80" t="str">
        <x:v>Older US snapshot retained for change comparison</x:v>
      </x:c>
    </x:row>
    <x:row r="21">
      <x:c r="A21" s="78" t="str">
        <x:v>Hazard Switch History (Incomplete=Off,Complete=On)</x:v>
      </x:c>
      <x:c r="B21" s="79" t="str">
        <x:v>Haz Hist</x:v>
      </x:c>
      <x:c r="C21" s="79" t="str">
        <x:v>21BC</x:v>
      </x:c>
      <x:c r="D21" s="79" t="str">
        <x:v>{A:5}</x:v>
      </x:c>
      <x:c r="E21" s="79" t="str">
        <x:v>0</x:v>
      </x:c>
      <x:c r="F21" s="79" t="str">
        <x:v>1</x:v>
      </x:c>
      <x:c r="G21" s="79" t="str">
        <x:v>Off/On</x:v>
      </x:c>
      <x:c r="H21" s="79" t="str">
        <x:v>7B0</x:v>
      </x:c>
      <x:c r="I21" s="79" t="str">
        <x:v>PRIUS_GEN3 / ZVW30</x:v>
      </x:c>
      <x:c r="J21" s="79" t="str">
        <x:v>GenIII Prius 4-24-12 (US).csv</x:v>
      </x:c>
      <x:c r="K21" s="79" t="str">
        <x:v>2012-04-24</x:v>
      </x:c>
      <x:c r="L21" s="79" t="str">
        <x:v>READ-ONLY DIAGNOSTIC CANDIDATE</x:v>
      </x:c>
      <x:c r="M21" s="79" t="str">
        <x:v>CANDIDATE</x:v>
      </x:c>
      <x:c r="N21" s="80" t="str">
        <x:v>Older US snapshot retained for change comparison</x:v>
      </x:c>
    </x:row>
    <x:row r="22">
      <x:c r="A22" s="78" t="str">
        <x:v>FR Speed Open (Normal=0,Error=1)</x:v>
      </x:c>
      <x:c r="B22" s="79" t="str">
        <x:v>FRS Open</x:v>
      </x:c>
      <x:c r="C22" s="79" t="str">
        <x:v>21BE</x:v>
      </x:c>
      <x:c r="D22" s="79" t="str">
        <x:v>{A:7}</x:v>
      </x:c>
      <x:c r="E22" s="79" t="str">
        <x:v>0</x:v>
      </x:c>
      <x:c r="F22" s="79" t="str">
        <x:v>1</x:v>
      </x:c>
      <x:c r="G22" s="79" t="str">
        <x:v>Off/On</x:v>
      </x:c>
      <x:c r="H22" s="79" t="str">
        <x:v>7B0</x:v>
      </x:c>
      <x:c r="I22" s="79" t="str">
        <x:v>PRIUS_GEN3 / ZVW30</x:v>
      </x:c>
      <x:c r="J22" s="79" t="str">
        <x:v>GenIII Prius 4-24-12 (US).csv</x:v>
      </x:c>
      <x:c r="K22" s="79" t="str">
        <x:v>2012-04-24</x:v>
      </x:c>
      <x:c r="L22" s="79" t="str">
        <x:v>READ-ONLY DIAGNOSTIC CANDIDATE</x:v>
      </x:c>
      <x:c r="M22" s="79" t="str">
        <x:v>CANDIDATE</x:v>
      </x:c>
      <x:c r="N22" s="80" t="str">
        <x:v>Older US snapshot retained for change comparison</x:v>
      </x:c>
    </x:row>
    <x:row r="23">
      <x:c r="A23" s="78" t="str">
        <x:v>FL Speed Open (Normal=0,Error=1)</x:v>
      </x:c>
      <x:c r="B23" s="79" t="str">
        <x:v>FLS Open</x:v>
      </x:c>
      <x:c r="C23" s="79" t="str">
        <x:v>21BE</x:v>
      </x:c>
      <x:c r="D23" s="79" t="str">
        <x:v>{A:6}</x:v>
      </x:c>
      <x:c r="E23" s="79" t="str">
        <x:v>0</x:v>
      </x:c>
      <x:c r="F23" s="79" t="str">
        <x:v>1</x:v>
      </x:c>
      <x:c r="G23" s="79" t="str">
        <x:v>Off/On</x:v>
      </x:c>
      <x:c r="H23" s="79" t="str">
        <x:v>7B0</x:v>
      </x:c>
      <x:c r="I23" s="79" t="str">
        <x:v>PRIUS_GEN3 / ZVW30</x:v>
      </x:c>
      <x:c r="J23" s="79" t="str">
        <x:v>GenIII Prius 4-24-12 (US).csv</x:v>
      </x:c>
      <x:c r="K23" s="79" t="str">
        <x:v>2012-04-24</x:v>
      </x:c>
      <x:c r="L23" s="79" t="str">
        <x:v>READ-ONLY DIAGNOSTIC CANDIDATE</x:v>
      </x:c>
      <x:c r="M23" s="79" t="str">
        <x:v>CANDIDATE</x:v>
      </x:c>
      <x:c r="N23" s="80" t="str">
        <x:v>Older US snapshot retained for change comparison</x:v>
      </x:c>
    </x:row>
    <x:row r="24">
      <x:c r="A24" s="78" t="str">
        <x:v>RR Speed Open (Normal=0,Error=1)</x:v>
      </x:c>
      <x:c r="B24" s="79" t="str">
        <x:v>RRS Open</x:v>
      </x:c>
      <x:c r="C24" s="79" t="str">
        <x:v>21BE</x:v>
      </x:c>
      <x:c r="D24" s="79" t="str">
        <x:v>{A:5}</x:v>
      </x:c>
      <x:c r="E24" s="79" t="str">
        <x:v>0</x:v>
      </x:c>
      <x:c r="F24" s="79" t="str">
        <x:v>1</x:v>
      </x:c>
      <x:c r="G24" s="79" t="str">
        <x:v>Off/On</x:v>
      </x:c>
      <x:c r="H24" s="79" t="str">
        <x:v>7B0</x:v>
      </x:c>
      <x:c r="I24" s="79" t="str">
        <x:v>PRIUS_GEN3 / ZVW30</x:v>
      </x:c>
      <x:c r="J24" s="79" t="str">
        <x:v>GenIII Prius 4-24-12 (US).csv</x:v>
      </x:c>
      <x:c r="K24" s="79" t="str">
        <x:v>2012-04-24</x:v>
      </x:c>
      <x:c r="L24" s="79" t="str">
        <x:v>READ-ONLY DIAGNOSTIC CANDIDATE</x:v>
      </x:c>
      <x:c r="M24" s="79" t="str">
        <x:v>CANDIDATE</x:v>
      </x:c>
      <x:c r="N24" s="80" t="str">
        <x:v>Older US snapshot retained for change comparison</x:v>
      </x:c>
    </x:row>
    <x:row r="25">
      <x:c r="A25" s="78" t="str">
        <x:v>RL Speed Open (Normal=0,Error=1)</x:v>
      </x:c>
      <x:c r="B25" s="79" t="str">
        <x:v>RLS Open</x:v>
      </x:c>
      <x:c r="C25" s="79" t="str">
        <x:v>21BE</x:v>
      </x:c>
      <x:c r="D25" s="79" t="str">
        <x:v>{A:4}</x:v>
      </x:c>
      <x:c r="E25" s="79" t="str">
        <x:v>0</x:v>
      </x:c>
      <x:c r="F25" s="79" t="str">
        <x:v>1</x:v>
      </x:c>
      <x:c r="G25" s="79" t="str">
        <x:v>Off/On</x:v>
      </x:c>
      <x:c r="H25" s="79" t="str">
        <x:v>7B0</x:v>
      </x:c>
      <x:c r="I25" s="79" t="str">
        <x:v>PRIUS_GEN3 / ZVW30</x:v>
      </x:c>
      <x:c r="J25" s="79" t="str">
        <x:v>GenIII Prius 4-24-12 (US).csv</x:v>
      </x:c>
      <x:c r="K25" s="79" t="str">
        <x:v>2012-04-24</x:v>
      </x:c>
      <x:c r="L25" s="79" t="str">
        <x:v>READ-ONLY DIAGNOSTIC CANDIDATE</x:v>
      </x:c>
      <x:c r="M25" s="79" t="str">
        <x:v>CANDIDATE</x:v>
      </x:c>
      <x:c r="N25" s="80" t="str">
        <x:v>Older US snapshot retained for change comparison</x:v>
      </x:c>
    </x:row>
    <x:row r="26">
      <x:c r="A26" s="78" t="str">
        <x:v>Yaw Rate Open (Normal=0,Error=1)</x:v>
      </x:c>
      <x:c r="B26" s="79" t="str">
        <x:v>YR Open</x:v>
      </x:c>
      <x:c r="C26" s="79" t="str">
        <x:v>21BE</x:v>
      </x:c>
      <x:c r="D26" s="79" t="str">
        <x:v>{A:2}</x:v>
      </x:c>
      <x:c r="E26" s="79" t="str">
        <x:v>0</x:v>
      </x:c>
      <x:c r="F26" s="79" t="str">
        <x:v>1</x:v>
      </x:c>
      <x:c r="G26" s="79" t="str">
        <x:v>Off/On</x:v>
      </x:c>
      <x:c r="H26" s="79" t="str">
        <x:v>7B0</x:v>
      </x:c>
      <x:c r="I26" s="79" t="str">
        <x:v>PRIUS_GEN3 / ZVW30</x:v>
      </x:c>
      <x:c r="J26" s="79" t="str">
        <x:v>GenIII Prius 4-24-12 (US).csv</x:v>
      </x:c>
      <x:c r="K26" s="79" t="str">
        <x:v>2012-04-24</x:v>
      </x:c>
      <x:c r="L26" s="79" t="str">
        <x:v>READ-ONLY DIAGNOSTIC CANDIDATE</x:v>
      </x:c>
      <x:c r="M26" s="79" t="str">
        <x:v>CANDIDATE</x:v>
      </x:c>
      <x:c r="N26" s="80" t="str">
        <x:v>Older US snapshot retained for change comparison</x:v>
      </x:c>
    </x:row>
    <x:row r="27">
      <x:c r="A27" s="78" t="str">
        <x:v>Deceleration Open (Normal=0,Error=1)</x:v>
      </x:c>
      <x:c r="B27" s="79" t="str">
        <x:v>Decel Open</x:v>
      </x:c>
      <x:c r="C27" s="79" t="str">
        <x:v>21BE</x:v>
      </x:c>
      <x:c r="D27" s="79" t="str">
        <x:v>{A:1}</x:v>
      </x:c>
      <x:c r="E27" s="79" t="str">
        <x:v>0</x:v>
      </x:c>
      <x:c r="F27" s="79" t="str">
        <x:v>1</x:v>
      </x:c>
      <x:c r="G27" s="79" t="str">
        <x:v>Off/On</x:v>
      </x:c>
      <x:c r="H27" s="79" t="str">
        <x:v>7B0</x:v>
      </x:c>
      <x:c r="I27" s="79" t="str">
        <x:v>PRIUS_GEN3 / ZVW30</x:v>
      </x:c>
      <x:c r="J27" s="79" t="str">
        <x:v>GenIII Prius 4-24-12 (US).csv</x:v>
      </x:c>
      <x:c r="K27" s="79" t="str">
        <x:v>2012-04-24</x:v>
      </x:c>
      <x:c r="L27" s="79" t="str">
        <x:v>READ-ONLY DIAGNOSTIC CANDIDATE</x:v>
      </x:c>
      <x:c r="M27" s="79" t="str">
        <x:v>CANDIDATE</x:v>
      </x:c>
      <x:c r="N27" s="80" t="str">
        <x:v>Older US snapshot retained for change comparison</x:v>
      </x:c>
    </x:row>
    <x:row r="28">
      <x:c r="A28" s="78" t="str">
        <x:v>Steering Open (Normal=0,Error=1)</x:v>
      </x:c>
      <x:c r="B28" s="79" t="str">
        <x:v>Steer Open</x:v>
      </x:c>
      <x:c r="C28" s="79" t="str">
        <x:v>21BE</x:v>
      </x:c>
      <x:c r="D28" s="79" t="str">
        <x:v>{A:0}</x:v>
      </x:c>
      <x:c r="E28" s="79" t="str">
        <x:v>0</x:v>
      </x:c>
      <x:c r="F28" s="79" t="str">
        <x:v>1</x:v>
      </x:c>
      <x:c r="G28" s="79" t="str">
        <x:v>Off/On</x:v>
      </x:c>
      <x:c r="H28" s="79" t="str">
        <x:v>7B0</x:v>
      </x:c>
      <x:c r="I28" s="79" t="str">
        <x:v>PRIUS_GEN3 / ZVW30</x:v>
      </x:c>
      <x:c r="J28" s="79" t="str">
        <x:v>GenIII Prius 4-24-12 (US).csv</x:v>
      </x:c>
      <x:c r="K28" s="79" t="str">
        <x:v>2012-04-24</x:v>
      </x:c>
      <x:c r="L28" s="79" t="str">
        <x:v>READ-ONLY DIAGNOSTIC CANDIDATE</x:v>
      </x:c>
      <x:c r="M28" s="79" t="str">
        <x:v>CANDIDATE</x:v>
      </x:c>
      <x:c r="N28" s="80" t="str">
        <x:v>Older US snapshot retained for change comparison</x:v>
      </x:c>
    </x:row>
    <x:row r="29">
      <x:c r="A29" s="78" t="str">
        <x:v>Master Cylinder Open (Normal=0,Error=1)</x:v>
      </x:c>
      <x:c r="B29" s="79" t="str">
        <x:v>MC Open</x:v>
      </x:c>
      <x:c r="C29" s="79" t="str">
        <x:v>21BE</x:v>
      </x:c>
      <x:c r="D29" s="79" t="str">
        <x:v>{B:7}</x:v>
      </x:c>
      <x:c r="E29" s="79" t="str">
        <x:v>0</x:v>
      </x:c>
      <x:c r="F29" s="79" t="str">
        <x:v>1</x:v>
      </x:c>
      <x:c r="G29" s="79" t="str">
        <x:v>Off/On</x:v>
      </x:c>
      <x:c r="H29" s="79" t="str">
        <x:v>7B0</x:v>
      </x:c>
      <x:c r="I29" s="79" t="str">
        <x:v>PRIUS_GEN3 / ZVW30</x:v>
      </x:c>
      <x:c r="J29" s="79" t="str">
        <x:v>GenIII Prius 4-24-12 (US).csv</x:v>
      </x:c>
      <x:c r="K29" s="79" t="str">
        <x:v>2012-04-24</x:v>
      </x:c>
      <x:c r="L29" s="79" t="str">
        <x:v>READ-ONLY DIAGNOSTIC CANDIDATE</x:v>
      </x:c>
      <x:c r="M29" s="79" t="str">
        <x:v>CANDIDATE</x:v>
      </x:c>
      <x:c r="N29" s="80" t="str">
        <x:v>Older US snapshot retained for change comparison</x:v>
      </x:c>
    </x:row>
    <x:row r="30">
      <x:c r="A30" s="78" t="str">
        <x:v>Stroke Open (Normal=0,Error=1)</x:v>
      </x:c>
      <x:c r="B30" s="79" t="str">
        <x:v>Stroke Open</x:v>
      </x:c>
      <x:c r="C30" s="79" t="str">
        <x:v>21BE</x:v>
      </x:c>
      <x:c r="D30" s="79" t="str">
        <x:v>{B:5}</x:v>
      </x:c>
      <x:c r="E30" s="79" t="str">
        <x:v>0</x:v>
      </x:c>
      <x:c r="F30" s="79" t="str">
        <x:v>1</x:v>
      </x:c>
      <x:c r="G30" s="79" t="str">
        <x:v>Off/On</x:v>
      </x:c>
      <x:c r="H30" s="79" t="str">
        <x:v>7B0</x:v>
      </x:c>
      <x:c r="I30" s="79" t="str">
        <x:v>PRIUS_GEN3 / ZVW30</x:v>
      </x:c>
      <x:c r="J30" s="79" t="str">
        <x:v>GenIII Prius 4-24-12 (US).csv</x:v>
      </x:c>
      <x:c r="K30" s="79" t="str">
        <x:v>2012-04-24</x:v>
      </x:c>
      <x:c r="L30" s="79" t="str">
        <x:v>READ-ONLY DIAGNOSTIC CANDIDATE</x:v>
      </x:c>
      <x:c r="M30" s="79" t="str">
        <x:v>CANDIDATE</x:v>
      </x:c>
      <x:c r="N30" s="80" t="str">
        <x:v>Older US snapshot retained for change comparison</x:v>
      </x:c>
    </x:row>
    <x:row r="31">
      <x:c r="A31" s="78" t="str">
        <x:v>FR Wheel Cylinder Open (Normal=0,Error=1)</x:v>
      </x:c>
      <x:c r="B31" s="79" t="str">
        <x:v>FRWC Open</x:v>
      </x:c>
      <x:c r="C31" s="79" t="str">
        <x:v>21BE</x:v>
      </x:c>
      <x:c r="D31" s="79" t="str">
        <x:v>{B:3}</x:v>
      </x:c>
      <x:c r="E31" s="79" t="str">
        <x:v>0</x:v>
      </x:c>
      <x:c r="F31" s="79" t="str">
        <x:v>1</x:v>
      </x:c>
      <x:c r="G31" s="79" t="str">
        <x:v>Off/On</x:v>
      </x:c>
      <x:c r="H31" s="79" t="str">
        <x:v>7B0</x:v>
      </x:c>
      <x:c r="I31" s="79" t="str">
        <x:v>PRIUS_GEN3 / ZVW30</x:v>
      </x:c>
      <x:c r="J31" s="79" t="str">
        <x:v>GenIII Prius 4-24-12 (US).csv</x:v>
      </x:c>
      <x:c r="K31" s="79" t="str">
        <x:v>2012-04-24</x:v>
      </x:c>
      <x:c r="L31" s="79" t="str">
        <x:v>READ-ONLY DIAGNOSTIC CANDIDATE</x:v>
      </x:c>
      <x:c r="M31" s="79" t="str">
        <x:v>CANDIDATE</x:v>
      </x:c>
      <x:c r="N31" s="80" t="str">
        <x:v>Older US snapshot retained for change comparison</x:v>
      </x:c>
    </x:row>
    <x:row r="32">
      <x:c r="A32" s="78" t="str">
        <x:v>Accumulator Open (Normal=0,Error=1)</x:v>
      </x:c>
      <x:c r="B32" s="79" t="str">
        <x:v>Acc Open</x:v>
      </x:c>
      <x:c r="C32" s="79" t="str">
        <x:v>21BE</x:v>
      </x:c>
      <x:c r="D32" s="79" t="str">
        <x:v>{C:7}</x:v>
      </x:c>
      <x:c r="E32" s="79" t="str">
        <x:v>0</x:v>
      </x:c>
      <x:c r="F32" s="79" t="str">
        <x:v>1</x:v>
      </x:c>
      <x:c r="G32" s="79" t="str">
        <x:v>Off/On</x:v>
      </x:c>
      <x:c r="H32" s="79" t="str">
        <x:v>7B0</x:v>
      </x:c>
      <x:c r="I32" s="79" t="str">
        <x:v>PRIUS_GEN3 / ZVW30</x:v>
      </x:c>
      <x:c r="J32" s="79" t="str">
        <x:v>GenIII Prius 4-24-12 (US).csv</x:v>
      </x:c>
      <x:c r="K32" s="79" t="str">
        <x:v>2012-04-24</x:v>
      </x:c>
      <x:c r="L32" s="79" t="str">
        <x:v>READ-ONLY DIAGNOSTIC CANDIDATE</x:v>
      </x:c>
      <x:c r="M32" s="79" t="str">
        <x:v>CANDIDATE</x:v>
      </x:c>
      <x:c r="N32" s="80" t="str">
        <x:v>Older US snapshot retained for change comparison</x:v>
      </x:c>
    </x:row>
    <x:row r="33">
      <x:c r="A33" s="78" t="str">
        <x:v>HV Communication Open (Normal=0,Error=1)</x:v>
      </x:c>
      <x:c r="B33" s="79" t="str">
        <x:v>HVC Open</x:v>
      </x:c>
      <x:c r="C33" s="79" t="str">
        <x:v>21BE</x:v>
      </x:c>
      <x:c r="D33" s="79" t="str">
        <x:v>{C:6}</x:v>
      </x:c>
      <x:c r="E33" s="79" t="str">
        <x:v>0</x:v>
      </x:c>
      <x:c r="F33" s="79" t="str">
        <x:v>1</x:v>
      </x:c>
      <x:c r="G33" s="79" t="str">
        <x:v>Off/On</x:v>
      </x:c>
      <x:c r="H33" s="79" t="str">
        <x:v>7B0</x:v>
      </x:c>
      <x:c r="I33" s="79" t="str">
        <x:v>PRIUS_GEN3 / ZVW30</x:v>
      </x:c>
      <x:c r="J33" s="79" t="str">
        <x:v>GenIII Prius 4-24-12 (US).csv</x:v>
      </x:c>
      <x:c r="K33" s="79" t="str">
        <x:v>2012-04-24</x:v>
      </x:c>
      <x:c r="L33" s="79" t="str">
        <x:v>READ-ONLY DIAGNOSTIC CANDIDATE</x:v>
      </x:c>
      <x:c r="M33" s="79" t="str">
        <x:v>CANDIDATE</x:v>
      </x:c>
      <x:c r="N33" s="80" t="str">
        <x:v>Older US snapshot retained for change comparison</x:v>
      </x:c>
    </x:row>
    <x:row r="34">
      <x:c r="A34" s="78" t="str">
        <x:v>Tail Cancel SW</x:v>
      </x:c>
      <x:c r="B34" s="79" t="str">
        <x:v>Tail Cancel</x:v>
      </x:c>
      <x:c r="C34" s="79" t="str">
        <x:v>2112</x:v>
      </x:c>
      <x:c r="D34" s="79" t="str">
        <x:v>{A:5}</x:v>
      </x:c>
      <x:c r="E34" s="79" t="str">
        <x:v>0</x:v>
      </x:c>
      <x:c r="F34" s="79" t="str">
        <x:v>1</x:v>
      </x:c>
      <x:c r="G34" s="79" t="str">
        <x:v>Off/On</x:v>
      </x:c>
      <x:c r="H34" s="79" t="str">
        <x:v>7C0</x:v>
      </x:c>
      <x:c r="I34" s="79" t="str">
        <x:v>PRIUS_GEN3 / ZVW30</x:v>
      </x:c>
      <x:c r="J34" s="79" t="str">
        <x:v>GenIII Prius 4-24-12 (US).csv</x:v>
      </x:c>
      <x:c r="K34" s="79" t="str">
        <x:v>2012-04-24</x:v>
      </x:c>
      <x:c r="L34" s="79" t="str">
        <x:v>READ-ONLY DIAGNOSTIC CANDIDATE</x:v>
      </x:c>
      <x:c r="M34" s="79" t="str">
        <x:v>CANDIDATE</x:v>
      </x:c>
      <x:c r="N34" s="80" t="str">
        <x:v>Older US snapshot retained for change comparison</x:v>
      </x:c>
    </x:row>
    <x:row r="35">
      <x:c r="A35" s="78" t="str">
        <x:v>+B Voltage Value</x:v>
      </x:c>
      <x:c r="B35" s="79" t="str">
        <x:v>Aux B Volt</x:v>
      </x:c>
      <x:c r="C35" s="79" t="str">
        <x:v>2113</x:v>
      </x:c>
      <x:c r="D35" s="79" t="str">
        <x:v>A / 10</x:v>
      </x:c>
      <x:c r="E35" s="79" t="str">
        <x:v>0</x:v>
      </x:c>
      <x:c r="F35" s="79" t="str">
        <x:v>20</x:v>
      </x:c>
      <x:c r="G35" s="79" t="str">
        <x:v>V</x:v>
      </x:c>
      <x:c r="H35" s="79" t="str">
        <x:v>7C0</x:v>
      </x:c>
      <x:c r="I35" s="79" t="str">
        <x:v>PRIUS_GEN3 / ZVW30</x:v>
      </x:c>
      <x:c r="J35" s="79" t="str">
        <x:v>GenIII Prius 4-24-12 (US).csv</x:v>
      </x:c>
      <x:c r="K35" s="79" t="str">
        <x:v>2012-04-24</x:v>
      </x:c>
      <x:c r="L35" s="79" t="str">
        <x:v>READ-ONLY DIAGNOSTIC CANDIDATE</x:v>
      </x:c>
      <x:c r="M35" s="79" t="str">
        <x:v>CANDIDATE</x:v>
      </x:c>
      <x:c r="N35" s="80" t="str">
        <x:v>Older US snapshot retained for change comparison</x:v>
      </x:c>
    </x:row>
    <x:row r="36">
      <x:c r="A36" s="78" t="str">
        <x:v>Fuel Input</x:v>
      </x:c>
      <x:c r="B36" s="79" t="str">
        <x:v>Fuel Level</x:v>
      </x:c>
      <x:c r="C36" s="79" t="str">
        <x:v>2129</x:v>
      </x:c>
      <x:c r="D36" s="79" t="str">
        <x:v>A * 500 / 3785</x:v>
      </x:c>
      <x:c r="E36" s="79" t="str">
        <x:v>0</x:v>
      </x:c>
      <x:c r="F36" s="79" t="str">
        <x:v>13</x:v>
      </x:c>
      <x:c r="G36" s="79" t="str">
        <x:v>US Gallons</x:v>
      </x:c>
      <x:c r="H36" s="79" t="str">
        <x:v>7C0</x:v>
      </x:c>
      <x:c r="I36" s="79" t="str">
        <x:v>PRIUS_GEN3 / ZVW30</x:v>
      </x:c>
      <x:c r="J36" s="79" t="str">
        <x:v>GenIII Prius 4-24-12 (US).csv</x:v>
      </x:c>
      <x:c r="K36" s="79" t="str">
        <x:v>2012-04-24</x:v>
      </x:c>
      <x:c r="L36" s="79" t="str">
        <x:v>READ-ONLY DIAGNOSTIC CANDIDATE</x:v>
      </x:c>
      <x:c r="M36" s="79" t="str">
        <x:v>CANDIDATE</x:v>
      </x:c>
      <x:c r="N36" s="80" t="str">
        <x:v>Older US snapshot retained for change comparison</x:v>
      </x:c>
    </x:row>
    <x:row r="37">
      <x:c r="A37" s="78" t="str">
        <x:v>Distance Since Oil Change for U.S.A. (reset)</x:v>
      </x:c>
      <x:c r="B37" s="79" t="str">
        <x:v>Oil Chg Dist</x:v>
      </x:c>
      <x:c r="C37" s="79" t="str">
        <x:v>2141</x:v>
      </x:c>
      <x:c r="D37" s="79" t="str">
        <x:v>A * 100</x:v>
      </x:c>
      <x:c r="E37" s="79" t="str">
        <x:v>0</x:v>
      </x:c>
      <x:c r="F37" s="79" t="str">
        <x:v>25500</x:v>
      </x:c>
      <x:c r="G37" s="79" t="str">
        <x:v>mile</x:v>
      </x:c>
      <x:c r="H37" s="79" t="str">
        <x:v>7C0</x:v>
      </x:c>
      <x:c r="I37" s="79" t="str">
        <x:v>PRIUS_GEN3 / ZVW30</x:v>
      </x:c>
      <x:c r="J37" s="79" t="str">
        <x:v>GenIII Prius 4-24-12 (US).csv</x:v>
      </x:c>
      <x:c r="K37" s="79" t="str">
        <x:v>2012-04-24</x:v>
      </x:c>
      <x:c r="L37" s="79" t="str">
        <x:v>READ-ONLY DIAGNOSTIC CANDIDATE</x:v>
      </x:c>
      <x:c r="M37" s="79" t="str">
        <x:v>CANDIDATE</x:v>
      </x:c>
      <x:c r="N37" s="80" t="str">
        <x:v>Older US snapshot retained for change comparison</x:v>
      </x:c>
    </x:row>
    <x:row r="38">
      <x:c r="A38" s="78" t="str">
        <x:v>Rheostat value (dark=0,bright=255)</x:v>
      </x:c>
      <x:c r="B38" s="79" t="str">
        <x:v>Rheostat</x:v>
      </x:c>
      <x:c r="C38" s="79" t="str">
        <x:v>2168</x:v>
      </x:c>
      <x:c r="D38" s="79" t="str">
        <x:v>A</x:v>
      </x:c>
      <x:c r="E38" s="79" t="str">
        <x:v>0</x:v>
      </x:c>
      <x:c r="F38" s="79" t="str">
        <x:v>255</x:v>
      </x:c>
      <x:c r="G38" s="79" t="str">
        <x:v>Number</x:v>
      </x:c>
      <x:c r="H38" s="79" t="str">
        <x:v>7C0</x:v>
      </x:c>
      <x:c r="I38" s="79" t="str">
        <x:v>PRIUS_GEN3 / ZVW30</x:v>
      </x:c>
      <x:c r="J38" s="79" t="str">
        <x:v>GenIII Prius 4-24-12 (US).csv</x:v>
      </x:c>
      <x:c r="K38" s="79" t="str">
        <x:v>2012-04-24</x:v>
      </x:c>
      <x:c r="L38" s="79" t="str">
        <x:v>READ-ONLY DIAGNOSTIC CANDIDATE</x:v>
      </x:c>
      <x:c r="M38" s="79" t="str">
        <x:v>CANDIDATE</x:v>
      </x:c>
      <x:c r="N38" s="80" t="str">
        <x:v>Older US snapshot retained for change comparison</x:v>
      </x:c>
    </x:row>
    <x:row r="39">
      <x:c r="A39" s="78" t="str">
        <x:v>Seat Belt Beep Query (Dis A=0,Ena R=32,Ena P=64,Dis D=96,Ena D=128,Dis P=160,192=Dis R,Ena A=160)</x:v>
      </x:c>
      <x:c r="B39" s="79" t="str">
        <x:v>SBB Query</x:v>
      </x:c>
      <x:c r="C39" s="79" t="str">
        <x:v>21A7</x:v>
      </x:c>
      <x:c r="D39" s="79" t="str">
        <x:v>A</x:v>
      </x:c>
      <x:c r="E39" s="79" t="str">
        <x:v>0</x:v>
      </x:c>
      <x:c r="F39" s="79" t="str">
        <x:v>192</x:v>
      </x:c>
      <x:c r="G39" s="79" t="str">
        <x:v>Number</x:v>
      </x:c>
      <x:c r="H39" s="79" t="str">
        <x:v>7C0</x:v>
      </x:c>
      <x:c r="I39" s="79" t="str">
        <x:v>PRIUS_GEN3 / ZVW30</x:v>
      </x:c>
      <x:c r="J39" s="79" t="str">
        <x:v>GenIII Prius 4-24-12 (US).csv</x:v>
      </x:c>
      <x:c r="K39" s="79" t="str">
        <x:v>2012-04-24</x:v>
      </x:c>
      <x:c r="L39" s="79" t="str">
        <x:v>READ-ONLY DIAGNOSTIC CANDIDATE</x:v>
      </x:c>
      <x:c r="M39" s="79" t="str">
        <x:v>CANDIDATE</x:v>
      </x:c>
      <x:c r="N39" s="80" t="str">
        <x:v>Older US snapshot retained for change comparison</x:v>
      </x:c>
    </x:row>
    <x:row r="40">
      <x:c r="A40" s="78" t="str">
        <x:v>Reverse Beep Query (Ena=0,Dis=64)</x:v>
      </x:c>
      <x:c r="B40" s="79" t="str">
        <x:v>RB Query</x:v>
      </x:c>
      <x:c r="C40" s="79" t="str">
        <x:v>21AC</x:v>
      </x:c>
      <x:c r="D40" s="79" t="str">
        <x:v>A</x:v>
      </x:c>
      <x:c r="E40" s="79" t="str">
        <x:v>0</x:v>
      </x:c>
      <x:c r="F40" s="79" t="str">
        <x:v>64</x:v>
      </x:c>
      <x:c r="G40" s="79" t="str">
        <x:v>Number</x:v>
      </x:c>
      <x:c r="H40" s="79" t="str">
        <x:v>7C0</x:v>
      </x:c>
      <x:c r="I40" s="79" t="str">
        <x:v>PRIUS_GEN3 / ZVW30</x:v>
      </x:c>
      <x:c r="J40" s="79" t="str">
        <x:v>GenIII Prius 4-24-12 (US).csv</x:v>
      </x:c>
      <x:c r="K40" s="79" t="str">
        <x:v>2012-04-24</x:v>
      </x:c>
      <x:c r="L40" s="79" t="str">
        <x:v>READ-ONLY DIAGNOSTIC CANDIDATE</x:v>
      </x:c>
      <x:c r="M40" s="79" t="str">
        <x:v>CANDIDATE</x:v>
      </x:c>
      <x:c r="N40" s="80" t="str">
        <x:v>Older US snapshot retained for change comparison</x:v>
      </x:c>
    </x:row>
    <x:row r="41">
      <x:c r="A41" s="78" t="str">
        <x:v>Seat Belt Beep Disable All</x:v>
      </x:c>
      <x:c r="B41" s="79" t="str">
        <x:v>SBB Dis A</x:v>
      </x:c>
      <x:c r="C41" s="79" t="str">
        <x:v>3BA700</x:v>
      </x:c>
      <x:c r="D41" s="79" t="str">
        <x:v>A</x:v>
      </x:c>
      <x:c r="E41" s="79" t="str">
        <x:v>0</x:v>
      </x:c>
      <x:c r="F41" s="79" t="str">
        <x:v>0</x:v>
      </x:c>
      <x:c r="G41" s="79" t="str">
        <x:v>No reply req'd</x:v>
      </x:c>
      <x:c r="H41" s="79" t="str">
        <x:v>7C0</x:v>
      </x:c>
      <x:c r="I41" s="79" t="str">
        <x:v>PRIUS_GEN3 / ZVW30</x:v>
      </x:c>
      <x:c r="J41" s="79" t="str">
        <x:v>GenIII Prius 4-24-12 (US).csv</x:v>
      </x:c>
      <x:c r="K41" s="79" t="str">
        <x:v>2012-04-24</x:v>
      </x:c>
      <x:c r="L41" s="79" t="str">
        <x:v>REVIEW REQUIRED - NOT WHITELISTED</x:v>
      </x:c>
      <x:c r="M41" s="79" t="str">
        <x:v>CANDIDATE</x:v>
      </x:c>
      <x:c r="N41" s="80" t="str">
        <x:v>Older US snapshot retained for change comparison</x:v>
      </x:c>
    </x:row>
    <x:row r="42">
      <x:c r="A42" s="78" t="str">
        <x:v>Seat Belt Beep Enable Rear Only</x:v>
      </x:c>
      <x:c r="B42" s="79" t="str">
        <x:v>SBB Ena R</x:v>
      </x:c>
      <x:c r="C42" s="79" t="str">
        <x:v>3BA720</x:v>
      </x:c>
      <x:c r="D42" s="79" t="str">
        <x:v>A</x:v>
      </x:c>
      <x:c r="E42" s="79" t="str">
        <x:v>0</x:v>
      </x:c>
      <x:c r="F42" s="79" t="str">
        <x:v>0</x:v>
      </x:c>
      <x:c r="G42" s="79" t="str">
        <x:v>No reply req'd</x:v>
      </x:c>
      <x:c r="H42" s="79" t="str">
        <x:v>7C0</x:v>
      </x:c>
      <x:c r="I42" s="79" t="str">
        <x:v>PRIUS_GEN3 / ZVW30</x:v>
      </x:c>
      <x:c r="J42" s="79" t="str">
        <x:v>GenIII Prius 4-24-12 (US).csv</x:v>
      </x:c>
      <x:c r="K42" s="79" t="str">
        <x:v>2012-04-24</x:v>
      </x:c>
      <x:c r="L42" s="79" t="str">
        <x:v>REVIEW REQUIRED - NOT WHITELISTED</x:v>
      </x:c>
      <x:c r="M42" s="79" t="str">
        <x:v>CANDIDATE</x:v>
      </x:c>
      <x:c r="N42" s="80" t="str">
        <x:v>Older US snapshot retained for change comparison</x:v>
      </x:c>
    </x:row>
    <x:row r="43">
      <x:c r="A43" s="78" t="str">
        <x:v>Seat Belt Beep Enable Passenger Only</x:v>
      </x:c>
      <x:c r="B43" s="79" t="str">
        <x:v>SBB Ena P</x:v>
      </x:c>
      <x:c r="C43" s="79" t="str">
        <x:v>3BA740</x:v>
      </x:c>
      <x:c r="D43" s="79" t="str">
        <x:v>A</x:v>
      </x:c>
      <x:c r="E43" s="79" t="str">
        <x:v>0</x:v>
      </x:c>
      <x:c r="F43" s="79" t="str">
        <x:v>0</x:v>
      </x:c>
      <x:c r="G43" s="79" t="str">
        <x:v>No reply req'd</x:v>
      </x:c>
      <x:c r="H43" s="79" t="str">
        <x:v>7C0</x:v>
      </x:c>
      <x:c r="I43" s="79" t="str">
        <x:v>PRIUS_GEN3 / ZVW30</x:v>
      </x:c>
      <x:c r="J43" s="79" t="str">
        <x:v>GenIII Prius 4-24-12 (US).csv</x:v>
      </x:c>
      <x:c r="K43" s="79" t="str">
        <x:v>2012-04-24</x:v>
      </x:c>
      <x:c r="L43" s="79" t="str">
        <x:v>REVIEW REQUIRED - NOT WHITELISTED</x:v>
      </x:c>
      <x:c r="M43" s="79" t="str">
        <x:v>CANDIDATE</x:v>
      </x:c>
      <x:c r="N43" s="80" t="str">
        <x:v>Older US snapshot retained for change comparison</x:v>
      </x:c>
    </x:row>
    <x:row r="44">
      <x:c r="A44" s="78" t="str">
        <x:v>Seat Belt Beep Disable Driver Only</x:v>
      </x:c>
      <x:c r="B44" s="79" t="str">
        <x:v>SBB Dis D</x:v>
      </x:c>
      <x:c r="C44" s="79" t="str">
        <x:v>3BA760</x:v>
      </x:c>
      <x:c r="D44" s="79" t="str">
        <x:v>A</x:v>
      </x:c>
      <x:c r="E44" s="79" t="str">
        <x:v>0</x:v>
      </x:c>
      <x:c r="F44" s="79" t="str">
        <x:v>0</x:v>
      </x:c>
      <x:c r="G44" s="79" t="str">
        <x:v>No reply req'd</x:v>
      </x:c>
      <x:c r="H44" s="79" t="str">
        <x:v>7C0</x:v>
      </x:c>
      <x:c r="I44" s="79" t="str">
        <x:v>PRIUS_GEN3 / ZVW30</x:v>
      </x:c>
      <x:c r="J44" s="79" t="str">
        <x:v>GenIII Prius 4-24-12 (US).csv</x:v>
      </x:c>
      <x:c r="K44" s="79" t="str">
        <x:v>2012-04-24</x:v>
      </x:c>
      <x:c r="L44" s="79" t="str">
        <x:v>REVIEW REQUIRED - NOT WHITELISTED</x:v>
      </x:c>
      <x:c r="M44" s="79" t="str">
        <x:v>CANDIDATE</x:v>
      </x:c>
      <x:c r="N44" s="80" t="str">
        <x:v>Older US snapshot retained for change comparison</x:v>
      </x:c>
    </x:row>
    <x:row r="45">
      <x:c r="A45" s="78" t="str">
        <x:v>Seat Belt Beep Enable Driver Only</x:v>
      </x:c>
      <x:c r="B45" s="79" t="str">
        <x:v>SBB Ena D</x:v>
      </x:c>
      <x:c r="C45" s="79" t="str">
        <x:v>3BA780</x:v>
      </x:c>
      <x:c r="D45" s="79" t="str">
        <x:v>A</x:v>
      </x:c>
      <x:c r="E45" s="79" t="str">
        <x:v>0</x:v>
      </x:c>
      <x:c r="F45" s="79" t="str">
        <x:v>0</x:v>
      </x:c>
      <x:c r="G45" s="79" t="str">
        <x:v>No reply req'd</x:v>
      </x:c>
      <x:c r="H45" s="79" t="str">
        <x:v>7C0</x:v>
      </x:c>
      <x:c r="I45" s="79" t="str">
        <x:v>PRIUS_GEN3 / ZVW30</x:v>
      </x:c>
      <x:c r="J45" s="79" t="str">
        <x:v>GenIII Prius 4-24-12 (US).csv</x:v>
      </x:c>
      <x:c r="K45" s="79" t="str">
        <x:v>2012-04-24</x:v>
      </x:c>
      <x:c r="L45" s="79" t="str">
        <x:v>REVIEW REQUIRED - NOT WHITELISTED</x:v>
      </x:c>
      <x:c r="M45" s="79" t="str">
        <x:v>CANDIDATE</x:v>
      </x:c>
      <x:c r="N45" s="80" t="str">
        <x:v>Older US snapshot retained for change comparison</x:v>
      </x:c>
    </x:row>
    <x:row r="46">
      <x:c r="A46" s="78" t="str">
        <x:v>Seat Belt Beep Disable Passenger Only</x:v>
      </x:c>
      <x:c r="B46" s="79" t="str">
        <x:v>SBB Dis P</x:v>
      </x:c>
      <x:c r="C46" s="79" t="str">
        <x:v>3BA7A0</x:v>
      </x:c>
      <x:c r="D46" s="79" t="str">
        <x:v>A</x:v>
      </x:c>
      <x:c r="E46" s="79" t="str">
        <x:v>0</x:v>
      </x:c>
      <x:c r="F46" s="79" t="str">
        <x:v>0</x:v>
      </x:c>
      <x:c r="G46" s="79" t="str">
        <x:v>No reply req'd</x:v>
      </x:c>
      <x:c r="H46" s="79" t="str">
        <x:v>7C0</x:v>
      </x:c>
      <x:c r="I46" s="79" t="str">
        <x:v>PRIUS_GEN3 / ZVW30</x:v>
      </x:c>
      <x:c r="J46" s="79" t="str">
        <x:v>GenIII Prius 4-24-12 (US).csv</x:v>
      </x:c>
      <x:c r="K46" s="79" t="str">
        <x:v>2012-04-24</x:v>
      </x:c>
      <x:c r="L46" s="79" t="str">
        <x:v>REVIEW REQUIRED - NOT WHITELISTED</x:v>
      </x:c>
      <x:c r="M46" s="79" t="str">
        <x:v>CANDIDATE</x:v>
      </x:c>
      <x:c r="N46" s="80" t="str">
        <x:v>Older US snapshot retained for change comparison</x:v>
      </x:c>
    </x:row>
    <x:row r="47">
      <x:c r="A47" s="78" t="str">
        <x:v>Seat Belt Beep Disable Rear Only</x:v>
      </x:c>
      <x:c r="B47" s="79" t="str">
        <x:v>SBB Dis R</x:v>
      </x:c>
      <x:c r="C47" s="79" t="str">
        <x:v>3BA7C0</x:v>
      </x:c>
      <x:c r="D47" s="79" t="str">
        <x:v>A</x:v>
      </x:c>
      <x:c r="E47" s="79" t="str">
        <x:v>0</x:v>
      </x:c>
      <x:c r="F47" s="79" t="str">
        <x:v>0</x:v>
      </x:c>
      <x:c r="G47" s="79" t="str">
        <x:v>No reply req'd</x:v>
      </x:c>
      <x:c r="H47" s="79" t="str">
        <x:v>7C0</x:v>
      </x:c>
      <x:c r="I47" s="79" t="str">
        <x:v>PRIUS_GEN3 / ZVW30</x:v>
      </x:c>
      <x:c r="J47" s="79" t="str">
        <x:v>GenIII Prius 4-24-12 (US).csv</x:v>
      </x:c>
      <x:c r="K47" s="79" t="str">
        <x:v>2012-04-24</x:v>
      </x:c>
      <x:c r="L47" s="79" t="str">
        <x:v>REVIEW REQUIRED - NOT WHITELISTED</x:v>
      </x:c>
      <x:c r="M47" s="79" t="str">
        <x:v>CANDIDATE</x:v>
      </x:c>
      <x:c r="N47" s="80" t="str">
        <x:v>Older US snapshot retained for change comparison</x:v>
      </x:c>
    </x:row>
    <x:row r="48">
      <x:c r="A48" s="78" t="str">
        <x:v>Seat Belt Beep Enable All</x:v>
      </x:c>
      <x:c r="B48" s="79" t="str">
        <x:v>SBB Ena A</x:v>
      </x:c>
      <x:c r="C48" s="79" t="str">
        <x:v>3BA7E0</x:v>
      </x:c>
      <x:c r="D48" s="79" t="str">
        <x:v>A</x:v>
      </x:c>
      <x:c r="E48" s="79" t="str">
        <x:v>0</x:v>
      </x:c>
      <x:c r="F48" s="79" t="str">
        <x:v>0</x:v>
      </x:c>
      <x:c r="G48" s="79" t="str">
        <x:v>No reply req'd</x:v>
      </x:c>
      <x:c r="H48" s="79" t="str">
        <x:v>7C0</x:v>
      </x:c>
      <x:c r="I48" s="79" t="str">
        <x:v>PRIUS_GEN3 / ZVW30</x:v>
      </x:c>
      <x:c r="J48" s="79" t="str">
        <x:v>GenIII Prius 4-24-12 (US).csv</x:v>
      </x:c>
      <x:c r="K48" s="79" t="str">
        <x:v>2012-04-24</x:v>
      </x:c>
      <x:c r="L48" s="79" t="str">
        <x:v>REVIEW REQUIRED - NOT WHITELISTED</x:v>
      </x:c>
      <x:c r="M48" s="79" t="str">
        <x:v>CANDIDATE</x:v>
      </x:c>
      <x:c r="N48" s="80" t="str">
        <x:v>Older US snapshot retained for change comparison</x:v>
      </x:c>
    </x:row>
    <x:row r="49">
      <x:c r="A49" s="78" t="str">
        <x:v>Reverse Beep Enable</x:v>
      </x:c>
      <x:c r="B49" s="79" t="str">
        <x:v>RB Ena</x:v>
      </x:c>
      <x:c r="C49" s="79" t="str">
        <x:v>3BAC00</x:v>
      </x:c>
      <x:c r="D49" s="79" t="str">
        <x:v>A</x:v>
      </x:c>
      <x:c r="E49" s="79" t="str">
        <x:v>0</x:v>
      </x:c>
      <x:c r="F49" s="79" t="str">
        <x:v>0</x:v>
      </x:c>
      <x:c r="G49" s="79" t="str">
        <x:v>No reply req'd</x:v>
      </x:c>
      <x:c r="H49" s="79" t="str">
        <x:v>7C0</x:v>
      </x:c>
      <x:c r="I49" s="79" t="str">
        <x:v>PRIUS_GEN3 / ZVW30</x:v>
      </x:c>
      <x:c r="J49" s="79" t="str">
        <x:v>GenIII Prius 4-24-12 (US).csv</x:v>
      </x:c>
      <x:c r="K49" s="79" t="str">
        <x:v>2012-04-24</x:v>
      </x:c>
      <x:c r="L49" s="79" t="str">
        <x:v>REVIEW REQUIRED - NOT WHITELISTED</x:v>
      </x:c>
      <x:c r="M49" s="79" t="str">
        <x:v>CANDIDATE</x:v>
      </x:c>
      <x:c r="N49" s="80" t="str">
        <x:v>Older US snapshot retained for change comparison</x:v>
      </x:c>
    </x:row>
    <x:row r="50">
      <x:c r="A50" s="78" t="str">
        <x:v>Reverse Beep Disable</x:v>
      </x:c>
      <x:c r="B50" s="79" t="str">
        <x:v>RB Dis</x:v>
      </x:c>
      <x:c r="C50" s="79" t="str">
        <x:v>3BAC40</x:v>
      </x:c>
      <x:c r="D50" s="79" t="str">
        <x:v>A</x:v>
      </x:c>
      <x:c r="E50" s="79" t="str">
        <x:v>0</x:v>
      </x:c>
      <x:c r="F50" s="79" t="str">
        <x:v>0</x:v>
      </x:c>
      <x:c r="G50" s="79" t="str">
        <x:v>No reply req'd</x:v>
      </x:c>
      <x:c r="H50" s="79" t="str">
        <x:v>7C0</x:v>
      </x:c>
      <x:c r="I50" s="79" t="str">
        <x:v>PRIUS_GEN3 / ZVW30</x:v>
      </x:c>
      <x:c r="J50" s="79" t="str">
        <x:v>GenIII Prius 4-24-12 (US).csv</x:v>
      </x:c>
      <x:c r="K50" s="79" t="str">
        <x:v>2012-04-24</x:v>
      </x:c>
      <x:c r="L50" s="79" t="str">
        <x:v>REVIEW REQUIRED - NOT WHITELISTED</x:v>
      </x:c>
      <x:c r="M50" s="79" t="str">
        <x:v>CANDIDATE</x:v>
      </x:c>
      <x:c r="N50" s="80" t="str">
        <x:v>Older US snapshot retained for change comparison</x:v>
      </x:c>
    </x:row>
    <x:row r="51">
      <x:c r="A51" s="78" t="str">
        <x:v>Room Temp Sensor</x:v>
      </x:c>
      <x:c r="B51" s="79" t="str">
        <x:v>Room</x:v>
      </x:c>
      <x:c r="C51" s="79" t="str">
        <x:v>2121</x:v>
      </x:c>
      <x:c r="D51" s="79" t="str">
        <x:v>A * 9 / 20 + 20.3</x:v>
      </x:c>
      <x:c r="E51" s="79" t="str">
        <x:v>20.3</x:v>
      </x:c>
      <x:c r="F51" s="79" t="str">
        <x:v>135.05</x:v>
      </x:c>
      <x:c r="G51" s="79" t="str">
        <x:v>F</x:v>
      </x:c>
      <x:c r="H51" s="79" t="str">
        <x:v>7C4</x:v>
      </x:c>
      <x:c r="I51" s="79" t="str">
        <x:v>PRIUS_GEN3 / ZVW30</x:v>
      </x:c>
      <x:c r="J51" s="79" t="str">
        <x:v>GenIII Prius 4-24-12 (US).csv</x:v>
      </x:c>
      <x:c r="K51" s="79" t="str">
        <x:v>2012-04-24</x:v>
      </x:c>
      <x:c r="L51" s="79" t="str">
        <x:v>READ-ONLY DIAGNOSTIC CANDIDATE</x:v>
      </x:c>
      <x:c r="M51" s="79" t="str">
        <x:v>CANDIDATE</x:v>
      </x:c>
      <x:c r="N51" s="80" t="str">
        <x:v>Older US snapshot retained for change comparison</x:v>
      </x:c>
    </x:row>
    <x:row r="52">
      <x:c r="A52" s="78" t="str">
        <x:v>Ambient Temp Sensor</x:v>
      </x:c>
      <x:c r="B52" s="79" t="str">
        <x:v>Ambient</x:v>
      </x:c>
      <x:c r="C52" s="79" t="str">
        <x:v>2122</x:v>
      </x:c>
      <x:c r="D52" s="79" t="str">
        <x:v>A * 160.65 / 255 - 9.94</x:v>
      </x:c>
      <x:c r="E52" s="79" t="str">
        <x:v>-9.94</x:v>
      </x:c>
      <x:c r="F52" s="79" t="str">
        <x:v>150.71</x:v>
      </x:c>
      <x:c r="G52" s="79" t="str">
        <x:v>F</x:v>
      </x:c>
      <x:c r="H52" s="79" t="str">
        <x:v>7C4</x:v>
      </x:c>
      <x:c r="I52" s="79" t="str">
        <x:v>PRIUS_GEN3 / ZVW30</x:v>
      </x:c>
      <x:c r="J52" s="79" t="str">
        <x:v>GenIII Prius 4-24-12 (US).csv</x:v>
      </x:c>
      <x:c r="K52" s="79" t="str">
        <x:v>2012-04-24</x:v>
      </x:c>
      <x:c r="L52" s="79" t="str">
        <x:v>READ-ONLY DIAGNOSTIC CANDIDATE</x:v>
      </x:c>
      <x:c r="M52" s="79" t="str">
        <x:v>CANDIDATE</x:v>
      </x:c>
      <x:c r="N52" s="80" t="str">
        <x:v>Older US snapshot retained for change comparison</x:v>
      </x:c>
    </x:row>
    <x:row r="53">
      <x:c r="A53" s="78" t="str">
        <x:v>Solar Sensor (D side)</x:v>
      </x:c>
      <x:c r="B53" s="79" t="str">
        <x:v>Solar D</x:v>
      </x:c>
      <x:c r="C53" s="79" t="str">
        <x:v>2124</x:v>
      </x:c>
      <x:c r="D53" s="79" t="str">
        <x:v>A</x:v>
      </x:c>
      <x:c r="E53" s="79" t="str">
        <x:v>0</x:v>
      </x:c>
      <x:c r="F53" s="79" t="str">
        <x:v>255</x:v>
      </x:c>
      <x:c r="G53" s="79" t="str">
        <x:v>Number</x:v>
      </x:c>
      <x:c r="H53" s="79" t="str">
        <x:v>7C4</x:v>
      </x:c>
      <x:c r="I53" s="79" t="str">
        <x:v>PRIUS_GEN3 / ZVW30</x:v>
      </x:c>
      <x:c r="J53" s="79" t="str">
        <x:v>GenIII Prius 4-24-12 (US).csv</x:v>
      </x:c>
      <x:c r="K53" s="79" t="str">
        <x:v>2012-04-24</x:v>
      </x:c>
      <x:c r="L53" s="79" t="str">
        <x:v>READ-ONLY DIAGNOSTIC CANDIDATE</x:v>
      </x:c>
      <x:c r="M53" s="79" t="str">
        <x:v>CANDIDATE</x:v>
      </x:c>
      <x:c r="N53" s="80" t="str">
        <x:v>Older US snapshot retained for change comparison</x:v>
      </x:c>
    </x:row>
    <x:row r="54">
      <x:c r="A54" s="78" t="str">
        <x:v>Engine Coolant Temp</x:v>
      </x:c>
      <x:c r="B54" s="79" t="str">
        <x:v>coolant</x:v>
      </x:c>
      <x:c r="C54" s="79" t="str">
        <x:v>2126</x:v>
      </x:c>
      <x:c r="D54" s="79" t="str">
        <x:v>A * 160.65 / 255 + 34.34</x:v>
      </x:c>
      <x:c r="E54" s="79" t="str">
        <x:v>34.34</x:v>
      </x:c>
      <x:c r="F54" s="79" t="str">
        <x:v>194.99</x:v>
      </x:c>
      <x:c r="G54" s="79" t="str">
        <x:v>F</x:v>
      </x:c>
      <x:c r="H54" s="79" t="str">
        <x:v>7C4</x:v>
      </x:c>
      <x:c r="I54" s="79" t="str">
        <x:v>PRIUS_GEN3 / ZVW30</x:v>
      </x:c>
      <x:c r="J54" s="79" t="str">
        <x:v>GenIII Prius 4-24-12 (US).csv</x:v>
      </x:c>
      <x:c r="K54" s="79" t="str">
        <x:v>2012-04-24</x:v>
      </x:c>
      <x:c r="L54" s="79" t="str">
        <x:v>READ-ONLY DIAGNOSTIC CANDIDATE</x:v>
      </x:c>
      <x:c r="M54" s="79" t="str">
        <x:v>CANDIDATE</x:v>
      </x:c>
      <x:c r="N54" s="80" t="str">
        <x:v>Older US snapshot retained for change comparison</x:v>
      </x:c>
    </x:row>
    <x:row r="55">
      <x:c r="A55" s="78" t="str">
        <x:v>Set Temperature (D side)</x:v>
      </x:c>
      <x:c r="B55" s="79" t="str">
        <x:v>Set t D</x:v>
      </x:c>
      <x:c r="C55" s="79" t="str">
        <x:v>2129</x:v>
      </x:c>
      <x:c r="D55" s="79" t="str">
        <x:v>A * 27 / 255 + 63.5</x:v>
      </x:c>
      <x:c r="E55" s="79" t="str">
        <x:v>63.5</x:v>
      </x:c>
      <x:c r="F55" s="79" t="str">
        <x:v>90.5</x:v>
      </x:c>
      <x:c r="G55" s="79" t="str">
        <x:v>F</x:v>
      </x:c>
      <x:c r="H55" s="79" t="str">
        <x:v>7C4</x:v>
      </x:c>
      <x:c r="I55" s="79" t="str">
        <x:v>PRIUS_GEN3 / ZVW30</x:v>
      </x:c>
      <x:c r="J55" s="79" t="str">
        <x:v>GenIII Prius 4-24-12 (US).csv</x:v>
      </x:c>
      <x:c r="K55" s="79" t="str">
        <x:v>2012-04-24</x:v>
      </x:c>
      <x:c r="L55" s="79" t="str">
        <x:v>READ-ONLY DIAGNOSTIC CANDIDATE</x:v>
      </x:c>
      <x:c r="M55" s="79" t="str">
        <x:v>CANDIDATE</x:v>
      </x:c>
      <x:c r="N55" s="80" t="str">
        <x:v>Older US snapshot retained for change comparison</x:v>
      </x:c>
    </x:row>
    <x:row r="56">
      <x:c r="A56" s="78" t="str">
        <x:v>Blower Motor Speed Level</x:v>
      </x:c>
      <x:c r="B56" s="79" t="str">
        <x:v>Blower Level</x:v>
      </x:c>
      <x:c r="C56" s="79" t="str">
        <x:v>213C</x:v>
      </x:c>
      <x:c r="D56" s="79" t="str">
        <x:v>A * 31 / 255</x:v>
      </x:c>
      <x:c r="E56" s="79" t="str">
        <x:v>0</x:v>
      </x:c>
      <x:c r="F56" s="79" t="str">
        <x:v>31</x:v>
      </x:c>
      <x:c r="G56" s="79" t="str">
        <x:v>Number</x:v>
      </x:c>
      <x:c r="H56" s="79" t="str">
        <x:v>7C4</x:v>
      </x:c>
      <x:c r="I56" s="79" t="str">
        <x:v>PRIUS_GEN3 / ZVW30</x:v>
      </x:c>
      <x:c r="J56" s="79" t="str">
        <x:v>GenIII Prius 4-24-12 (US).csv</x:v>
      </x:c>
      <x:c r="K56" s="79" t="str">
        <x:v>2012-04-24</x:v>
      </x:c>
      <x:c r="L56" s="79" t="str">
        <x:v>READ-ONLY DIAGNOSTIC CANDIDATE</x:v>
      </x:c>
      <x:c r="M56" s="79" t="str">
        <x:v>CANDIDATE</x:v>
      </x:c>
      <x:c r="N56" s="80" t="str">
        <x:v>Older US snapshot retained for change comparison</x:v>
      </x:c>
    </x:row>
    <x:row r="57">
      <x:c r="A57" s="78" t="str">
        <x:v>Adjusted Ambient Temp</x:v>
      </x:c>
      <x:c r="B57" s="79" t="str">
        <x:v>AdjAmbient</x:v>
      </x:c>
      <x:c r="C57" s="79" t="str">
        <x:v>213D</x:v>
      </x:c>
      <x:c r="D57" s="79" t="str">
        <x:v>A * 146.88 / 255 - 23.44</x:v>
      </x:c>
      <x:c r="E57" s="79" t="str">
        <x:v>-23.44</x:v>
      </x:c>
      <x:c r="F57" s="79" t="str">
        <x:v>123.44</x:v>
      </x:c>
      <x:c r="G57" s="79" t="str">
        <x:v>F</x:v>
      </x:c>
      <x:c r="H57" s="79" t="str">
        <x:v>7C4</x:v>
      </x:c>
      <x:c r="I57" s="79" t="str">
        <x:v>PRIUS_GEN3 / ZVW30</x:v>
      </x:c>
      <x:c r="J57" s="79" t="str">
        <x:v>GenIII Prius 4-24-12 (US).csv</x:v>
      </x:c>
      <x:c r="K57" s="79" t="str">
        <x:v>2012-04-24</x:v>
      </x:c>
      <x:c r="L57" s="79" t="str">
        <x:v>READ-ONLY DIAGNOSTIC CANDIDATE</x:v>
      </x:c>
      <x:c r="M57" s="79" t="str">
        <x:v>CANDIDATE</x:v>
      </x:c>
      <x:c r="N57" s="80" t="str">
        <x:v>Older US snapshot retained for change comparison</x:v>
      </x:c>
    </x:row>
    <x:row r="58">
      <x:c r="A58" s="78" t="str">
        <x:v>Air Mix Servo Targ Pulse (D)</x:v>
      </x:c>
      <x:c r="B58" s="79" t="str">
        <x:v>A/M STP D</x:v>
      </x:c>
      <x:c r="C58" s="79" t="str">
        <x:v>2141</x:v>
      </x:c>
      <x:c r="D58" s="79" t="str">
        <x:v>A</x:v>
      </x:c>
      <x:c r="E58" s="79" t="str">
        <x:v>0</x:v>
      </x:c>
      <x:c r="F58" s="79" t="str">
        <x:v>255</x:v>
      </x:c>
      <x:c r="G58" s="79" t="str">
        <x:v>Number</x:v>
      </x:c>
      <x:c r="H58" s="79" t="str">
        <x:v>7C4</x:v>
      </x:c>
      <x:c r="I58" s="79" t="str">
        <x:v>PRIUS_GEN3 / ZVW30</x:v>
      </x:c>
      <x:c r="J58" s="79" t="str">
        <x:v>GenIII Prius 4-24-12 (US).csv</x:v>
      </x:c>
      <x:c r="K58" s="79" t="str">
        <x:v>2012-04-24</x:v>
      </x:c>
      <x:c r="L58" s="79" t="str">
        <x:v>READ-ONLY DIAGNOSTIC CANDIDATE</x:v>
      </x:c>
      <x:c r="M58" s="79" t="str">
        <x:v>CANDIDATE</x:v>
      </x:c>
      <x:c r="N58" s="80" t="str">
        <x:v>Older US snapshot retained for change comparison</x:v>
      </x:c>
    </x:row>
    <x:row r="59">
      <x:c r="A59" s="78" t="str">
        <x:v>Air Mix Servo Actual Pulse (D)</x:v>
      </x:c>
      <x:c r="B59" s="79" t="str">
        <x:v>A/M SAP D</x:v>
      </x:c>
      <x:c r="C59" s="79" t="str">
        <x:v>2141</x:v>
      </x:c>
      <x:c r="D59" s="79" t="str">
        <x:v>B</x:v>
      </x:c>
      <x:c r="E59" s="79" t="str">
        <x:v>0</x:v>
      </x:c>
      <x:c r="F59" s="79" t="str">
        <x:v>255</x:v>
      </x:c>
      <x:c r="G59" s="79" t="str">
        <x:v>Number</x:v>
      </x:c>
      <x:c r="H59" s="79" t="str">
        <x:v>7C4</x:v>
      </x:c>
      <x:c r="I59" s="79" t="str">
        <x:v>PRIUS_GEN3 / ZVW30</x:v>
      </x:c>
      <x:c r="J59" s="79" t="str">
        <x:v>GenIII Prius 4-24-12 (US).csv</x:v>
      </x:c>
      <x:c r="K59" s="79" t="str">
        <x:v>2012-04-24</x:v>
      </x:c>
      <x:c r="L59" s="79" t="str">
        <x:v>READ-ONLY DIAGNOSTIC CANDIDATE</x:v>
      </x:c>
      <x:c r="M59" s="79" t="str">
        <x:v>CANDIDATE</x:v>
      </x:c>
      <x:c r="N59" s="80" t="str">
        <x:v>Older US snapshot retained for change comparison</x:v>
      </x:c>
    </x:row>
    <x:row r="60">
      <x:c r="A60" s="78" t="str">
        <x:v>Air Outlet Servo Pulse (D)</x:v>
      </x:c>
      <x:c r="B60" s="79" t="str">
        <x:v>A/O SP D</x:v>
      </x:c>
      <x:c r="C60" s="79" t="str">
        <x:v>2143</x:v>
      </x:c>
      <x:c r="D60" s="79" t="str">
        <x:v>A</x:v>
      </x:c>
      <x:c r="E60" s="79" t="str">
        <x:v>0</x:v>
      </x:c>
      <x:c r="F60" s="79" t="str">
        <x:v>255</x:v>
      </x:c>
      <x:c r="G60" s="79" t="str">
        <x:v>Number</x:v>
      </x:c>
      <x:c r="H60" s="79" t="str">
        <x:v>7C4</x:v>
      </x:c>
      <x:c r="I60" s="79" t="str">
        <x:v>PRIUS_GEN3 / ZVW30</x:v>
      </x:c>
      <x:c r="J60" s="79" t="str">
        <x:v>GenIII Prius 4-24-12 (US).csv</x:v>
      </x:c>
      <x:c r="K60" s="79" t="str">
        <x:v>2012-04-24</x:v>
      </x:c>
      <x:c r="L60" s="79" t="str">
        <x:v>READ-ONLY DIAGNOSTIC CANDIDATE</x:v>
      </x:c>
      <x:c r="M60" s="79" t="str">
        <x:v>CANDIDATE</x:v>
      </x:c>
      <x:c r="N60" s="80" t="str">
        <x:v>Older US snapshot retained for change comparison</x:v>
      </x:c>
    </x:row>
    <x:row r="61">
      <x:c r="A61" s="78" t="str">
        <x:v>Air Outlet Servo Actu Pulse (D)</x:v>
      </x:c>
      <x:c r="B61" s="79" t="str">
        <x:v>A/O SAP D</x:v>
      </x:c>
      <x:c r="C61" s="79" t="str">
        <x:v>2143</x:v>
      </x:c>
      <x:c r="D61" s="79" t="str">
        <x:v>B</x:v>
      </x:c>
      <x:c r="E61" s="79" t="str">
        <x:v>0</x:v>
      </x:c>
      <x:c r="F61" s="79" t="str">
        <x:v>255</x:v>
      </x:c>
      <x:c r="G61" s="79" t="str">
        <x:v>Number</x:v>
      </x:c>
      <x:c r="H61" s="79" t="str">
        <x:v>7C4</x:v>
      </x:c>
      <x:c r="I61" s="79" t="str">
        <x:v>PRIUS_GEN3 / ZVW30</x:v>
      </x:c>
      <x:c r="J61" s="79" t="str">
        <x:v>GenIII Prius 4-24-12 (US).csv</x:v>
      </x:c>
      <x:c r="K61" s="79" t="str">
        <x:v>2012-04-24</x:v>
      </x:c>
      <x:c r="L61" s="79" t="str">
        <x:v>READ-ONLY DIAGNOSTIC CANDIDATE</x:v>
      </x:c>
      <x:c r="M61" s="79" t="str">
        <x:v>CANDIDATE</x:v>
      </x:c>
      <x:c r="N61" s="80" t="str">
        <x:v>Older US snapshot retained for change comparison</x:v>
      </x:c>
    </x:row>
    <x:row r="62">
      <x:c r="A62" s="78" t="str">
        <x:v>Air Inlet Damper Targ Pulse</x:v>
      </x:c>
      <x:c r="B62" s="79" t="str">
        <x:v>A/I DTP</x:v>
      </x:c>
      <x:c r="C62" s="79" t="str">
        <x:v>2144</x:v>
      </x:c>
      <x:c r="D62" s="79" t="str">
        <x:v>A</x:v>
      </x:c>
      <x:c r="E62" s="79" t="str">
        <x:v>0</x:v>
      </x:c>
      <x:c r="F62" s="79" t="str">
        <x:v>255</x:v>
      </x:c>
      <x:c r="G62" s="79" t="str">
        <x:v>Number</x:v>
      </x:c>
      <x:c r="H62" s="79" t="str">
        <x:v>7C4</x:v>
      </x:c>
      <x:c r="I62" s="79" t="str">
        <x:v>PRIUS_GEN3 / ZVW30</x:v>
      </x:c>
      <x:c r="J62" s="79" t="str">
        <x:v>GenIII Prius 4-24-12 (US).csv</x:v>
      </x:c>
      <x:c r="K62" s="79" t="str">
        <x:v>2012-04-24</x:v>
      </x:c>
      <x:c r="L62" s="79" t="str">
        <x:v>READ-ONLY DIAGNOSTIC CANDIDATE</x:v>
      </x:c>
      <x:c r="M62" s="79" t="str">
        <x:v>CANDIDATE</x:v>
      </x:c>
      <x:c r="N62" s="80" t="str">
        <x:v>Older US snapshot retained for change comparison</x:v>
      </x:c>
    </x:row>
    <x:row r="63">
      <x:c r="A63" s="78" t="str">
        <x:v>Air Inlet Damper Actual Pulse</x:v>
      </x:c>
      <x:c r="B63" s="79" t="str">
        <x:v>A/I DAP</x:v>
      </x:c>
      <x:c r="C63" s="79" t="str">
        <x:v>2144</x:v>
      </x:c>
      <x:c r="D63" s="79" t="str">
        <x:v>B</x:v>
      </x:c>
      <x:c r="E63" s="79" t="str">
        <x:v>0</x:v>
      </x:c>
      <x:c r="F63" s="79" t="str">
        <x:v>255</x:v>
      </x:c>
      <x:c r="G63" s="79" t="str">
        <x:v>Number</x:v>
      </x:c>
      <x:c r="H63" s="79" t="str">
        <x:v>7C4</x:v>
      </x:c>
      <x:c r="I63" s="79" t="str">
        <x:v>PRIUS_GEN3 / ZVW30</x:v>
      </x:c>
      <x:c r="J63" s="79" t="str">
        <x:v>GenIII Prius 4-24-12 (US).csv</x:v>
      </x:c>
      <x:c r="K63" s="79" t="str">
        <x:v>2012-04-24</x:v>
      </x:c>
      <x:c r="L63" s="79" t="str">
        <x:v>READ-ONLY DIAGNOSTIC CANDIDATE</x:v>
      </x:c>
      <x:c r="M63" s="79" t="str">
        <x:v>CANDIDATE</x:v>
      </x:c>
      <x:c r="N63" s="80" t="str">
        <x:v>Older US snapshot retained for change comparison</x:v>
      </x:c>
    </x:row>
    <x:row r="64">
      <x:c r="A64" s="78" t="str">
        <x:v>Compressor Speed</x:v>
      </x:c>
      <x:c r="B64" s="79" t="str">
        <x:v>Comp Spd</x:v>
      </x:c>
      <x:c r="C64" s="79" t="str">
        <x:v>2149</x:v>
      </x:c>
      <x:c r="D64" s="79" t="str">
        <x:v>A * 256 + B</x:v>
      </x:c>
      <x:c r="E64" s="79" t="str">
        <x:v>0</x:v>
      </x:c>
      <x:c r="F64" s="79" t="str">
        <x:v>10000</x:v>
      </x:c>
      <x:c r="G64" s="79" t="str">
        <x:v>RPM</x:v>
      </x:c>
      <x:c r="H64" s="79" t="str">
        <x:v>7C4</x:v>
      </x:c>
      <x:c r="I64" s="79" t="str">
        <x:v>PRIUS_GEN3 / ZVW30</x:v>
      </x:c>
      <x:c r="J64" s="79" t="str">
        <x:v>GenIII Prius 4-24-12 (US).csv</x:v>
      </x:c>
      <x:c r="K64" s="79" t="str">
        <x:v>2012-04-24</x:v>
      </x:c>
      <x:c r="L64" s="79" t="str">
        <x:v>READ-ONLY DIAGNOSTIC CANDIDATE</x:v>
      </x:c>
      <x:c r="M64" s="79" t="str">
        <x:v>CANDIDATE</x:v>
      </x:c>
      <x:c r="N64" s="80" t="str">
        <x:v>Older US snapshot retained for change comparison</x:v>
      </x:c>
    </x:row>
    <x:row r="65">
      <x:c r="A65" s="78" t="str">
        <x:v>Compressor Target Speed</x:v>
      </x:c>
      <x:c r="B65" s="79" t="str">
        <x:v>Comp T Spd</x:v>
      </x:c>
      <x:c r="C65" s="79" t="str">
        <x:v>214A</x:v>
      </x:c>
      <x:c r="D65" s="79" t="str">
        <x:v>A * 256 + B</x:v>
      </x:c>
      <x:c r="E65" s="79" t="str">
        <x:v>0</x:v>
      </x:c>
      <x:c r="F65" s="79" t="str">
        <x:v>10000</x:v>
      </x:c>
      <x:c r="G65" s="79" t="str">
        <x:v>RPM</x:v>
      </x:c>
      <x:c r="H65" s="79" t="str">
        <x:v>7C4</x:v>
      </x:c>
      <x:c r="I65" s="79" t="str">
        <x:v>PRIUS_GEN3 / ZVW30</x:v>
      </x:c>
      <x:c r="J65" s="79" t="str">
        <x:v>GenIII Prius 4-24-12 (US).csv</x:v>
      </x:c>
      <x:c r="K65" s="79" t="str">
        <x:v>2012-04-24</x:v>
      </x:c>
      <x:c r="L65" s="79" t="str">
        <x:v>READ-ONLY DIAGNOSTIC CANDIDATE</x:v>
      </x:c>
      <x:c r="M65" s="79" t="str">
        <x:v>CANDIDATE</x:v>
      </x:c>
      <x:c r="N65" s="80" t="str">
        <x:v>Older US snapshot retained for change comparison</x:v>
      </x:c>
    </x:row>
    <x:row r="66">
      <x:c r="A66" s="78" t="str">
        <x:v>Evaporator Fin Thermistor</x:v>
      </x:c>
      <x:c r="B66" s="79" t="str">
        <x:v>Evap Fin</x:v>
      </x:c>
      <x:c r="C66" s="79" t="str">
        <x:v>214B</x:v>
      </x:c>
      <x:c r="D66" s="79" t="str">
        <x:v>A * 160.65 / 255 - 21.46</x:v>
      </x:c>
      <x:c r="E66" s="79" t="str">
        <x:v>-21.46</x:v>
      </x:c>
      <x:c r="F66" s="79" t="str">
        <x:v>139.19</x:v>
      </x:c>
      <x:c r="G66" s="79" t="str">
        <x:v>F</x:v>
      </x:c>
      <x:c r="H66" s="79" t="str">
        <x:v>7C4</x:v>
      </x:c>
      <x:c r="I66" s="79" t="str">
        <x:v>PRIUS_GEN3 / ZVW30</x:v>
      </x:c>
      <x:c r="J66" s="79" t="str">
        <x:v>GenIII Prius 4-24-12 (US).csv</x:v>
      </x:c>
      <x:c r="K66" s="79" t="str">
        <x:v>2012-04-24</x:v>
      </x:c>
      <x:c r="L66" s="79" t="str">
        <x:v>READ-ONLY DIAGNOSTIC CANDIDATE</x:v>
      </x:c>
      <x:c r="M66" s="79" t="str">
        <x:v>CANDIDATE</x:v>
      </x:c>
      <x:c r="N66" s="80" t="str">
        <x:v>Older US snapshot retained for change comparison</x:v>
      </x:c>
    </x:row>
    <x:row r="67">
      <x:c r="A67" s="78" t="str">
        <x:v>Evaporator Target Temp</x:v>
      </x:c>
      <x:c r="B67" s="79" t="str">
        <x:v>Evap Tgt</x:v>
      </x:c>
      <x:c r="C67" s="79" t="str">
        <x:v>214C</x:v>
      </x:c>
      <x:c r="D67" s="79" t="str">
        <x:v>(A * 256 + B) * 9 / 500 - 557.82</x:v>
      </x:c>
      <x:c r="E67" s="79" t="str">
        <x:v>-21.46</x:v>
      </x:c>
      <x:c r="F67" s="79" t="str">
        <x:v>139.19</x:v>
      </x:c>
      <x:c r="G67" s="79" t="str">
        <x:v>F</x:v>
      </x:c>
      <x:c r="H67" s="79" t="str">
        <x:v>7C4</x:v>
      </x:c>
      <x:c r="I67" s="79" t="str">
        <x:v>PRIUS_GEN3 / ZVW30</x:v>
      </x:c>
      <x:c r="J67" s="79" t="str">
        <x:v>GenIII Prius 4-24-12 (US).csv</x:v>
      </x:c>
      <x:c r="K67" s="79" t="str">
        <x:v>2012-04-24</x:v>
      </x:c>
      <x:c r="L67" s="79" t="str">
        <x:v>READ-ONLY DIAGNOSTIC CANDIDATE</x:v>
      </x:c>
      <x:c r="M67" s="79" t="str">
        <x:v>CANDIDATE</x:v>
      </x:c>
      <x:c r="N67" s="80" t="str">
        <x:v>Older US snapshot retained for change comparison</x:v>
      </x:c>
    </x:row>
    <x:row r="68">
      <x:c r="A68" s="78" t="str">
        <x:v>Regulator Pressure Sensor</x:v>
      </x:c>
      <x:c r="B68" s="79" t="str">
        <x:v>Reg Pres</x:v>
      </x:c>
      <x:c r="C68" s="79" t="str">
        <x:v>2153</x:v>
      </x:c>
      <x:c r="D68" s="79" t="str">
        <x:v>(A * 3.75105 / 255 - 0.45668) * 145.0377438972831</x:v>
      </x:c>
      <x:c r="E68" s="79" t="str">
        <x:v>-66.24</x:v>
      </x:c>
      <x:c r="F68" s="79" t="str">
        <x:v>477.81</x:v>
      </x:c>
      <x:c r="G68" s="79" t="str">
        <x:v>PSIG</x:v>
      </x:c>
      <x:c r="H68" s="79" t="str">
        <x:v>7C4</x:v>
      </x:c>
      <x:c r="I68" s="79" t="str">
        <x:v>PRIUS_GEN3 / ZVW30</x:v>
      </x:c>
      <x:c r="J68" s="79" t="str">
        <x:v>GenIII Prius 4-24-12 (US).csv</x:v>
      </x:c>
      <x:c r="K68" s="79" t="str">
        <x:v>2012-04-24</x:v>
      </x:c>
      <x:c r="L68" s="79" t="str">
        <x:v>READ-ONLY DIAGNOSTIC CANDIDATE</x:v>
      </x:c>
      <x:c r="M68" s="79" t="str">
        <x:v>CANDIDATE</x:v>
      </x:c>
      <x:c r="N68" s="80" t="str">
        <x:v>Older US snapshot retained for change comparison</x:v>
      </x:c>
    </x:row>
    <x:row r="69">
      <x:c r="A69" s="78" t="str">
        <x:v>Calculated Load</x:v>
      </x:c>
      <x:c r="B69" s="79" t="str">
        <x:v>Cal'd Load</x:v>
      </x:c>
      <x:c r="C69" s="79" t="str">
        <x:v>2101</x:v>
      </x:c>
      <x:c r="D69" s="79" t="str">
        <x:v>A * 20 / 51</x:v>
      </x:c>
      <x:c r="E69" s="79" t="str">
        <x:v>0</x:v>
      </x:c>
      <x:c r="F69" s="79" t="str">
        <x:v>100</x:v>
      </x:c>
      <x:c r="G69" s="79" t="str">
        <x:v>%</x:v>
      </x:c>
      <x:c r="H69" s="79" t="str">
        <x:v>7E0</x:v>
      </x:c>
      <x:c r="I69" s="79" t="str">
        <x:v>PRIUS_GEN3 / ZVW30</x:v>
      </x:c>
      <x:c r="J69" s="79" t="str">
        <x:v>GenIII Prius 4-24-12 (US).csv</x:v>
      </x:c>
      <x:c r="K69" s="79" t="str">
        <x:v>2012-04-24</x:v>
      </x:c>
      <x:c r="L69" s="79" t="str">
        <x:v>READ-ONLY DIAGNOSTIC CANDIDATE</x:v>
      </x:c>
      <x:c r="M69" s="79" t="str">
        <x:v>CANDIDATE</x:v>
      </x:c>
      <x:c r="N69" s="80" t="str">
        <x:v>Older US snapshot retained for change comparison</x:v>
      </x:c>
    </x:row>
    <x:row r="70">
      <x:c r="A70" s="78" t="str">
        <x:v>Vehicle Load</x:v>
      </x:c>
      <x:c r="B70" s="79" t="str">
        <x:v>Veh Load</x:v>
      </x:c>
      <x:c r="C70" s="79" t="str">
        <x:v>2101</x:v>
      </x:c>
      <x:c r="D70" s="79" t="str">
        <x:v>(B * 256 + C) * 25700 / 65535</x:v>
      </x:c>
      <x:c r="E70" s="79" t="str">
        <x:v>0</x:v>
      </x:c>
      <x:c r="F70" s="79" t="str">
        <x:v>100</x:v>
      </x:c>
      <x:c r="G70" s="79" t="str">
        <x:v>%</x:v>
      </x:c>
      <x:c r="H70" s="79" t="str">
        <x:v>7E0</x:v>
      </x:c>
      <x:c r="I70" s="79" t="str">
        <x:v>PRIUS_GEN3 / ZVW30</x:v>
      </x:c>
      <x:c r="J70" s="79" t="str">
        <x:v>GenIII Prius 4-24-12 (US).csv</x:v>
      </x:c>
      <x:c r="K70" s="79" t="str">
        <x:v>2012-04-24</x:v>
      </x:c>
      <x:c r="L70" s="79" t="str">
        <x:v>READ-ONLY DIAGNOSTIC CANDIDATE</x:v>
      </x:c>
      <x:c r="M70" s="79" t="str">
        <x:v>CANDIDATE</x:v>
      </x:c>
      <x:c r="N70" s="80" t="str">
        <x:v>Older US snapshot retained for change comparison</x:v>
      </x:c>
    </x:row>
    <x:row r="71">
      <x:c r="A71" s="78" t="str">
        <x:v>Mass Air Flow</x:v>
      </x:c>
      <x:c r="B71" s="79" t="str">
        <x:v>MAF</x:v>
      </x:c>
      <x:c r="C71" s="79" t="str">
        <x:v>2101</x:v>
      </x:c>
      <x:c r="D71" s="79" t="str">
        <x:v>(D * 256 + E) / 100</x:v>
      </x:c>
      <x:c r="E71" s="79" t="str">
        <x:v>0</x:v>
      </x:c>
      <x:c r="F71" s="79" t="str">
        <x:v>271</x:v>
      </x:c>
      <x:c r="G71" s="79" t="str">
        <x:v>gm/sec</x:v>
      </x:c>
      <x:c r="H71" s="79" t="str">
        <x:v>7E0</x:v>
      </x:c>
      <x:c r="I71" s="79" t="str">
        <x:v>PRIUS_GEN3 / ZVW30</x:v>
      </x:c>
      <x:c r="J71" s="79" t="str">
        <x:v>GenIII Prius 4-24-12 (US).csv</x:v>
      </x:c>
      <x:c r="K71" s="79" t="str">
        <x:v>2012-04-24</x:v>
      </x:c>
      <x:c r="L71" s="79" t="str">
        <x:v>READ-ONLY DIAGNOSTIC CANDIDATE</x:v>
      </x:c>
      <x:c r="M71" s="79" t="str">
        <x:v>CANDIDATE</x:v>
      </x:c>
      <x:c r="N71" s="80" t="str">
        <x:v>Older US snapshot retained for change comparison</x:v>
      </x:c>
    </x:row>
    <x:row r="72">
      <x:c r="A72" s="78" t="str">
        <x:v>Manifold Air Pressure</x:v>
      </x:c>
      <x:c r="B72" s="79" t="str">
        <x:v>MAP</x:v>
      </x:c>
      <x:c r="C72" s="79" t="str">
        <x:v>2101</x:v>
      </x:c>
      <x:c r="D72" s="79" t="str">
        <x:v>F * 1913 / 255</x:v>
      </x:c>
      <x:c r="E72" s="79" t="str">
        <x:v>0</x:v>
      </x:c>
      <x:c r="F72" s="79" t="str">
        <x:v>1913</x:v>
      </x:c>
      <x:c r="G72" s="79" t="str">
        <x:v>mmHg</x:v>
      </x:c>
      <x:c r="H72" s="79" t="str">
        <x:v>7E0</x:v>
      </x:c>
      <x:c r="I72" s="79" t="str">
        <x:v>PRIUS_GEN3 / ZVW30</x:v>
      </x:c>
      <x:c r="J72" s="79" t="str">
        <x:v>GenIII Prius 4-24-12 (US).csv</x:v>
      </x:c>
      <x:c r="K72" s="79" t="str">
        <x:v>2012-04-24</x:v>
      </x:c>
      <x:c r="L72" s="79" t="str">
        <x:v>READ-ONLY DIAGNOSTIC CANDIDATE</x:v>
      </x:c>
      <x:c r="M72" s="79" t="str">
        <x:v>CANDIDATE</x:v>
      </x:c>
      <x:c r="N72" s="80" t="str">
        <x:v>Older US snapshot retained for change comparison</x:v>
      </x:c>
    </x:row>
    <x:row r="73">
      <x:c r="A73" s="78" t="str">
        <x:v>Intake air temperature</x:v>
      </x:c>
      <x:c r="B73" s="79" t="str">
        <x:v>IAT</x:v>
      </x:c>
      <x:c r="C73" s="79" t="str">
        <x:v>2101</x:v>
      </x:c>
      <x:c r="D73" s="79" t="str">
        <x:v>G * 9 / 5 - 40</x:v>
      </x:c>
      <x:c r="E73" s="79" t="str">
        <x:v>-40</x:v>
      </x:c>
      <x:c r="F73" s="79" t="str">
        <x:v>140</x:v>
      </x:c>
      <x:c r="G73" s="79" t="str">
        <x:v>F</x:v>
      </x:c>
      <x:c r="H73" s="79" t="str">
        <x:v>7E0</x:v>
      </x:c>
      <x:c r="I73" s="79" t="str">
        <x:v>PRIUS_GEN3 / ZVW30</x:v>
      </x:c>
      <x:c r="J73" s="79" t="str">
        <x:v>GenIII Prius 4-24-12 (US).csv</x:v>
      </x:c>
      <x:c r="K73" s="79" t="str">
        <x:v>2012-04-24</x:v>
      </x:c>
      <x:c r="L73" s="79" t="str">
        <x:v>READ-ONLY DIAGNOSTIC CANDIDATE</x:v>
      </x:c>
      <x:c r="M73" s="79" t="str">
        <x:v>CANDIDATE</x:v>
      </x:c>
      <x:c r="N73" s="80" t="str">
        <x:v>Older US snapshot retained for change comparison</x:v>
      </x:c>
    </x:row>
    <x:row r="74">
      <x:c r="A74" s="78" t="str">
        <x:v>Atmosphere pressure</x:v>
      </x:c>
      <x:c r="B74" s="79" t="str">
        <x:v>AtmPres</x:v>
      </x:c>
      <x:c r="C74" s="79" t="str">
        <x:v>2101</x:v>
      </x:c>
      <x:c r="D74" s="79" t="str">
        <x:v>H * 1913 / 255</x:v>
      </x:c>
      <x:c r="E74" s="79" t="str">
        <x:v>0</x:v>
      </x:c>
      <x:c r="F74" s="79" t="str">
        <x:v>1913</x:v>
      </x:c>
      <x:c r="G74" s="79" t="str">
        <x:v>mmHg</x:v>
      </x:c>
      <x:c r="H74" s="79" t="str">
        <x:v>7E0</x:v>
      </x:c>
      <x:c r="I74" s="79" t="str">
        <x:v>PRIUS_GEN3 / ZVW30</x:v>
      </x:c>
      <x:c r="J74" s="79" t="str">
        <x:v>GenIII Prius 4-24-12 (US).csv</x:v>
      </x:c>
      <x:c r="K74" s="79" t="str">
        <x:v>2012-04-24</x:v>
      </x:c>
      <x:c r="L74" s="79" t="str">
        <x:v>READ-ONLY DIAGNOSTIC CANDIDATE</x:v>
      </x:c>
      <x:c r="M74" s="79" t="str">
        <x:v>CANDIDATE</x:v>
      </x:c>
      <x:c r="N74" s="80" t="str">
        <x:v>Older US snapshot retained for change comparison</x:v>
      </x:c>
    </x:row>
    <x:row r="75">
      <x:c r="A75" s="78" t="str">
        <x:v>Coolant temperature</x:v>
      </x:c>
      <x:c r="B75" s="79" t="str">
        <x:v>Coolant</x:v>
      </x:c>
      <x:c r="C75" s="79" t="str">
        <x:v>2101</x:v>
      </x:c>
      <x:c r="D75" s="79" t="str">
        <x:v>I * 9 / 5 - 40</x:v>
      </x:c>
      <x:c r="E75" s="79" t="str">
        <x:v>-40</x:v>
      </x:c>
      <x:c r="F75" s="79" t="str">
        <x:v>250</x:v>
      </x:c>
      <x:c r="G75" s="79" t="str">
        <x:v>F</x:v>
      </x:c>
      <x:c r="H75" s="79" t="str">
        <x:v>7E0</x:v>
      </x:c>
      <x:c r="I75" s="79" t="str">
        <x:v>PRIUS_GEN3 / ZVW30</x:v>
      </x:c>
      <x:c r="J75" s="79" t="str">
        <x:v>GenIII Prius 4-24-12 (US).csv</x:v>
      </x:c>
      <x:c r="K75" s="79" t="str">
        <x:v>2012-04-24</x:v>
      </x:c>
      <x:c r="L75" s="79" t="str">
        <x:v>READ-ONLY DIAGNOSTIC CANDIDATE</x:v>
      </x:c>
      <x:c r="M75" s="79" t="str">
        <x:v>CANDIDATE</x:v>
      </x:c>
      <x:c r="N75" s="80" t="str">
        <x:v>Older US snapshot retained for change comparison</x:v>
      </x:c>
    </x:row>
    <x:row r="76">
      <x:c r="A76" s="78" t="str">
        <x:v>Engine Speed</x:v>
      </x:c>
      <x:c r="B76" s="79" t="str">
        <x:v>RPM</x:v>
      </x:c>
      <x:c r="C76" s="79" t="str">
        <x:v>2101</x:v>
      </x:c>
      <x:c r="D76" s="79" t="str">
        <x:v>(J * 256 + K) / 4</x:v>
      </x:c>
      <x:c r="E76" s="79" t="str">
        <x:v>0</x:v>
      </x:c>
      <x:c r="F76" s="79" t="str">
        <x:v>6000</x:v>
      </x:c>
      <x:c r="G76" s="79" t="str">
        <x:v>RPM</x:v>
      </x:c>
      <x:c r="H76" s="79" t="str">
        <x:v>7E0</x:v>
      </x:c>
      <x:c r="I76" s="79" t="str">
        <x:v>PRIUS_GEN3 / ZVW30</x:v>
      </x:c>
      <x:c r="J76" s="79" t="str">
        <x:v>GenIII Prius 4-24-12 (US).csv</x:v>
      </x:c>
      <x:c r="K76" s="79" t="str">
        <x:v>2012-04-24</x:v>
      </x:c>
      <x:c r="L76" s="79" t="str">
        <x:v>READ-ONLY DIAGNOSTIC CANDIDATE</x:v>
      </x:c>
      <x:c r="M76" s="79" t="str">
        <x:v>CANDIDATE</x:v>
      </x:c>
      <x:c r="N76" s="80" t="str">
        <x:v>Older US snapshot retained for change comparison</x:v>
      </x:c>
    </x:row>
    <x:row r="77">
      <x:c r="A77" s="78" t="str">
        <x:v>Vehicle Speed</x:v>
      </x:c>
      <x:c r="B77" s="79" t="str">
        <x:v>MPH</x:v>
      </x:c>
      <x:c r="C77" s="79" t="str">
        <x:v>2101</x:v>
      </x:c>
      <x:c r="D77" s="79" t="str">
        <x:v>L * 15625 / 25146</x:v>
      </x:c>
      <x:c r="E77" s="79" t="str">
        <x:v>0</x:v>
      </x:c>
      <x:c r="F77" s="79" t="str">
        <x:v>100</x:v>
      </x:c>
      <x:c r="G77" s="79" t="str">
        <x:v>mph</x:v>
      </x:c>
      <x:c r="H77" s="79" t="str">
        <x:v>7E0</x:v>
      </x:c>
      <x:c r="I77" s="79" t="str">
        <x:v>PRIUS_GEN3 / ZVW30</x:v>
      </x:c>
      <x:c r="J77" s="79" t="str">
        <x:v>GenIII Prius 4-24-12 (US).csv</x:v>
      </x:c>
      <x:c r="K77" s="79" t="str">
        <x:v>2012-04-24</x:v>
      </x:c>
      <x:c r="L77" s="79" t="str">
        <x:v>READ-ONLY DIAGNOSTIC CANDIDATE</x:v>
      </x:c>
      <x:c r="M77" s="79" t="str">
        <x:v>CANDIDATE</x:v>
      </x:c>
      <x:c r="N77" s="80" t="str">
        <x:v>Older US snapshot retained for change comparison</x:v>
      </x:c>
    </x:row>
    <x:row r="78">
      <x:c r="A78" s="78" t="str">
        <x:v>Engine Run Time</x:v>
      </x:c>
      <x:c r="B78" s="79" t="str">
        <x:v>Ign Time</x:v>
      </x:c>
      <x:c r="C78" s="79" t="str">
        <x:v>2101</x:v>
      </x:c>
      <x:c r="D78" s="79" t="str">
        <x:v>M * 256 + N</x:v>
      </x:c>
      <x:c r="E78" s="79" t="str">
        <x:v>0</x:v>
      </x:c>
      <x:c r="F78" s="79" t="str">
        <x:v>65535</x:v>
      </x:c>
      <x:c r="G78" s="79" t="str">
        <x:v>sec.</x:v>
      </x:c>
      <x:c r="H78" s="79" t="str">
        <x:v>7E0</x:v>
      </x:c>
      <x:c r="I78" s="79" t="str">
        <x:v>PRIUS_GEN3 / ZVW30</x:v>
      </x:c>
      <x:c r="J78" s="79" t="str">
        <x:v>GenIII Prius 4-24-12 (US).csv</x:v>
      </x:c>
      <x:c r="K78" s="79" t="str">
        <x:v>2012-04-24</x:v>
      </x:c>
      <x:c r="L78" s="79" t="str">
        <x:v>READ-ONLY DIAGNOSTIC CANDIDATE</x:v>
      </x:c>
      <x:c r="M78" s="79" t="str">
        <x:v>CANDIDATE</x:v>
      </x:c>
      <x:c r="N78" s="80" t="str">
        <x:v>Older US snapshot retained for change comparison</x:v>
      </x:c>
    </x:row>
    <x:row r="79">
      <x:c r="A79" s="78" t="str">
        <x:v>Injection volume (Cylinder 1) for 10 times</x:v>
      </x:c>
      <x:c r="B79" s="79" t="str">
        <x:v>Inj Vol</x:v>
      </x:c>
      <x:c r="C79" s="79" t="str">
        <x:v>213C</x:v>
      </x:c>
      <x:c r="D79" s="79" t="str">
        <x:v>(A * 256 + B) * 0.0692173044706726 / 65535</x:v>
      </x:c>
      <x:c r="E79" s="79" t="str">
        <x:v>0</x:v>
      </x:c>
      <x:c r="F79" s="79" t="str">
        <x:v>0.069217304470673</x:v>
      </x:c>
      <x:c r="G79" s="79" t="str">
        <x:v>fl oz</x:v>
      </x:c>
      <x:c r="H79" s="79" t="str">
        <x:v>7E0</x:v>
      </x:c>
      <x:c r="I79" s="79" t="str">
        <x:v>PRIUS_GEN3 / ZVW30</x:v>
      </x:c>
      <x:c r="J79" s="79" t="str">
        <x:v>GenIII Prius 4-24-12 (US).csv</x:v>
      </x:c>
      <x:c r="K79" s="79" t="str">
        <x:v>2012-04-24</x:v>
      </x:c>
      <x:c r="L79" s="79" t="str">
        <x:v>READ-ONLY DIAGNOSTIC CANDIDATE</x:v>
      </x:c>
      <x:c r="M79" s="79" t="str">
        <x:v>CANDIDATE</x:v>
      </x:c>
      <x:c r="N79" s="80" t="str">
        <x:v>Older US snapshot retained for change comparison</x:v>
      </x:c>
    </x:row>
    <x:row r="80">
      <x:c r="A80" s="78" t="str">
        <x:v>Injection duration for cylinder 1</x:v>
      </x:c>
      <x:c r="B80" s="79" t="str">
        <x:v>Inj Dur</x:v>
      </x:c>
      <x:c r="C80" s="79" t="str">
        <x:v>213C</x:v>
      </x:c>
      <x:c r="D80" s="79" t="str">
        <x:v>C * 256 + D</x:v>
      </x:c>
      <x:c r="E80" s="79" t="str">
        <x:v>0</x:v>
      </x:c>
      <x:c r="F80" s="79" t="str">
        <x:v>65535</x:v>
      </x:c>
      <x:c r="G80" s="79" t="str">
        <x:v>micro sec.</x:v>
      </x:c>
      <x:c r="H80" s="79" t="str">
        <x:v>7E0</x:v>
      </x:c>
      <x:c r="I80" s="79" t="str">
        <x:v>PRIUS_GEN3 / ZVW30</x:v>
      </x:c>
      <x:c r="J80" s="79" t="str">
        <x:v>GenIII Prius 4-24-12 (US).csv</x:v>
      </x:c>
      <x:c r="K80" s="79" t="str">
        <x:v>2012-04-24</x:v>
      </x:c>
      <x:c r="L80" s="79" t="str">
        <x:v>READ-ONLY DIAGNOSTIC CANDIDATE</x:v>
      </x:c>
      <x:c r="M80" s="79" t="str">
        <x:v>CANDIDATE</x:v>
      </x:c>
      <x:c r="N80" s="80" t="str">
        <x:v>Older US snapshot retained for change comparison</x:v>
      </x:c>
    </x:row>
    <x:row r="81">
      <x:c r="A81" s="78" t="str">
        <x:v>Actual Engine Torque</x:v>
      </x:c>
      <x:c r="B81" s="79" t="str">
        <x:v>ActEngTorq</x:v>
      </x:c>
      <x:c r="C81" s="79" t="str">
        <x:v>2149</x:v>
      </x:c>
      <x:c r="D81" s="79" t="str">
        <x:v>((D * 256 + E) - 32768) * 0.7375621</x:v>
      </x:c>
      <x:c r="E81" s="79" t="str">
        <x:v>0</x:v>
      </x:c>
      <x:c r="F81" s="79" t="str">
        <x:v>110</x:v>
      </x:c>
      <x:c r="G81" s="79" t="str">
        <x:v>ft�lb</x:v>
      </x:c>
      <x:c r="H81" s="79" t="str">
        <x:v>7E0</x:v>
      </x:c>
      <x:c r="I81" s="79" t="str">
        <x:v>PRIUS_GEN3 / ZVW30</x:v>
      </x:c>
      <x:c r="J81" s="79" t="str">
        <x:v>GenIII Prius 4-24-12 (US).csv</x:v>
      </x:c>
      <x:c r="K81" s="79" t="str">
        <x:v>2012-04-24</x:v>
      </x:c>
      <x:c r="L81" s="79" t="str">
        <x:v>READ-ONLY DIAGNOSTIC CANDIDATE</x:v>
      </x:c>
      <x:c r="M81" s="79" t="str">
        <x:v>CANDIDATE</x:v>
      </x:c>
      <x:c r="N81" s="80" t="str">
        <x:v>Older US snapshot retained for change comparison</x:v>
      </x:c>
    </x:row>
    <x:row r="82">
      <x:c r="A82" s="78" t="str">
        <x:v>State of Charge</x:v>
      </x:c>
      <x:c r="B82" s="79" t="str">
        <x:v>SoC</x:v>
      </x:c>
      <x:c r="C82" s="79" t="str">
        <x:v>015B</x:v>
      </x:c>
      <x:c r="D82" s="79" t="str">
        <x:v>A * 20 / 51</x:v>
      </x:c>
      <x:c r="E82" s="79" t="str">
        <x:v>30</x:v>
      </x:c>
      <x:c r="F82" s="79" t="str">
        <x:v>90</x:v>
      </x:c>
      <x:c r="G82" s="79" t="str">
        <x:v>%</x:v>
      </x:c>
      <x:c r="H82" s="79" t="str">
        <x:v>7E2</x:v>
      </x:c>
      <x:c r="I82" s="79" t="str">
        <x:v>PRIUS_GEN3 / ZVW30</x:v>
      </x:c>
      <x:c r="J82" s="79" t="str">
        <x:v>GenIII Prius 4-24-12 (US).csv</x:v>
      </x:c>
      <x:c r="K82" s="79" t="str">
        <x:v>2012-04-24</x:v>
      </x:c>
      <x:c r="L82" s="79" t="str">
        <x:v>READ-ONLY DIAGNOSTIC CANDIDATE</x:v>
      </x:c>
      <x:c r="M82" s="79" t="str">
        <x:v>CANDIDATE</x:v>
      </x:c>
      <x:c r="N82" s="80" t="str">
        <x:v>Older US snapshot retained for change comparison</x:v>
      </x:c>
    </x:row>
    <x:row r="83">
      <x:c r="A83" s="78" t="str">
        <x:v>Calculated Load</x:v>
      </x:c>
      <x:c r="B83" s="79" t="str">
        <x:v>cal'd load</x:v>
      </x:c>
      <x:c r="C83" s="79" t="str">
        <x:v>2101</x:v>
      </x:c>
      <x:c r="D83" s="79" t="str">
        <x:v>A * 20 / 51</x:v>
      </x:c>
      <x:c r="E83" s="79" t="str">
        <x:v>0</x:v>
      </x:c>
      <x:c r="F83" s="79" t="str">
        <x:v>100</x:v>
      </x:c>
      <x:c r="G83" s="79" t="str">
        <x:v>%</x:v>
      </x:c>
      <x:c r="H83" s="79" t="str">
        <x:v>7E2</x:v>
      </x:c>
      <x:c r="I83" s="79" t="str">
        <x:v>PRIUS_GEN3 / ZVW30</x:v>
      </x:c>
      <x:c r="J83" s="79" t="str">
        <x:v>GenIII Prius 4-24-12 (US).csv</x:v>
      </x:c>
      <x:c r="K83" s="79" t="str">
        <x:v>2012-04-24</x:v>
      </x:c>
      <x:c r="L83" s="79" t="str">
        <x:v>READ-ONLY DIAGNOSTIC CANDIDATE</x:v>
      </x:c>
      <x:c r="M83" s="79" t="str">
        <x:v>CANDIDATE</x:v>
      </x:c>
      <x:c r="N83" s="80" t="str">
        <x:v>Older US snapshot retained for change comparison</x:v>
      </x:c>
    </x:row>
    <x:row r="84">
      <x:c r="A84" s="78" t="str">
        <x:v>Manifold Air Pressure</x:v>
      </x:c>
      <x:c r="B84" s="79" t="str">
        <x:v>map</x:v>
      </x:c>
      <x:c r="C84" s="79" t="str">
        <x:v>2101</x:v>
      </x:c>
      <x:c r="D84" s="79" t="str">
        <x:v>B * 1913 / 255</x:v>
      </x:c>
      <x:c r="E84" s="79" t="str">
        <x:v>0</x:v>
      </x:c>
      <x:c r="F84" s="79" t="str">
        <x:v>1913</x:v>
      </x:c>
      <x:c r="G84" s="79" t="str">
        <x:v>mmHg</x:v>
      </x:c>
      <x:c r="H84" s="79" t="str">
        <x:v>7E2</x:v>
      </x:c>
      <x:c r="I84" s="79" t="str">
        <x:v>PRIUS_GEN3 / ZVW30</x:v>
      </x:c>
      <x:c r="J84" s="79" t="str">
        <x:v>GenIII Prius 4-24-12 (US).csv</x:v>
      </x:c>
      <x:c r="K84" s="79" t="str">
        <x:v>2012-04-24</x:v>
      </x:c>
      <x:c r="L84" s="79" t="str">
        <x:v>READ-ONLY DIAGNOSTIC CANDIDATE</x:v>
      </x:c>
      <x:c r="M84" s="79" t="str">
        <x:v>CANDIDATE</x:v>
      </x:c>
      <x:c r="N84" s="80" t="str">
        <x:v>Older US snapshot retained for change comparison</x:v>
      </x:c>
    </x:row>
    <x:row r="85">
      <x:c r="A85" s="78" t="str">
        <x:v>Intake air temperature</x:v>
      </x:c>
      <x:c r="B85" s="79" t="str">
        <x:v>iat</x:v>
      </x:c>
      <x:c r="C85" s="79" t="str">
        <x:v>2101</x:v>
      </x:c>
      <x:c r="D85" s="79" t="str">
        <x:v>C * 9 / 5 - 40</x:v>
      </x:c>
      <x:c r="E85" s="79" t="str">
        <x:v>-40</x:v>
      </x:c>
      <x:c r="F85" s="79" t="str">
        <x:v>140</x:v>
      </x:c>
      <x:c r="G85" s="79" t="str">
        <x:v>F</x:v>
      </x:c>
      <x:c r="H85" s="79" t="str">
        <x:v>7E2</x:v>
      </x:c>
      <x:c r="I85" s="79" t="str">
        <x:v>PRIUS_GEN3 / ZVW30</x:v>
      </x:c>
      <x:c r="J85" s="79" t="str">
        <x:v>GenIII Prius 4-24-12 (US).csv</x:v>
      </x:c>
      <x:c r="K85" s="79" t="str">
        <x:v>2012-04-24</x:v>
      </x:c>
      <x:c r="L85" s="79" t="str">
        <x:v>READ-ONLY DIAGNOSTIC CANDIDATE</x:v>
      </x:c>
      <x:c r="M85" s="79" t="str">
        <x:v>CANDIDATE</x:v>
      </x:c>
      <x:c r="N85" s="80" t="str">
        <x:v>Older US snapshot retained for change comparison</x:v>
      </x:c>
    </x:row>
    <x:row r="86">
      <x:c r="A86" s="78" t="str">
        <x:v>Ambient Temperature</x:v>
      </x:c>
      <x:c r="B86" s="79" t="str">
        <x:v>ambient</x:v>
      </x:c>
      <x:c r="C86" s="79" t="str">
        <x:v>2101</x:v>
      </x:c>
      <x:c r="D86" s="79" t="str">
        <x:v>D * 9 / 5 - 40</x:v>
      </x:c>
      <x:c r="E86" s="79" t="str">
        <x:v>-40</x:v>
      </x:c>
      <x:c r="F86" s="79" t="str">
        <x:v>140</x:v>
      </x:c>
      <x:c r="G86" s="79" t="str">
        <x:v>F</x:v>
      </x:c>
      <x:c r="H86" s="79" t="str">
        <x:v>7E2</x:v>
      </x:c>
      <x:c r="I86" s="79" t="str">
        <x:v>PRIUS_GEN3 / ZVW30</x:v>
      </x:c>
      <x:c r="J86" s="79" t="str">
        <x:v>GenIII Prius 4-24-12 (US).csv</x:v>
      </x:c>
      <x:c r="K86" s="79" t="str">
        <x:v>2012-04-24</x:v>
      </x:c>
      <x:c r="L86" s="79" t="str">
        <x:v>READ-ONLY DIAGNOSTIC CANDIDATE</x:v>
      </x:c>
      <x:c r="M86" s="79" t="str">
        <x:v>CANDIDATE</x:v>
      </x:c>
      <x:c r="N86" s="80" t="str">
        <x:v>Older US snapshot retained for change comparison</x:v>
      </x:c>
    </x:row>
    <x:row r="87">
      <x:c r="A87" s="78" t="str">
        <x:v>Atmosphere pressure</x:v>
      </x:c>
      <x:c r="B87" s="79" t="str">
        <x:v>atmpres</x:v>
      </x:c>
      <x:c r="C87" s="79" t="str">
        <x:v>2101</x:v>
      </x:c>
      <x:c r="D87" s="79" t="str">
        <x:v>E * 1913 / 255</x:v>
      </x:c>
      <x:c r="E87" s="79" t="str">
        <x:v>0</x:v>
      </x:c>
      <x:c r="F87" s="79" t="str">
        <x:v>1913</x:v>
      </x:c>
      <x:c r="G87" s="79" t="str">
        <x:v>mmHg</x:v>
      </x:c>
      <x:c r="H87" s="79" t="str">
        <x:v>7E2</x:v>
      </x:c>
      <x:c r="I87" s="79" t="str">
        <x:v>PRIUS_GEN3 / ZVW30</x:v>
      </x:c>
      <x:c r="J87" s="79" t="str">
        <x:v>GenIII Prius 4-24-12 (US).csv</x:v>
      </x:c>
      <x:c r="K87" s="79" t="str">
        <x:v>2012-04-24</x:v>
      </x:c>
      <x:c r="L87" s="79" t="str">
        <x:v>READ-ONLY DIAGNOSTIC CANDIDATE</x:v>
      </x:c>
      <x:c r="M87" s="79" t="str">
        <x:v>CANDIDATE</x:v>
      </x:c>
      <x:c r="N87" s="80" t="str">
        <x:v>Older US snapshot retained for change comparison</x:v>
      </x:c>
    </x:row>
    <x:row r="88">
      <x:c r="A88" s="78" t="str">
        <x:v>Engine Coolant temperature</x:v>
      </x:c>
      <x:c r="B88" s="79" t="str">
        <x:v>coolant</x:v>
      </x:c>
      <x:c r="C88" s="79" t="str">
        <x:v>2101</x:v>
      </x:c>
      <x:c r="D88" s="79" t="str">
        <x:v>F * 9 / 5 - 40</x:v>
      </x:c>
      <x:c r="E88" s="79" t="str">
        <x:v>-40</x:v>
      </x:c>
      <x:c r="F88" s="79" t="str">
        <x:v>250</x:v>
      </x:c>
      <x:c r="G88" s="79" t="str">
        <x:v>F</x:v>
      </x:c>
      <x:c r="H88" s="79" t="str">
        <x:v>7E2</x:v>
      </x:c>
      <x:c r="I88" s="79" t="str">
        <x:v>PRIUS_GEN3 / ZVW30</x:v>
      </x:c>
      <x:c r="J88" s="79" t="str">
        <x:v>GenIII Prius 4-24-12 (US).csv</x:v>
      </x:c>
      <x:c r="K88" s="79" t="str">
        <x:v>2012-04-24</x:v>
      </x:c>
      <x:c r="L88" s="79" t="str">
        <x:v>READ-ONLY DIAGNOSTIC CANDIDATE</x:v>
      </x:c>
      <x:c r="M88" s="79" t="str">
        <x:v>CANDIDATE</x:v>
      </x:c>
      <x:c r="N88" s="80" t="str">
        <x:v>Older US snapshot retained for change comparison</x:v>
      </x:c>
    </x:row>
    <x:row r="89">
      <x:c r="A89" s="78" t="str">
        <x:v>Engine Speed</x:v>
      </x:c>
      <x:c r="B89" s="79" t="str">
        <x:v>rpm</x:v>
      </x:c>
      <x:c r="C89" s="79" t="str">
        <x:v>2101</x:v>
      </x:c>
      <x:c r="D89" s="79" t="str">
        <x:v>(G * 256 + H) / 4</x:v>
      </x:c>
      <x:c r="E89" s="79" t="str">
        <x:v>0</x:v>
      </x:c>
      <x:c r="F89" s="79" t="str">
        <x:v>6000</x:v>
      </x:c>
      <x:c r="G89" s="79" t="str">
        <x:v>RPM</x:v>
      </x:c>
      <x:c r="H89" s="79" t="str">
        <x:v>7E2</x:v>
      </x:c>
      <x:c r="I89" s="79" t="str">
        <x:v>PRIUS_GEN3 / ZVW30</x:v>
      </x:c>
      <x:c r="J89" s="79" t="str">
        <x:v>GenIII Prius 4-24-12 (US).csv</x:v>
      </x:c>
      <x:c r="K89" s="79" t="str">
        <x:v>2012-04-24</x:v>
      </x:c>
      <x:c r="L89" s="79" t="str">
        <x:v>READ-ONLY DIAGNOSTIC CANDIDATE</x:v>
      </x:c>
      <x:c r="M89" s="79" t="str">
        <x:v>CANDIDATE</x:v>
      </x:c>
      <x:c r="N89" s="80" t="str">
        <x:v>Older US snapshot retained for change comparison</x:v>
      </x:c>
    </x:row>
    <x:row r="90">
      <x:c r="A90" s="78" t="str">
        <x:v>Vehicle Speed</x:v>
      </x:c>
      <x:c r="B90" s="79" t="str">
        <x:v>mph</x:v>
      </x:c>
      <x:c r="C90" s="79" t="str">
        <x:v>2101</x:v>
      </x:c>
      <x:c r="D90" s="79" t="str">
        <x:v>I * 15625 / 25146</x:v>
      </x:c>
      <x:c r="E90" s="79" t="str">
        <x:v>0</x:v>
      </x:c>
      <x:c r="F90" s="79" t="str">
        <x:v>100</x:v>
      </x:c>
      <x:c r="G90" s="79" t="str">
        <x:v>mph</x:v>
      </x:c>
      <x:c r="H90" s="79" t="str">
        <x:v>7E2</x:v>
      </x:c>
      <x:c r="I90" s="79" t="str">
        <x:v>PRIUS_GEN3 / ZVW30</x:v>
      </x:c>
      <x:c r="J90" s="79" t="str">
        <x:v>GenIII Prius 4-24-12 (US).csv</x:v>
      </x:c>
      <x:c r="K90" s="79" t="str">
        <x:v>2012-04-24</x:v>
      </x:c>
      <x:c r="L90" s="79" t="str">
        <x:v>READ-ONLY DIAGNOSTIC CANDIDATE</x:v>
      </x:c>
      <x:c r="M90" s="79" t="str">
        <x:v>CANDIDATE</x:v>
      </x:c>
      <x:c r="N90" s="80" t="str">
        <x:v>Older US snapshot retained for change comparison</x:v>
      </x:c>
    </x:row>
    <x:row r="91">
      <x:c r="A91" s="78" t="str">
        <x:v>Engine Run Time</x:v>
      </x:c>
      <x:c r="B91" s="79" t="str">
        <x:v>ign time</x:v>
      </x:c>
      <x:c r="C91" s="79" t="str">
        <x:v>2101</x:v>
      </x:c>
      <x:c r="D91" s="79" t="str">
        <x:v>J * 256 + K</x:v>
      </x:c>
      <x:c r="E91" s="79" t="str">
        <x:v>0</x:v>
      </x:c>
      <x:c r="F91" s="79" t="str">
        <x:v>65535</x:v>
      </x:c>
      <x:c r="G91" s="79" t="str">
        <x:v>sec.</x:v>
      </x:c>
      <x:c r="H91" s="79" t="str">
        <x:v>7E2</x:v>
      </x:c>
      <x:c r="I91" s="79" t="str">
        <x:v>PRIUS_GEN3 / ZVW30</x:v>
      </x:c>
      <x:c r="J91" s="79" t="str">
        <x:v>GenIII Prius 4-24-12 (US).csv</x:v>
      </x:c>
      <x:c r="K91" s="79" t="str">
        <x:v>2012-04-24</x:v>
      </x:c>
      <x:c r="L91" s="79" t="str">
        <x:v>READ-ONLY DIAGNOSTIC CANDIDATE</x:v>
      </x:c>
      <x:c r="M91" s="79" t="str">
        <x:v>CANDIDATE</x:v>
      </x:c>
      <x:c r="N91" s="80" t="str">
        <x:v>Older US snapshot retained for change comparison</x:v>
      </x:c>
    </x:row>
    <x:row r="92">
      <x:c r="A92" s="78" t="str">
        <x:v>Throttle Position</x:v>
      </x:c>
      <x:c r="B92" s="79" t="str">
        <x:v>Throttle</x:v>
      </x:c>
      <x:c r="C92" s="79" t="str">
        <x:v>2101</x:v>
      </x:c>
      <x:c r="D92" s="79" t="str">
        <x:v>L * 20 / 51</x:v>
      </x:c>
      <x:c r="E92" s="79" t="str">
        <x:v>0</x:v>
      </x:c>
      <x:c r="F92" s="79" t="str">
        <x:v>100</x:v>
      </x:c>
      <x:c r="G92" s="79" t="str">
        <x:v>%</x:v>
      </x:c>
      <x:c r="H92" s="79" t="str">
        <x:v>7E2</x:v>
      </x:c>
      <x:c r="I92" s="79" t="str">
        <x:v>PRIUS_GEN3 / ZVW30</x:v>
      </x:c>
      <x:c r="J92" s="79" t="str">
        <x:v>GenIII Prius 4-24-12 (US).csv</x:v>
      </x:c>
      <x:c r="K92" s="79" t="str">
        <x:v>2012-04-24</x:v>
      </x:c>
      <x:c r="L92" s="79" t="str">
        <x:v>READ-ONLY DIAGNOSTIC CANDIDATE</x:v>
      </x:c>
      <x:c r="M92" s="79" t="str">
        <x:v>CANDIDATE</x:v>
      </x:c>
      <x:c r="N92" s="80" t="str">
        <x:v>Older US snapshot retained for change comparison</x:v>
      </x:c>
    </x:row>
    <x:row r="93">
      <x:c r="A93" s="78" t="str">
        <x:v>Accel Pedal Pos #1</x:v>
      </x:c>
      <x:c r="B93" s="79" t="str">
        <x:v>AP1</x:v>
      </x:c>
      <x:c r="C93" s="79" t="str">
        <x:v>2101</x:v>
      </x:c>
      <x:c r="D93" s="79" t="str">
        <x:v>M * 20 / 51</x:v>
      </x:c>
      <x:c r="E93" s="79" t="str">
        <x:v>0</x:v>
      </x:c>
      <x:c r="F93" s="79" t="str">
        <x:v>100</x:v>
      </x:c>
      <x:c r="G93" s="79" t="str">
        <x:v>%</x:v>
      </x:c>
      <x:c r="H93" s="79" t="str">
        <x:v>7E2</x:v>
      </x:c>
      <x:c r="I93" s="79" t="str">
        <x:v>PRIUS_GEN3 / ZVW30</x:v>
      </x:c>
      <x:c r="J93" s="79" t="str">
        <x:v>GenIII Prius 4-24-12 (US).csv</x:v>
      </x:c>
      <x:c r="K93" s="79" t="str">
        <x:v>2012-04-24</x:v>
      </x:c>
      <x:c r="L93" s="79" t="str">
        <x:v>READ-ONLY DIAGNOSTIC CANDIDATE</x:v>
      </x:c>
      <x:c r="M93" s="79" t="str">
        <x:v>CANDIDATE</x:v>
      </x:c>
      <x:c r="N93" s="80" t="str">
        <x:v>Older US snapshot retained for change comparison</x:v>
      </x:c>
    </x:row>
    <x:row r="94">
      <x:c r="A94" s="78" t="str">
        <x:v>Accel Pedal Pos #2</x:v>
      </x:c>
      <x:c r="B94" s="79" t="str">
        <x:v>AP2</x:v>
      </x:c>
      <x:c r="C94" s="79" t="str">
        <x:v>2101</x:v>
      </x:c>
      <x:c r="D94" s="79" t="str">
        <x:v>N * 20 / 51</x:v>
      </x:c>
      <x:c r="E94" s="79" t="str">
        <x:v>0</x:v>
      </x:c>
      <x:c r="F94" s="79" t="str">
        <x:v>100</x:v>
      </x:c>
      <x:c r="G94" s="79" t="str">
        <x:v>%</x:v>
      </x:c>
      <x:c r="H94" s="79" t="str">
        <x:v>7E2</x:v>
      </x:c>
      <x:c r="I94" s="79" t="str">
        <x:v>PRIUS_GEN3 / ZVW30</x:v>
      </x:c>
      <x:c r="J94" s="79" t="str">
        <x:v>GenIII Prius 4-24-12 (US).csv</x:v>
      </x:c>
      <x:c r="K94" s="79" t="str">
        <x:v>2012-04-24</x:v>
      </x:c>
      <x:c r="L94" s="79" t="str">
        <x:v>READ-ONLY DIAGNOSTIC CANDIDATE</x:v>
      </x:c>
      <x:c r="M94" s="79" t="str">
        <x:v>CANDIDATE</x:v>
      </x:c>
      <x:c r="N94" s="80" t="str">
        <x:v>Older US snapshot retained for change comparison</x:v>
      </x:c>
    </x:row>
    <x:row r="95">
      <x:c r="A95" s="78" t="str">
        <x:v>DTC Clear Warm Up</x:v>
      </x:c>
      <x:c r="B95" s="79" t="str">
        <x:v>DTC warm</x:v>
      </x:c>
      <x:c r="C95" s="79" t="str">
        <x:v>2101</x:v>
      </x:c>
      <x:c r="D95" s="79" t="str">
        <x:v>O</x:v>
      </x:c>
      <x:c r="E95" s="79" t="str">
        <x:v>0</x:v>
      </x:c>
      <x:c r="F95" s="79" t="str">
        <x:v>255</x:v>
      </x:c>
      <x:c r="G95" s="79" t="str">
        <x:v>Number</x:v>
      </x:c>
      <x:c r="H95" s="79" t="str">
        <x:v>7E2</x:v>
      </x:c>
      <x:c r="I95" s="79" t="str">
        <x:v>PRIUS_GEN3 / ZVW30</x:v>
      </x:c>
      <x:c r="J95" s="79" t="str">
        <x:v>GenIII Prius 4-24-12 (US).csv</x:v>
      </x:c>
      <x:c r="K95" s="79" t="str">
        <x:v>2012-04-24</x:v>
      </x:c>
      <x:c r="L95" s="79" t="str">
        <x:v>READ-ONLY DIAGNOSTIC CANDIDATE</x:v>
      </x:c>
      <x:c r="M95" s="79" t="str">
        <x:v>CANDIDATE</x:v>
      </x:c>
      <x:c r="N95" s="80" t="str">
        <x:v>Older US snapshot retained for change comparison</x:v>
      </x:c>
    </x:row>
    <x:row r="96">
      <x:c r="A96" s="78" t="str">
        <x:v>DTC Clear Run Distance</x:v>
      </x:c>
      <x:c r="B96" s="79" t="str">
        <x:v>DTC dist</x:v>
      </x:c>
      <x:c r="C96" s="79" t="str">
        <x:v>2101</x:v>
      </x:c>
      <x:c r="D96" s="79" t="str">
        <x:v>(P * 256 + Q) * 15625 / 25146</x:v>
      </x:c>
      <x:c r="E96" s="79" t="str">
        <x:v>0</x:v>
      </x:c>
      <x:c r="F96" s="79" t="str">
        <x:v>40723</x:v>
      </x:c>
      <x:c r="G96" s="79" t="str">
        <x:v>mile</x:v>
      </x:c>
      <x:c r="H96" s="79" t="str">
        <x:v>7E2</x:v>
      </x:c>
      <x:c r="I96" s="79" t="str">
        <x:v>PRIUS_GEN3 / ZVW30</x:v>
      </x:c>
      <x:c r="J96" s="79" t="str">
        <x:v>GenIII Prius 4-24-12 (US).csv</x:v>
      </x:c>
      <x:c r="K96" s="79" t="str">
        <x:v>2012-04-24</x:v>
      </x:c>
      <x:c r="L96" s="79" t="str">
        <x:v>READ-ONLY DIAGNOSTIC CANDIDATE</x:v>
      </x:c>
      <x:c r="M96" s="79" t="str">
        <x:v>CANDIDATE</x:v>
      </x:c>
      <x:c r="N96" s="80" t="str">
        <x:v>Older US snapshot retained for change comparison</x:v>
      </x:c>
    </x:row>
    <x:row r="97">
      <x:c r="A97" s="78" t="str">
        <x:v>DTC Clear Min</x:v>
      </x:c>
      <x:c r="B97" s="79" t="str">
        <x:v>DTC time</x:v>
      </x:c>
      <x:c r="C97" s="79" t="str">
        <x:v>2101</x:v>
      </x:c>
      <x:c r="D97" s="79" t="str">
        <x:v>R * 256 + S</x:v>
      </x:c>
      <x:c r="E97" s="79" t="str">
        <x:v>0</x:v>
      </x:c>
      <x:c r="F97" s="79" t="str">
        <x:v>65535</x:v>
      </x:c>
      <x:c r="G97" s="79" t="str">
        <x:v>minutes</x:v>
      </x:c>
      <x:c r="H97" s="79" t="str">
        <x:v>7E2</x:v>
      </x:c>
      <x:c r="I97" s="79" t="str">
        <x:v>PRIUS_GEN3 / ZVW30</x:v>
      </x:c>
      <x:c r="J97" s="79" t="str">
        <x:v>GenIII Prius 4-24-12 (US).csv</x:v>
      </x:c>
      <x:c r="K97" s="79" t="str">
        <x:v>2012-04-24</x:v>
      </x:c>
      <x:c r="L97" s="79" t="str">
        <x:v>READ-ONLY DIAGNOSTIC CANDIDATE</x:v>
      </x:c>
      <x:c r="M97" s="79" t="str">
        <x:v>CANDIDATE</x:v>
      </x:c>
      <x:c r="N97" s="80" t="str">
        <x:v>Older US snapshot retained for change comparison</x:v>
      </x:c>
    </x:row>
    <x:row r="98">
      <x:c r="A98" s="78" t="str">
        <x:v>+B</x:v>
      </x:c>
      <x:c r="B98" s="79" t="str">
        <x:v>+B</x:v>
      </x:c>
      <x:c r="C98" s="79" t="str">
        <x:v>2101</x:v>
      </x:c>
      <x:c r="D98" s="79" t="str">
        <x:v>(T * 256 + U) / 1000</x:v>
      </x:c>
      <x:c r="E98" s="79" t="str">
        <x:v>0</x:v>
      </x:c>
      <x:c r="F98" s="79" t="str">
        <x:v>16</x:v>
      </x:c>
      <x:c r="G98" s="79" t="str">
        <x:v>V</x:v>
      </x:c>
      <x:c r="H98" s="79" t="str">
        <x:v>7E2</x:v>
      </x:c>
      <x:c r="I98" s="79" t="str">
        <x:v>PRIUS_GEN3 / ZVW30</x:v>
      </x:c>
      <x:c r="J98" s="79" t="str">
        <x:v>GenIII Prius 4-24-12 (US).csv</x:v>
      </x:c>
      <x:c r="K98" s="79" t="str">
        <x:v>2012-04-24</x:v>
      </x:c>
      <x:c r="L98" s="79" t="str">
        <x:v>READ-ONLY DIAGNOSTIC CANDIDATE</x:v>
      </x:c>
      <x:c r="M98" s="79" t="str">
        <x:v>CANDIDATE</x:v>
      </x:c>
      <x:c r="N98" s="80" t="str">
        <x:v>Older US snapshot retained for change comparison</x:v>
      </x:c>
    </x:row>
    <x:row r="99">
      <x:c r="A99" s="78" t="str">
        <x:v>State of Charge (All Bat)</x:v>
      </x:c>
      <x:c r="B99" s="79" t="str">
        <x:v>SOC (All)</x:v>
      </x:c>
      <x:c r="C99" s="79" t="str">
        <x:v>2101</x:v>
      </x:c>
      <x:c r="D99" s="79" t="str">
        <x:v>V * 20 / 51</x:v>
      </x:c>
      <x:c r="E99" s="79" t="str">
        <x:v>0</x:v>
      </x:c>
      <x:c r="F99" s="79" t="str">
        <x:v>100</x:v>
      </x:c>
      <x:c r="G99" s="79" t="str">
        <x:v>%</x:v>
      </x:c>
      <x:c r="H99" s="79" t="str">
        <x:v>7E2</x:v>
      </x:c>
      <x:c r="I99" s="79" t="str">
        <x:v>PRIUS_GEN3 / ZVW30</x:v>
      </x:c>
      <x:c r="J99" s="79" t="str">
        <x:v>GenIII Prius 4-24-12 (US).csv</x:v>
      </x:c>
      <x:c r="K99" s="79" t="str">
        <x:v>2012-04-24</x:v>
      </x:c>
      <x:c r="L99" s="79" t="str">
        <x:v>READ-ONLY DIAGNOSTIC CANDIDATE</x:v>
      </x:c>
      <x:c r="M99" s="79" t="str">
        <x:v>CANDIDATE</x:v>
      </x:c>
      <x:c r="N99" s="80" t="str">
        <x:v>Older US snapshot retained for change comparison</x:v>
      </x:c>
    </x:row>
    <x:row r="100">
      <x:c r="A100" s="78" t="str">
        <x:v>Shift Sensor Main</x:v>
      </x:c>
      <x:c r="B100" s="79" t="str">
        <x:v>Shift M</x:v>
      </x:c>
      <x:c r="C100" s="79" t="str">
        <x:v>2141</x:v>
      </x:c>
      <x:c r="D100" s="79" t="str">
        <x:v>A * 4.98 / 255</x:v>
      </x:c>
      <x:c r="E100" s="79" t="str">
        <x:v>0</x:v>
      </x:c>
      <x:c r="F100" s="79" t="str">
        <x:v>4.98</x:v>
      </x:c>
      <x:c r="G100" s="79" t="str">
        <x:v>V</x:v>
      </x:c>
      <x:c r="H100" s="79" t="str">
        <x:v>7E2</x:v>
      </x:c>
      <x:c r="I100" s="79" t="str">
        <x:v>PRIUS_GEN3 / ZVW30</x:v>
      </x:c>
      <x:c r="J100" s="79" t="str">
        <x:v>GenIII Prius 4-24-12 (US).csv</x:v>
      </x:c>
      <x:c r="K100" s="79" t="str">
        <x:v>2012-04-24</x:v>
      </x:c>
      <x:c r="L100" s="79" t="str">
        <x:v>READ-ONLY DIAGNOSTIC CANDIDATE</x:v>
      </x:c>
      <x:c r="M100" s="79" t="str">
        <x:v>CANDIDATE</x:v>
      </x:c>
      <x:c r="N100" s="80" t="str">
        <x:v>Older US snapshot retained for change comparison</x:v>
      </x:c>
    </x:row>
    <x:row r="101">
      <x:c r="A101" s="78" t="str">
        <x:v>Shift Sensor Sub</x:v>
      </x:c>
      <x:c r="B101" s="79" t="str">
        <x:v>Shift S</x:v>
      </x:c>
      <x:c r="C101" s="79" t="str">
        <x:v>2141</x:v>
      </x:c>
      <x:c r="D101" s="79" t="str">
        <x:v>B * 4.98 / 255</x:v>
      </x:c>
      <x:c r="E101" s="79" t="str">
        <x:v>0</x:v>
      </x:c>
      <x:c r="F101" s="79" t="str">
        <x:v>4.98</x:v>
      </x:c>
      <x:c r="G101" s="79" t="str">
        <x:v>V</x:v>
      </x:c>
      <x:c r="H101" s="79" t="str">
        <x:v>7E2</x:v>
      </x:c>
      <x:c r="I101" s="79" t="str">
        <x:v>PRIUS_GEN3 / ZVW30</x:v>
      </x:c>
      <x:c r="J101" s="79" t="str">
        <x:v>GenIII Prius 4-24-12 (US).csv</x:v>
      </x:c>
      <x:c r="K101" s="79" t="str">
        <x:v>2012-04-24</x:v>
      </x:c>
      <x:c r="L101" s="79" t="str">
        <x:v>READ-ONLY DIAGNOSTIC CANDIDATE</x:v>
      </x:c>
      <x:c r="M101" s="79" t="str">
        <x:v>CANDIDATE</x:v>
      </x:c>
      <x:c r="N101" s="80" t="str">
        <x:v>Older US snapshot retained for change comparison</x:v>
      </x:c>
    </x:row>
    <x:row r="102">
      <x:c r="A102" s="78" t="str">
        <x:v>Shift Sensor Select Main</x:v>
      </x:c>
      <x:c r="B102" s="79" t="str">
        <x:v>Shift Sel M</x:v>
      </x:c>
      <x:c r="C102" s="79" t="str">
        <x:v>2141</x:v>
      </x:c>
      <x:c r="D102" s="79" t="str">
        <x:v>C * 4.98 / 255</x:v>
      </x:c>
      <x:c r="E102" s="79" t="str">
        <x:v>0</x:v>
      </x:c>
      <x:c r="F102" s="79" t="str">
        <x:v>4.98</x:v>
      </x:c>
      <x:c r="G102" s="79" t="str">
        <x:v>V</x:v>
      </x:c>
      <x:c r="H102" s="79" t="str">
        <x:v>7E2</x:v>
      </x:c>
      <x:c r="I102" s="79" t="str">
        <x:v>PRIUS_GEN3 / ZVW30</x:v>
      </x:c>
      <x:c r="J102" s="79" t="str">
        <x:v>GenIII Prius 4-24-12 (US).csv</x:v>
      </x:c>
      <x:c r="K102" s="79" t="str">
        <x:v>2012-04-24</x:v>
      </x:c>
      <x:c r="L102" s="79" t="str">
        <x:v>READ-ONLY DIAGNOSTIC CANDIDATE</x:v>
      </x:c>
      <x:c r="M102" s="79" t="str">
        <x:v>CANDIDATE</x:v>
      </x:c>
      <x:c r="N102" s="80" t="str">
        <x:v>Older US snapshot retained for change comparison</x:v>
      </x:c>
    </x:row>
    <x:row r="103">
      <x:c r="A103" s="78" t="str">
        <x:v>Shift Sensor Select Sub</x:v>
      </x:c>
      <x:c r="B103" s="79" t="str">
        <x:v>Shift Sel S</x:v>
      </x:c>
      <x:c r="C103" s="79" t="str">
        <x:v>2141</x:v>
      </x:c>
      <x:c r="D103" s="79" t="str">
        <x:v>D * 4.98 / 255</x:v>
      </x:c>
      <x:c r="E103" s="79" t="str">
        <x:v>0</x:v>
      </x:c>
      <x:c r="F103" s="79" t="str">
        <x:v>4.98</x:v>
      </x:c>
      <x:c r="G103" s="79" t="str">
        <x:v>V</x:v>
      </x:c>
      <x:c r="H103" s="79" t="str">
        <x:v>7E2</x:v>
      </x:c>
      <x:c r="I103" s="79" t="str">
        <x:v>PRIUS_GEN3 / ZVW30</x:v>
      </x:c>
      <x:c r="J103" s="79" t="str">
        <x:v>GenIII Prius 4-24-12 (US).csv</x:v>
      </x:c>
      <x:c r="K103" s="79" t="str">
        <x:v>2012-04-24</x:v>
      </x:c>
      <x:c r="L103" s="79" t="str">
        <x:v>READ-ONLY DIAGNOSTIC CANDIDATE</x:v>
      </x:c>
      <x:c r="M103" s="79" t="str">
        <x:v>CANDIDATE</x:v>
      </x:c>
      <x:c r="N103" s="80" t="str">
        <x:v>Older US snapshot retained for change comparison</x:v>
      </x:c>
    </x:row>
    <x:row r="104">
      <x:c r="A104" s="78" t="str">
        <x:v>Auxiliary Battery Temperature</x:v>
      </x:c>
      <x:c r="B104" s="79" t="str">
        <x:v>Aux. B t</x:v>
      </x:c>
      <x:c r="C104" s="79" t="str">
        <x:v>2141</x:v>
      </x:c>
      <x:c r="D104" s="79" t="str">
        <x:v>E * 9 / 5 - 40</x:v>
      </x:c>
      <x:c r="E104" s="79" t="str">
        <x:v>-40</x:v>
      </x:c>
      <x:c r="F104" s="79" t="str">
        <x:v>250</x:v>
      </x:c>
      <x:c r="G104" s="79" t="str">
        <x:v>F</x:v>
      </x:c>
      <x:c r="H104" s="79" t="str">
        <x:v>7E2</x:v>
      </x:c>
      <x:c r="I104" s="79" t="str">
        <x:v>PRIUS_GEN3 / ZVW30</x:v>
      </x:c>
      <x:c r="J104" s="79" t="str">
        <x:v>GenIII Prius 4-24-12 (US).csv</x:v>
      </x:c>
      <x:c r="K104" s="79" t="str">
        <x:v>2012-04-24</x:v>
      </x:c>
      <x:c r="L104" s="79" t="str">
        <x:v>READ-ONLY DIAGNOSTIC CANDIDATE</x:v>
      </x:c>
      <x:c r="M104" s="79" t="str">
        <x:v>CANDIDATE</x:v>
      </x:c>
      <x:c r="N104" s="80" t="str">
        <x:v>Older US snapshot retained for change comparison</x:v>
      </x:c>
    </x:row>
    <x:row r="105">
      <x:c r="A105" s="78" t="str">
        <x:v>Engine Rev (Sensor)</x:v>
      </x:c>
      <x:c r="B105" s="79" t="str">
        <x:v>RPM sensor</x:v>
      </x:c>
      <x:c r="C105" s="79" t="str">
        <x:v>2141</x:v>
      </x:c>
      <x:c r="D105" s="79" t="str">
        <x:v>(F * 256 + G) / 4</x:v>
      </x:c>
      <x:c r="E105" s="79" t="str">
        <x:v>0</x:v>
      </x:c>
      <x:c r="F105" s="79" t="str">
        <x:v>16383.75</x:v>
      </x:c>
      <x:c r="G105" s="79" t="str">
        <x:v>RPM</x:v>
      </x:c>
      <x:c r="H105" s="79" t="str">
        <x:v>7E2</x:v>
      </x:c>
      <x:c r="I105" s="79" t="str">
        <x:v>PRIUS_GEN3 / ZVW30</x:v>
      </x:c>
      <x:c r="J105" s="79" t="str">
        <x:v>GenIII Prius 4-24-12 (US).csv</x:v>
      </x:c>
      <x:c r="K105" s="79" t="str">
        <x:v>2012-04-24</x:v>
      </x:c>
      <x:c r="L105" s="79" t="str">
        <x:v>READ-ONLY DIAGNOSTIC CANDIDATE</x:v>
      </x:c>
      <x:c r="M105" s="79" t="str">
        <x:v>CANDIDATE</x:v>
      </x:c>
      <x:c r="N105" s="80" t="str">
        <x:v>Older US snapshot retained for change comparison</x:v>
      </x:c>
    </x:row>
    <x:row r="106">
      <x:c r="A106" s="78" t="str">
        <x:v>P Pos SW Terminal Vol</x:v>
      </x:c>
      <x:c r="B106" s="79" t="str">
        <x:v>P Pos Volt</x:v>
      </x:c>
      <x:c r="C106" s="79" t="str">
        <x:v>2141</x:v>
      </x:c>
      <x:c r="D106" s="79" t="str">
        <x:v>H * 79.9987793 / 255</x:v>
      </x:c>
      <x:c r="E106" s="79" t="str">
        <x:v>0</x:v>
      </x:c>
      <x:c r="F106" s="79" t="str">
        <x:v>79.9987793</x:v>
      </x:c>
      <x:c r="G106" s="79" t="str">
        <x:v>V</x:v>
      </x:c>
      <x:c r="H106" s="79" t="str">
        <x:v>7E2</x:v>
      </x:c>
      <x:c r="I106" s="79" t="str">
        <x:v>PRIUS_GEN3 / ZVW30</x:v>
      </x:c>
      <x:c r="J106" s="79" t="str">
        <x:v>GenIII Prius 4-24-12 (US).csv</x:v>
      </x:c>
      <x:c r="K106" s="79" t="str">
        <x:v>2012-04-24</x:v>
      </x:c>
      <x:c r="L106" s="79" t="str">
        <x:v>READ-ONLY DIAGNOSTIC CANDIDATE</x:v>
      </x:c>
      <x:c r="M106" s="79" t="str">
        <x:v>CANDIDATE</x:v>
      </x:c>
      <x:c r="N106" s="80" t="str">
        <x:v>Older US snapshot retained for change comparison</x:v>
      </x:c>
    </x:row>
    <x:row r="107">
      <x:c r="A107" s="78" t="str">
        <x:v>MG1 temperature</x:v>
      </x:c>
      <x:c r="B107" s="79" t="str">
        <x:v>MG1t</x:v>
      </x:c>
      <x:c r="C107" s="79" t="str">
        <x:v>2161</x:v>
      </x:c>
      <x:c r="D107" s="79" t="str">
        <x:v>A * 9 / 5 - 40</x:v>
      </x:c>
      <x:c r="E107" s="79" t="str">
        <x:v>-40</x:v>
      </x:c>
      <x:c r="F107" s="79" t="str">
        <x:v>250</x:v>
      </x:c>
      <x:c r="G107" s="79" t="str">
        <x:v>F</x:v>
      </x:c>
      <x:c r="H107" s="79" t="str">
        <x:v>7E2</x:v>
      </x:c>
      <x:c r="I107" s="79" t="str">
        <x:v>PRIUS_GEN3 / ZVW30</x:v>
      </x:c>
      <x:c r="J107" s="79" t="str">
        <x:v>GenIII Prius 4-24-12 (US).csv</x:v>
      </x:c>
      <x:c r="K107" s="79" t="str">
        <x:v>2012-04-24</x:v>
      </x:c>
      <x:c r="L107" s="79" t="str">
        <x:v>READ-ONLY DIAGNOSTIC CANDIDATE</x:v>
      </x:c>
      <x:c r="M107" s="79" t="str">
        <x:v>CANDIDATE</x:v>
      </x:c>
      <x:c r="N107" s="80" t="str">
        <x:v>Older US snapshot retained for change comparison</x:v>
      </x:c>
    </x:row>
    <x:row r="108">
      <x:c r="A108" s="78" t="str">
        <x:v>MG1 temperature after IG-ON</x:v>
      </x:c>
      <x:c r="B108" s="79" t="str">
        <x:v>MG1t Ign</x:v>
      </x:c>
      <x:c r="C108" s="79" t="str">
        <x:v>2161</x:v>
      </x:c>
      <x:c r="D108" s="79" t="str">
        <x:v>B * 9 / 5 - 40</x:v>
      </x:c>
      <x:c r="E108" s="79" t="str">
        <x:v>-40</x:v>
      </x:c>
      <x:c r="F108" s="79" t="str">
        <x:v>250</x:v>
      </x:c>
      <x:c r="G108" s="79" t="str">
        <x:v>F</x:v>
      </x:c>
      <x:c r="H108" s="79" t="str">
        <x:v>7E2</x:v>
      </x:c>
      <x:c r="I108" s="79" t="str">
        <x:v>PRIUS_GEN3 / ZVW30</x:v>
      </x:c>
      <x:c r="J108" s="79" t="str">
        <x:v>GenIII Prius 4-24-12 (US).csv</x:v>
      </x:c>
      <x:c r="K108" s="79" t="str">
        <x:v>2012-04-24</x:v>
      </x:c>
      <x:c r="L108" s="79" t="str">
        <x:v>READ-ONLY DIAGNOSTIC CANDIDATE</x:v>
      </x:c>
      <x:c r="M108" s="79" t="str">
        <x:v>CANDIDATE</x:v>
      </x:c>
      <x:c r="N108" s="80" t="str">
        <x:v>Older US snapshot retained for change comparison</x:v>
      </x:c>
    </x:row>
    <x:row r="109">
      <x:c r="A109" s="78" t="str">
        <x:v>MG1 temperature Max</x:v>
      </x:c>
      <x:c r="B109" s="79" t="str">
        <x:v>MG1t max</x:v>
      </x:c>
      <x:c r="C109" s="79" t="str">
        <x:v>2161</x:v>
      </x:c>
      <x:c r="D109" s="79" t="str">
        <x:v>C * 9 / 5 - 40</x:v>
      </x:c>
      <x:c r="E109" s="79" t="str">
        <x:v>-40</x:v>
      </x:c>
      <x:c r="F109" s="79" t="str">
        <x:v>250</x:v>
      </x:c>
      <x:c r="G109" s="79" t="str">
        <x:v>F</x:v>
      </x:c>
      <x:c r="H109" s="79" t="str">
        <x:v>7E2</x:v>
      </x:c>
      <x:c r="I109" s="79" t="str">
        <x:v>PRIUS_GEN3 / ZVW30</x:v>
      </x:c>
      <x:c r="J109" s="79" t="str">
        <x:v>GenIII Prius 4-24-12 (US).csv</x:v>
      </x:c>
      <x:c r="K109" s="79" t="str">
        <x:v>2012-04-24</x:v>
      </x:c>
      <x:c r="L109" s="79" t="str">
        <x:v>READ-ONLY DIAGNOSTIC CANDIDATE</x:v>
      </x:c>
      <x:c r="M109" s="79" t="str">
        <x:v>CANDIDATE</x:v>
      </x:c>
      <x:c r="N109" s="80" t="str">
        <x:v>Older US snapshot retained for change comparison</x:v>
      </x:c>
    </x:row>
    <x:row r="110">
      <x:c r="A110" s="78" t="str">
        <x:v>MG1 revolution</x:v>
      </x:c>
      <x:c r="B110" s="79" t="str">
        <x:v>MG1 rpm</x:v>
      </x:c>
      <x:c r="C110" s="79" t="str">
        <x:v>2161</x:v>
      </x:c>
      <x:c r="D110" s="79" t="str">
        <x:v>D * 256 + E - 32768</x:v>
      </x:c>
      <x:c r="E110" s="79" t="str">
        <x:v>-15000</x:v>
      </x:c>
      <x:c r="F110" s="79" t="str">
        <x:v>15000</x:v>
      </x:c>
      <x:c r="G110" s="79" t="str">
        <x:v>RPM</x:v>
      </x:c>
      <x:c r="H110" s="79" t="str">
        <x:v>7E2</x:v>
      </x:c>
      <x:c r="I110" s="79" t="str">
        <x:v>PRIUS_GEN3 / ZVW30</x:v>
      </x:c>
      <x:c r="J110" s="79" t="str">
        <x:v>GenIII Prius 4-24-12 (US).csv</x:v>
      </x:c>
      <x:c r="K110" s="79" t="str">
        <x:v>2012-04-24</x:v>
      </x:c>
      <x:c r="L110" s="79" t="str">
        <x:v>READ-ONLY DIAGNOSTIC CANDIDATE</x:v>
      </x:c>
      <x:c r="M110" s="79" t="str">
        <x:v>CANDIDATE</x:v>
      </x:c>
      <x:c r="N110" s="80" t="str">
        <x:v>Older US snapshot retained for change comparison</x:v>
      </x:c>
    </x:row>
    <x:row r="111">
      <x:c r="A111" s="78" t="str">
        <x:v>MG2 temperature</x:v>
      </x:c>
      <x:c r="B111" s="79" t="str">
        <x:v>MG2t</x:v>
      </x:c>
      <x:c r="C111" s="79" t="str">
        <x:v>2162</x:v>
      </x:c>
      <x:c r="D111" s="79" t="str">
        <x:v>A * 9 / 5 - 40</x:v>
      </x:c>
      <x:c r="E111" s="79" t="str">
        <x:v>-40</x:v>
      </x:c>
      <x:c r="F111" s="79" t="str">
        <x:v>250</x:v>
      </x:c>
      <x:c r="G111" s="79" t="str">
        <x:v>F</x:v>
      </x:c>
      <x:c r="H111" s="79" t="str">
        <x:v>7E2</x:v>
      </x:c>
      <x:c r="I111" s="79" t="str">
        <x:v>PRIUS_GEN3 / ZVW30</x:v>
      </x:c>
      <x:c r="J111" s="79" t="str">
        <x:v>GenIII Prius 4-24-12 (US).csv</x:v>
      </x:c>
      <x:c r="K111" s="79" t="str">
        <x:v>2012-04-24</x:v>
      </x:c>
      <x:c r="L111" s="79" t="str">
        <x:v>READ-ONLY DIAGNOSTIC CANDIDATE</x:v>
      </x:c>
      <x:c r="M111" s="79" t="str">
        <x:v>CANDIDATE</x:v>
      </x:c>
      <x:c r="N111" s="80" t="str">
        <x:v>Older US snapshot retained for change comparison</x:v>
      </x:c>
    </x:row>
    <x:row r="112">
      <x:c r="A112" s="78" t="str">
        <x:v>MG2 temperature after IG-ON</x:v>
      </x:c>
      <x:c r="B112" s="79" t="str">
        <x:v>MG2t Ign</x:v>
      </x:c>
      <x:c r="C112" s="79" t="str">
        <x:v>2162</x:v>
      </x:c>
      <x:c r="D112" s="79" t="str">
        <x:v>B * 9 / 5 - 40</x:v>
      </x:c>
      <x:c r="E112" s="79" t="str">
        <x:v>-40</x:v>
      </x:c>
      <x:c r="F112" s="79" t="str">
        <x:v>250</x:v>
      </x:c>
      <x:c r="G112" s="79" t="str">
        <x:v>F</x:v>
      </x:c>
      <x:c r="H112" s="79" t="str">
        <x:v>7E2</x:v>
      </x:c>
      <x:c r="I112" s="79" t="str">
        <x:v>PRIUS_GEN3 / ZVW30</x:v>
      </x:c>
      <x:c r="J112" s="79" t="str">
        <x:v>GenIII Prius 4-24-12 (US).csv</x:v>
      </x:c>
      <x:c r="K112" s="79" t="str">
        <x:v>2012-04-24</x:v>
      </x:c>
      <x:c r="L112" s="79" t="str">
        <x:v>READ-ONLY DIAGNOSTIC CANDIDATE</x:v>
      </x:c>
      <x:c r="M112" s="79" t="str">
        <x:v>CANDIDATE</x:v>
      </x:c>
      <x:c r="N112" s="80" t="str">
        <x:v>Older US snapshot retained for change comparison</x:v>
      </x:c>
    </x:row>
    <x:row r="113">
      <x:c r="A113" s="78" t="str">
        <x:v>MG2 temperature Max</x:v>
      </x:c>
      <x:c r="B113" s="79" t="str">
        <x:v>MG2t max</x:v>
      </x:c>
      <x:c r="C113" s="79" t="str">
        <x:v>2162</x:v>
      </x:c>
      <x:c r="D113" s="79" t="str">
        <x:v>C * 9 / 5 - 40</x:v>
      </x:c>
      <x:c r="E113" s="79" t="str">
        <x:v>-40</x:v>
      </x:c>
      <x:c r="F113" s="79" t="str">
        <x:v>250</x:v>
      </x:c>
      <x:c r="G113" s="79" t="str">
        <x:v>F</x:v>
      </x:c>
      <x:c r="H113" s="79" t="str">
        <x:v>7E2</x:v>
      </x:c>
      <x:c r="I113" s="79" t="str">
        <x:v>PRIUS_GEN3 / ZVW30</x:v>
      </x:c>
      <x:c r="J113" s="79" t="str">
        <x:v>GenIII Prius 4-24-12 (US).csv</x:v>
      </x:c>
      <x:c r="K113" s="79" t="str">
        <x:v>2012-04-24</x:v>
      </x:c>
      <x:c r="L113" s="79" t="str">
        <x:v>READ-ONLY DIAGNOSTIC CANDIDATE</x:v>
      </x:c>
      <x:c r="M113" s="79" t="str">
        <x:v>CANDIDATE</x:v>
      </x:c>
      <x:c r="N113" s="80" t="str">
        <x:v>Older US snapshot retained for change comparison</x:v>
      </x:c>
    </x:row>
    <x:row r="114">
      <x:c r="A114" s="78" t="str">
        <x:v>MG2 revolution</x:v>
      </x:c>
      <x:c r="B114" s="79" t="str">
        <x:v>MG2 rpm</x:v>
      </x:c>
      <x:c r="C114" s="79" t="str">
        <x:v>2162</x:v>
      </x:c>
      <x:c r="D114" s="79" t="str">
        <x:v>D * 256 + E - 32768</x:v>
      </x:c>
      <x:c r="E114" s="79" t="str">
        <x:v>-500</x:v>
      </x:c>
      <x:c r="F114" s="79" t="str">
        <x:v>15000</x:v>
      </x:c>
      <x:c r="G114" s="79" t="str">
        <x:v>RPM</x:v>
      </x:c>
      <x:c r="H114" s="79" t="str">
        <x:v>7E2</x:v>
      </x:c>
      <x:c r="I114" s="79" t="str">
        <x:v>PRIUS_GEN3 / ZVW30</x:v>
      </x:c>
      <x:c r="J114" s="79" t="str">
        <x:v>GenIII Prius 4-24-12 (US).csv</x:v>
      </x:c>
      <x:c r="K114" s="79" t="str">
        <x:v>2012-04-24</x:v>
      </x:c>
      <x:c r="L114" s="79" t="str">
        <x:v>READ-ONLY DIAGNOSTIC CANDIDATE</x:v>
      </x:c>
      <x:c r="M114" s="79" t="str">
        <x:v>CANDIDATE</x:v>
      </x:c>
      <x:c r="N114" s="80" t="str">
        <x:v>Older US snapshot retained for change comparison</x:v>
      </x:c>
    </x:row>
    <x:row r="115">
      <x:c r="A115" s="78" t="str">
        <x:v>MG1 torque</x:v>
      </x:c>
      <x:c r="B115" s="79" t="str">
        <x:v>MG1 Torq</x:v>
      </x:c>
      <x:c r="C115" s="79" t="str">
        <x:v>2167</x:v>
      </x:c>
      <x:c r="D115" s="79" t="str">
        <x:v>((A * 256 + B) / 8 - 4096) * 0.7375621</x:v>
      </x:c>
      <x:c r="E115" s="79" t="str">
        <x:v>-3021.05</x:v>
      </x:c>
      <x:c r="F115" s="79" t="str">
        <x:v>3020.96</x:v>
      </x:c>
      <x:c r="G115" s="79" t="str">
        <x:v>ft�lb</x:v>
      </x:c>
      <x:c r="H115" s="79" t="str">
        <x:v>7E2</x:v>
      </x:c>
      <x:c r="I115" s="79" t="str">
        <x:v>PRIUS_GEN3 / ZVW30</x:v>
      </x:c>
      <x:c r="J115" s="79" t="str">
        <x:v>GenIII Prius 4-24-12 (US).csv</x:v>
      </x:c>
      <x:c r="K115" s="79" t="str">
        <x:v>2012-04-24</x:v>
      </x:c>
      <x:c r="L115" s="79" t="str">
        <x:v>READ-ONLY DIAGNOSTIC CANDIDATE</x:v>
      </x:c>
      <x:c r="M115" s="79" t="str">
        <x:v>CANDIDATE</x:v>
      </x:c>
      <x:c r="N115" s="80" t="str">
        <x:v>Older US snapshot retained for change comparison</x:v>
      </x:c>
    </x:row>
    <x:row r="116">
      <x:c r="A116" s="78" t="str">
        <x:v>MG1 torque execution value</x:v>
      </x:c>
      <x:c r="B116" s="79" t="str">
        <x:v>MG1 E Torq</x:v>
      </x:c>
      <x:c r="C116" s="79" t="str">
        <x:v>2167</x:v>
      </x:c>
      <x:c r="D116" s="79" t="str">
        <x:v>((C * 256 + D) / 8 - 4096) * 0.7375621</x:v>
      </x:c>
      <x:c r="E116" s="79" t="str">
        <x:v>-3021.05</x:v>
      </x:c>
      <x:c r="F116" s="79" t="str">
        <x:v>3020.96</x:v>
      </x:c>
      <x:c r="G116" s="79" t="str">
        <x:v>ft�lb</x:v>
      </x:c>
      <x:c r="H116" s="79" t="str">
        <x:v>7E2</x:v>
      </x:c>
      <x:c r="I116" s="79" t="str">
        <x:v>PRIUS_GEN3 / ZVW30</x:v>
      </x:c>
      <x:c r="J116" s="79" t="str">
        <x:v>GenIII Prius 4-24-12 (US).csv</x:v>
      </x:c>
      <x:c r="K116" s="79" t="str">
        <x:v>2012-04-24</x:v>
      </x:c>
      <x:c r="L116" s="79" t="str">
        <x:v>READ-ONLY DIAGNOSTIC CANDIDATE</x:v>
      </x:c>
      <x:c r="M116" s="79" t="str">
        <x:v>CANDIDATE</x:v>
      </x:c>
      <x:c r="N116" s="80" t="str">
        <x:v>Older US snapshot retained for change comparison</x:v>
      </x:c>
    </x:row>
    <x:row r="117">
      <x:c r="A117" s="78" t="str">
        <x:v>MG1 Control Mode (PWM=0,Variable PWM=1,Rectangular wave=2)</x:v>
      </x:c>
      <x:c r="B117" s="79" t="str">
        <x:v>MG1 mode</x:v>
      </x:c>
      <x:c r="C117" s="79" t="str">
        <x:v>2167</x:v>
      </x:c>
      <x:c r="D117" s="79" t="str">
        <x:v>E</x:v>
      </x:c>
      <x:c r="E117" s="79" t="str">
        <x:v>0</x:v>
      </x:c>
      <x:c r="F117" s="79" t="str">
        <x:v>2</x:v>
      </x:c>
      <x:c r="G117" s="79" t="str">
        <x:v>Number</x:v>
      </x:c>
      <x:c r="H117" s="79" t="str">
        <x:v>7E2</x:v>
      </x:c>
      <x:c r="I117" s="79" t="str">
        <x:v>PRIUS_GEN3 / ZVW30</x:v>
      </x:c>
      <x:c r="J117" s="79" t="str">
        <x:v>GenIII Prius 4-24-12 (US).csv</x:v>
      </x:c>
      <x:c r="K117" s="79" t="str">
        <x:v>2012-04-24</x:v>
      </x:c>
      <x:c r="L117" s="79" t="str">
        <x:v>READ-ONLY DIAGNOSTIC CANDIDATE</x:v>
      </x:c>
      <x:c r="M117" s="79" t="str">
        <x:v>CANDIDATE</x:v>
      </x:c>
      <x:c r="N117" s="80" t="str">
        <x:v>Older US snapshot retained for change comparison</x:v>
      </x:c>
    </x:row>
    <x:row r="118">
      <x:c r="A118" s="78" t="str">
        <x:v>MG2 torque</x:v>
      </x:c>
      <x:c r="B118" s="79" t="str">
        <x:v>MG2 Torq</x:v>
      </x:c>
      <x:c r="C118" s="79" t="str">
        <x:v>2168</x:v>
      </x:c>
      <x:c r="D118" s="79" t="str">
        <x:v>((A * 256 + B) / 8 - 4096) * 0.7375621</x:v>
      </x:c>
      <x:c r="E118" s="79" t="str">
        <x:v>-3021.05</x:v>
      </x:c>
      <x:c r="F118" s="79" t="str">
        <x:v>3020.96</x:v>
      </x:c>
      <x:c r="G118" s="79" t="str">
        <x:v>ft�lb</x:v>
      </x:c>
      <x:c r="H118" s="79" t="str">
        <x:v>7E2</x:v>
      </x:c>
      <x:c r="I118" s="79" t="str">
        <x:v>PRIUS_GEN3 / ZVW30</x:v>
      </x:c>
      <x:c r="J118" s="79" t="str">
        <x:v>GenIII Prius 4-24-12 (US).csv</x:v>
      </x:c>
      <x:c r="K118" s="79" t="str">
        <x:v>2012-04-24</x:v>
      </x:c>
      <x:c r="L118" s="79" t="str">
        <x:v>READ-ONLY DIAGNOSTIC CANDIDATE</x:v>
      </x:c>
      <x:c r="M118" s="79" t="str">
        <x:v>CANDIDATE</x:v>
      </x:c>
      <x:c r="N118" s="80" t="str">
        <x:v>Older US snapshot retained for change comparison</x:v>
      </x:c>
    </x:row>
    <x:row r="119">
      <x:c r="A119" s="78" t="str">
        <x:v>MG2 torque execution value</x:v>
      </x:c>
      <x:c r="B119" s="79" t="str">
        <x:v>MG2 E Torq</x:v>
      </x:c>
      <x:c r="C119" s="79" t="str">
        <x:v>2168</x:v>
      </x:c>
      <x:c r="D119" s="79" t="str">
        <x:v>((C * 256 + D) / 8 - 4096) * 0.7375621</x:v>
      </x:c>
      <x:c r="E119" s="79" t="str">
        <x:v>-3021.05</x:v>
      </x:c>
      <x:c r="F119" s="79" t="str">
        <x:v>3020.96</x:v>
      </x:c>
      <x:c r="G119" s="79" t="str">
        <x:v>ft�lb</x:v>
      </x:c>
      <x:c r="H119" s="79" t="str">
        <x:v>7E2</x:v>
      </x:c>
      <x:c r="I119" s="79" t="str">
        <x:v>PRIUS_GEN3 / ZVW30</x:v>
      </x:c>
      <x:c r="J119" s="79" t="str">
        <x:v>GenIII Prius 4-24-12 (US).csv</x:v>
      </x:c>
      <x:c r="K119" s="79" t="str">
        <x:v>2012-04-24</x:v>
      </x:c>
      <x:c r="L119" s="79" t="str">
        <x:v>READ-ONLY DIAGNOSTIC CANDIDATE</x:v>
      </x:c>
      <x:c r="M119" s="79" t="str">
        <x:v>CANDIDATE</x:v>
      </x:c>
      <x:c r="N119" s="80" t="str">
        <x:v>Older US snapshot retained for change comparison</x:v>
      </x:c>
    </x:row>
    <x:row r="120">
      <x:c r="A120" s="78" t="str">
        <x:v>MG2 Control Mode (PWM=0,Variable PWM=1,Rectangular wave=2)</x:v>
      </x:c>
      <x:c r="B120" s="79" t="str">
        <x:v>MG2 mode</x:v>
      </x:c>
      <x:c r="C120" s="79" t="str">
        <x:v>2168</x:v>
      </x:c>
      <x:c r="D120" s="79" t="str">
        <x:v>E</x:v>
      </x:c>
      <x:c r="E120" s="79" t="str">
        <x:v>0</x:v>
      </x:c>
      <x:c r="F120" s="79" t="str">
        <x:v>2</x:v>
      </x:c>
      <x:c r="G120" s="79" t="str">
        <x:v>Number</x:v>
      </x:c>
      <x:c r="H120" s="79" t="str">
        <x:v>7E2</x:v>
      </x:c>
      <x:c r="I120" s="79" t="str">
        <x:v>PRIUS_GEN3 / ZVW30</x:v>
      </x:c>
      <x:c r="J120" s="79" t="str">
        <x:v>GenIII Prius 4-24-12 (US).csv</x:v>
      </x:c>
      <x:c r="K120" s="79" t="str">
        <x:v>2012-04-24</x:v>
      </x:c>
      <x:c r="L120" s="79" t="str">
        <x:v>READ-ONLY DIAGNOSTIC CANDIDATE</x:v>
      </x:c>
      <x:c r="M120" s="79" t="str">
        <x:v>CANDIDATE</x:v>
      </x:c>
      <x:c r="N120" s="80" t="str">
        <x:v>Older US snapshot retained for change comparison</x:v>
      </x:c>
    </x:row>
    <x:row r="121">
      <x:c r="A121" s="78" t="str">
        <x:v>Inverter MG1 Temp</x:v>
      </x:c>
      <x:c r="B121" s="79" t="str">
        <x:v>Inv1t</x:v>
      </x:c>
      <x:c r="C121" s="79" t="str">
        <x:v>2170</x:v>
      </x:c>
      <x:c r="D121" s="79" t="str">
        <x:v>A * 9 / 5 - 40</x:v>
      </x:c>
      <x:c r="E121" s="79" t="str">
        <x:v>59</x:v>
      </x:c>
      <x:c r="F121" s="79" t="str">
        <x:v>302</x:v>
      </x:c>
      <x:c r="G121" s="79" t="str">
        <x:v>F</x:v>
      </x:c>
      <x:c r="H121" s="79" t="str">
        <x:v>7E2</x:v>
      </x:c>
      <x:c r="I121" s="79" t="str">
        <x:v>PRIUS_GEN3 / ZVW30</x:v>
      </x:c>
      <x:c r="J121" s="79" t="str">
        <x:v>GenIII Prius 4-24-12 (US).csv</x:v>
      </x:c>
      <x:c r="K121" s="79" t="str">
        <x:v>2012-04-24</x:v>
      </x:c>
      <x:c r="L121" s="79" t="str">
        <x:v>READ-ONLY DIAGNOSTIC CANDIDATE</x:v>
      </x:c>
      <x:c r="M121" s="79" t="str">
        <x:v>CANDIDATE</x:v>
      </x:c>
      <x:c r="N121" s="80" t="str">
        <x:v>Older US snapshot retained for change comparison</x:v>
      </x:c>
    </x:row>
    <x:row r="122">
      <x:c r="A122" s="78" t="str">
        <x:v>Inverter MG1 Temp after IG-ON</x:v>
      </x:c>
      <x:c r="B122" s="79" t="str">
        <x:v>Inv1t Ign</x:v>
      </x:c>
      <x:c r="C122" s="79" t="str">
        <x:v>2170</x:v>
      </x:c>
      <x:c r="D122" s="79" t="str">
        <x:v>B * 9 / 5 - 40</x:v>
      </x:c>
      <x:c r="E122" s="79" t="str">
        <x:v>59</x:v>
      </x:c>
      <x:c r="F122" s="79" t="str">
        <x:v>302</x:v>
      </x:c>
      <x:c r="G122" s="79" t="str">
        <x:v>F</x:v>
      </x:c>
      <x:c r="H122" s="79" t="str">
        <x:v>7E2</x:v>
      </x:c>
      <x:c r="I122" s="79" t="str">
        <x:v>PRIUS_GEN3 / ZVW30</x:v>
      </x:c>
      <x:c r="J122" s="79" t="str">
        <x:v>GenIII Prius 4-24-12 (US).csv</x:v>
      </x:c>
      <x:c r="K122" s="79" t="str">
        <x:v>2012-04-24</x:v>
      </x:c>
      <x:c r="L122" s="79" t="str">
        <x:v>READ-ONLY DIAGNOSTIC CANDIDATE</x:v>
      </x:c>
      <x:c r="M122" s="79" t="str">
        <x:v>CANDIDATE</x:v>
      </x:c>
      <x:c r="N122" s="80" t="str">
        <x:v>Older US snapshot retained for change comparison</x:v>
      </x:c>
    </x:row>
    <x:row r="123">
      <x:c r="A123" s="78" t="str">
        <x:v>Inverter MG1 Temp Max</x:v>
      </x:c>
      <x:c r="B123" s="79" t="str">
        <x:v>Inv1t max</x:v>
      </x:c>
      <x:c r="C123" s="79" t="str">
        <x:v>2170</x:v>
      </x:c>
      <x:c r="D123" s="79" t="str">
        <x:v>C * 9 / 5 - 40</x:v>
      </x:c>
      <x:c r="E123" s="79" t="str">
        <x:v>59</x:v>
      </x:c>
      <x:c r="F123" s="79" t="str">
        <x:v>302</x:v>
      </x:c>
      <x:c r="G123" s="79" t="str">
        <x:v>F</x:v>
      </x:c>
      <x:c r="H123" s="79" t="str">
        <x:v>7E2</x:v>
      </x:c>
      <x:c r="I123" s="79" t="str">
        <x:v>PRIUS_GEN3 / ZVW30</x:v>
      </x:c>
      <x:c r="J123" s="79" t="str">
        <x:v>GenIII Prius 4-24-12 (US).csv</x:v>
      </x:c>
      <x:c r="K123" s="79" t="str">
        <x:v>2012-04-24</x:v>
      </x:c>
      <x:c r="L123" s="79" t="str">
        <x:v>READ-ONLY DIAGNOSTIC CANDIDATE</x:v>
      </x:c>
      <x:c r="M123" s="79" t="str">
        <x:v>CANDIDATE</x:v>
      </x:c>
      <x:c r="N123" s="80" t="str">
        <x:v>Older US snapshot retained for change comparison</x:v>
      </x:c>
    </x:row>
    <x:row r="124">
      <x:c r="A124" s="78" t="str">
        <x:v>MG1 Gate Status</x:v>
      </x:c>
      <x:c r="B124" s="79" t="str">
        <x:v>MG1 Gate</x:v>
      </x:c>
      <x:c r="C124" s="79" t="str">
        <x:v>2170</x:v>
      </x:c>
      <x:c r="D124" s="79" t="str">
        <x:v>{D:7}</x:v>
      </x:c>
      <x:c r="E124" s="79" t="str">
        <x:v>0</x:v>
      </x:c>
      <x:c r="F124" s="79" t="str">
        <x:v>1</x:v>
      </x:c>
      <x:c r="G124" s="79" t="str">
        <x:v>Off/On</x:v>
      </x:c>
      <x:c r="H124" s="79" t="str">
        <x:v>7E2</x:v>
      </x:c>
      <x:c r="I124" s="79" t="str">
        <x:v>PRIUS_GEN3 / ZVW30</x:v>
      </x:c>
      <x:c r="J124" s="79" t="str">
        <x:v>GenIII Prius 4-24-12 (US).csv</x:v>
      </x:c>
      <x:c r="K124" s="79" t="str">
        <x:v>2012-04-24</x:v>
      </x:c>
      <x:c r="L124" s="79" t="str">
        <x:v>READ-ONLY DIAGNOSTIC CANDIDATE</x:v>
      </x:c>
      <x:c r="M124" s="79" t="str">
        <x:v>CANDIDATE</x:v>
      </x:c>
      <x:c r="N124" s="80" t="str">
        <x:v>Older US snapshot retained for change comparison</x:v>
      </x:c>
    </x:row>
    <x:row r="125">
      <x:c r="A125" s="78" t="str">
        <x:v>Inverter MG2 Temp</x:v>
      </x:c>
      <x:c r="B125" s="79" t="str">
        <x:v>Inv2t</x:v>
      </x:c>
      <x:c r="C125" s="79" t="str">
        <x:v>2171</x:v>
      </x:c>
      <x:c r="D125" s="79" t="str">
        <x:v>A * 9 / 5 - 40</x:v>
      </x:c>
      <x:c r="E125" s="79" t="str">
        <x:v>59</x:v>
      </x:c>
      <x:c r="F125" s="79" t="str">
        <x:v>302</x:v>
      </x:c>
      <x:c r="G125" s="79" t="str">
        <x:v>F</x:v>
      </x:c>
      <x:c r="H125" s="79" t="str">
        <x:v>7E2</x:v>
      </x:c>
      <x:c r="I125" s="79" t="str">
        <x:v>PRIUS_GEN3 / ZVW30</x:v>
      </x:c>
      <x:c r="J125" s="79" t="str">
        <x:v>GenIII Prius 4-24-12 (US).csv</x:v>
      </x:c>
      <x:c r="K125" s="79" t="str">
        <x:v>2012-04-24</x:v>
      </x:c>
      <x:c r="L125" s="79" t="str">
        <x:v>READ-ONLY DIAGNOSTIC CANDIDATE</x:v>
      </x:c>
      <x:c r="M125" s="79" t="str">
        <x:v>CANDIDATE</x:v>
      </x:c>
      <x:c r="N125" s="80" t="str">
        <x:v>Older US snapshot retained for change comparison</x:v>
      </x:c>
    </x:row>
    <x:row r="126">
      <x:c r="A126" s="78" t="str">
        <x:v>Inverter MG2 Temp after IG-ON</x:v>
      </x:c>
      <x:c r="B126" s="79" t="str">
        <x:v>Inv2t Ign</x:v>
      </x:c>
      <x:c r="C126" s="79" t="str">
        <x:v>2171</x:v>
      </x:c>
      <x:c r="D126" s="79" t="str">
        <x:v>B * 9 / 5 - 40</x:v>
      </x:c>
      <x:c r="E126" s="79" t="str">
        <x:v>59</x:v>
      </x:c>
      <x:c r="F126" s="79" t="str">
        <x:v>302</x:v>
      </x:c>
      <x:c r="G126" s="79" t="str">
        <x:v>F</x:v>
      </x:c>
      <x:c r="H126" s="79" t="str">
        <x:v>7E2</x:v>
      </x:c>
      <x:c r="I126" s="79" t="str">
        <x:v>PRIUS_GEN3 / ZVW30</x:v>
      </x:c>
      <x:c r="J126" s="79" t="str">
        <x:v>GenIII Prius 4-24-12 (US).csv</x:v>
      </x:c>
      <x:c r="K126" s="79" t="str">
        <x:v>2012-04-24</x:v>
      </x:c>
      <x:c r="L126" s="79" t="str">
        <x:v>READ-ONLY DIAGNOSTIC CANDIDATE</x:v>
      </x:c>
      <x:c r="M126" s="79" t="str">
        <x:v>CANDIDATE</x:v>
      </x:c>
      <x:c r="N126" s="80" t="str">
        <x:v>Older US snapshot retained for change comparison</x:v>
      </x:c>
    </x:row>
    <x:row r="127">
      <x:c r="A127" s="78" t="str">
        <x:v>Inverter MG2 Temp Max</x:v>
      </x:c>
      <x:c r="B127" s="79" t="str">
        <x:v>Inv2t max</x:v>
      </x:c>
      <x:c r="C127" s="79" t="str">
        <x:v>2171</x:v>
      </x:c>
      <x:c r="D127" s="79" t="str">
        <x:v>C * 9 / 5 - 40</x:v>
      </x:c>
      <x:c r="E127" s="79" t="str">
        <x:v>59</x:v>
      </x:c>
      <x:c r="F127" s="79" t="str">
        <x:v>302</x:v>
      </x:c>
      <x:c r="G127" s="79" t="str">
        <x:v>F</x:v>
      </x:c>
      <x:c r="H127" s="79" t="str">
        <x:v>7E2</x:v>
      </x:c>
      <x:c r="I127" s="79" t="str">
        <x:v>PRIUS_GEN3 / ZVW30</x:v>
      </x:c>
      <x:c r="J127" s="79" t="str">
        <x:v>GenIII Prius 4-24-12 (US).csv</x:v>
      </x:c>
      <x:c r="K127" s="79" t="str">
        <x:v>2012-04-24</x:v>
      </x:c>
      <x:c r="L127" s="79" t="str">
        <x:v>READ-ONLY DIAGNOSTIC CANDIDATE</x:v>
      </x:c>
      <x:c r="M127" s="79" t="str">
        <x:v>CANDIDATE</x:v>
      </x:c>
      <x:c r="N127" s="80" t="str">
        <x:v>Older US snapshot retained for change comparison</x:v>
      </x:c>
    </x:row>
    <x:row r="128">
      <x:c r="A128" s="78" t="str">
        <x:v>MG2 Gate Status</x:v>
      </x:c>
      <x:c r="B128" s="79" t="str">
        <x:v>MG2 Gate</x:v>
      </x:c>
      <x:c r="C128" s="79" t="str">
        <x:v>2171</x:v>
      </x:c>
      <x:c r="D128" s="79" t="str">
        <x:v>{D:7}</x:v>
      </x:c>
      <x:c r="E128" s="79" t="str">
        <x:v>0</x:v>
      </x:c>
      <x:c r="F128" s="79" t="str">
        <x:v>1</x:v>
      </x:c>
      <x:c r="G128" s="79" t="str">
        <x:v>Off/On</x:v>
      </x:c>
      <x:c r="H128" s="79" t="str">
        <x:v>7E2</x:v>
      </x:c>
      <x:c r="I128" s="79" t="str">
        <x:v>PRIUS_GEN3 / ZVW30</x:v>
      </x:c>
      <x:c r="J128" s="79" t="str">
        <x:v>GenIII Prius 4-24-12 (US).csv</x:v>
      </x:c>
      <x:c r="K128" s="79" t="str">
        <x:v>2012-04-24</x:v>
      </x:c>
      <x:c r="L128" s="79" t="str">
        <x:v>READ-ONLY DIAGNOSTIC CANDIDATE</x:v>
      </x:c>
      <x:c r="M128" s="79" t="str">
        <x:v>CANDIDATE</x:v>
      </x:c>
      <x:c r="N128" s="80" t="str">
        <x:v>Older US snapshot retained for change comparison</x:v>
      </x:c>
    </x:row>
    <x:row r="129">
      <x:c r="A129" s="78" t="str">
        <x:v>Boost converter temperature (upper)</x:v>
      </x:c>
      <x:c r="B129" s="79" t="str">
        <x:v>BC U</x:v>
      </x:c>
      <x:c r="C129" s="79" t="str">
        <x:v>2174</x:v>
      </x:c>
      <x:c r="D129" s="79" t="str">
        <x:v>A * 9 / 5 - 40</x:v>
      </x:c>
      <x:c r="E129" s="79" t="str">
        <x:v>59</x:v>
      </x:c>
      <x:c r="F129" s="79" t="str">
        <x:v>302</x:v>
      </x:c>
      <x:c r="G129" s="79" t="str">
        <x:v>F</x:v>
      </x:c>
      <x:c r="H129" s="79" t="str">
        <x:v>7E2</x:v>
      </x:c>
      <x:c r="I129" s="79" t="str">
        <x:v>PRIUS_GEN3 / ZVW30</x:v>
      </x:c>
      <x:c r="J129" s="79" t="str">
        <x:v>GenIII Prius 4-24-12 (US).csv</x:v>
      </x:c>
      <x:c r="K129" s="79" t="str">
        <x:v>2012-04-24</x:v>
      </x:c>
      <x:c r="L129" s="79" t="str">
        <x:v>READ-ONLY DIAGNOSTIC CANDIDATE</x:v>
      </x:c>
      <x:c r="M129" s="79" t="str">
        <x:v>CANDIDATE</x:v>
      </x:c>
      <x:c r="N129" s="80" t="str">
        <x:v>Older US snapshot retained for change comparison</x:v>
      </x:c>
    </x:row>
    <x:row r="130">
      <x:c r="A130" s="78" t="str">
        <x:v>Boost converter temperature (lower)</x:v>
      </x:c>
      <x:c r="B130" s="79" t="str">
        <x:v>BC L</x:v>
      </x:c>
      <x:c r="C130" s="79" t="str">
        <x:v>2174</x:v>
      </x:c>
      <x:c r="D130" s="79" t="str">
        <x:v>B * 9 / 5 - 40</x:v>
      </x:c>
      <x:c r="E130" s="79" t="str">
        <x:v>59</x:v>
      </x:c>
      <x:c r="F130" s="79" t="str">
        <x:v>302</x:v>
      </x:c>
      <x:c r="G130" s="79" t="str">
        <x:v>F</x:v>
      </x:c>
      <x:c r="H130" s="79" t="str">
        <x:v>7E2</x:v>
      </x:c>
      <x:c r="I130" s="79" t="str">
        <x:v>PRIUS_GEN3 / ZVW30</x:v>
      </x:c>
      <x:c r="J130" s="79" t="str">
        <x:v>GenIII Prius 4-24-12 (US).csv</x:v>
      </x:c>
      <x:c r="K130" s="79" t="str">
        <x:v>2012-04-24</x:v>
      </x:c>
      <x:c r="L130" s="79" t="str">
        <x:v>READ-ONLY DIAGNOSTIC CANDIDATE</x:v>
      </x:c>
      <x:c r="M130" s="79" t="str">
        <x:v>CANDIDATE</x:v>
      </x:c>
      <x:c r="N130" s="80" t="str">
        <x:v>Older US snapshot retained for change comparison</x:v>
      </x:c>
    </x:row>
    <x:row r="131">
      <x:c r="A131" s="78" t="str">
        <x:v>Boost converter temperature after IG-ON</x:v>
      </x:c>
      <x:c r="B131" s="79" t="str">
        <x:v>BC Ign</x:v>
      </x:c>
      <x:c r="C131" s="79" t="str">
        <x:v>2174</x:v>
      </x:c>
      <x:c r="D131" s="79" t="str">
        <x:v>C * 9 / 5 - 40</x:v>
      </x:c>
      <x:c r="E131" s="79" t="str">
        <x:v>59</x:v>
      </x:c>
      <x:c r="F131" s="79" t="str">
        <x:v>302</x:v>
      </x:c>
      <x:c r="G131" s="79" t="str">
        <x:v>F</x:v>
      </x:c>
      <x:c r="H131" s="79" t="str">
        <x:v>7E2</x:v>
      </x:c>
      <x:c r="I131" s="79" t="str">
        <x:v>PRIUS_GEN3 / ZVW30</x:v>
      </x:c>
      <x:c r="J131" s="79" t="str">
        <x:v>GenIII Prius 4-24-12 (US).csv</x:v>
      </x:c>
      <x:c r="K131" s="79" t="str">
        <x:v>2012-04-24</x:v>
      </x:c>
      <x:c r="L131" s="79" t="str">
        <x:v>READ-ONLY DIAGNOSTIC CANDIDATE</x:v>
      </x:c>
      <x:c r="M131" s="79" t="str">
        <x:v>CANDIDATE</x:v>
      </x:c>
      <x:c r="N131" s="80" t="str">
        <x:v>Older US snapshot retained for change comparison</x:v>
      </x:c>
    </x:row>
    <x:row r="132">
      <x:c r="A132" s="78" t="str">
        <x:v>Boost converter temperature Max</x:v>
      </x:c>
      <x:c r="B132" s="79" t="str">
        <x:v>BC max</x:v>
      </x:c>
      <x:c r="C132" s="79" t="str">
        <x:v>2174</x:v>
      </x:c>
      <x:c r="D132" s="79" t="str">
        <x:v>D * 9 / 5 - 40</x:v>
      </x:c>
      <x:c r="E132" s="79" t="str">
        <x:v>59</x:v>
      </x:c>
      <x:c r="F132" s="79" t="str">
        <x:v>302</x:v>
      </x:c>
      <x:c r="G132" s="79" t="str">
        <x:v>F</x:v>
      </x:c>
      <x:c r="H132" s="79" t="str">
        <x:v>7E2</x:v>
      </x:c>
      <x:c r="I132" s="79" t="str">
        <x:v>PRIUS_GEN3 / ZVW30</x:v>
      </x:c>
      <x:c r="J132" s="79" t="str">
        <x:v>GenIII Prius 4-24-12 (US).csv</x:v>
      </x:c>
      <x:c r="K132" s="79" t="str">
        <x:v>2012-04-24</x:v>
      </x:c>
      <x:c r="L132" s="79" t="str">
        <x:v>READ-ONLY DIAGNOSTIC CANDIDATE</x:v>
      </x:c>
      <x:c r="M132" s="79" t="str">
        <x:v>CANDIDATE</x:v>
      </x:c>
      <x:c r="N132" s="80" t="str">
        <x:v>Older US snapshot retained for change comparison</x:v>
      </x:c>
    </x:row>
    <x:row r="133">
      <x:c r="A133" s="78" t="str">
        <x:v>Converter Gate Status</x:v>
      </x:c>
      <x:c r="B133" s="79" t="str">
        <x:v>Cnv Gate</x:v>
      </x:c>
      <x:c r="C133" s="79" t="str">
        <x:v>2174</x:v>
      </x:c>
      <x:c r="D133" s="79" t="str">
        <x:v>{E:7}</x:v>
      </x:c>
      <x:c r="E133" s="79" t="str">
        <x:v>0</x:v>
      </x:c>
      <x:c r="F133" s="79" t="str">
        <x:v>1</x:v>
      </x:c>
      <x:c r="G133" s="79" t="str">
        <x:v>Off/On</x:v>
      </x:c>
      <x:c r="H133" s="79" t="str">
        <x:v>7E2</x:v>
      </x:c>
      <x:c r="I133" s="79" t="str">
        <x:v>PRIUS_GEN3 / ZVW30</x:v>
      </x:c>
      <x:c r="J133" s="79" t="str">
        <x:v>GenIII Prius 4-24-12 (US).csv</x:v>
      </x:c>
      <x:c r="K133" s="79" t="str">
        <x:v>2012-04-24</x:v>
      </x:c>
      <x:c r="L133" s="79" t="str">
        <x:v>READ-ONLY DIAGNOSTIC CANDIDATE</x:v>
      </x:c>
      <x:c r="M133" s="79" t="str">
        <x:v>CANDIDATE</x:v>
      </x:c>
      <x:c r="N133" s="80" t="str">
        <x:v>Older US snapshot retained for change comparison</x:v>
      </x:c>
    </x:row>
    <x:row r="134">
      <x:c r="A134" s="78" t="str">
        <x:v>Overvoltage Input to Converter</x:v>
      </x:c>
      <x:c r="B134" s="79" t="str">
        <x:v>O/V I/P Cnv</x:v>
      </x:c>
      <x:c r="C134" s="79" t="str">
        <x:v>2174</x:v>
      </x:c>
      <x:c r="D134" s="79" t="str">
        <x:v>{E:6}</x:v>
      </x:c>
      <x:c r="E134" s="79" t="str">
        <x:v>0</x:v>
      </x:c>
      <x:c r="F134" s="79" t="str">
        <x:v>1</x:v>
      </x:c>
      <x:c r="G134" s="79" t="str">
        <x:v>Off/On</x:v>
      </x:c>
      <x:c r="H134" s="79" t="str">
        <x:v>7E2</x:v>
      </x:c>
      <x:c r="I134" s="79" t="str">
        <x:v>PRIUS_GEN3 / ZVW30</x:v>
      </x:c>
      <x:c r="J134" s="79" t="str">
        <x:v>GenIII Prius 4-24-12 (US).csv</x:v>
      </x:c>
      <x:c r="K134" s="79" t="str">
        <x:v>2012-04-24</x:v>
      </x:c>
      <x:c r="L134" s="79" t="str">
        <x:v>READ-ONLY DIAGNOSTIC CANDIDATE</x:v>
      </x:c>
      <x:c r="M134" s="79" t="str">
        <x:v>CANDIDATE</x:v>
      </x:c>
      <x:c r="N134" s="80" t="str">
        <x:v>Older US snapshot retained for change comparison</x:v>
      </x:c>
    </x:row>
    <x:row r="135">
      <x:c r="A135" s="78" t="str">
        <x:v>Overvoltage Input to Inverter</x:v>
      </x:c>
      <x:c r="B135" s="79" t="str">
        <x:v>O/V I/P Inv</x:v>
      </x:c>
      <x:c r="C135" s="79" t="str">
        <x:v>2174</x:v>
      </x:c>
      <x:c r="D135" s="79" t="str">
        <x:v>{E:5}</x:v>
      </x:c>
      <x:c r="E135" s="79" t="str">
        <x:v>0</x:v>
      </x:c>
      <x:c r="F135" s="79" t="str">
        <x:v>1</x:v>
      </x:c>
      <x:c r="G135" s="79" t="str">
        <x:v>Off/On</x:v>
      </x:c>
      <x:c r="H135" s="79" t="str">
        <x:v>7E2</x:v>
      </x:c>
      <x:c r="I135" s="79" t="str">
        <x:v>PRIUS_GEN3 / ZVW30</x:v>
      </x:c>
      <x:c r="J135" s="79" t="str">
        <x:v>GenIII Prius 4-24-12 (US).csv</x:v>
      </x:c>
      <x:c r="K135" s="79" t="str">
        <x:v>2012-04-24</x:v>
      </x:c>
      <x:c r="L135" s="79" t="str">
        <x:v>READ-ONLY DIAGNOSTIC CANDIDATE</x:v>
      </x:c>
      <x:c r="M135" s="79" t="str">
        <x:v>CANDIDATE</x:v>
      </x:c>
      <x:c r="N135" s="80" t="str">
        <x:v>Older US snapshot retained for change comparison</x:v>
      </x:c>
    </x:row>
    <x:row r="136">
      <x:c r="A136" s="78" t="str">
        <x:v>VL-Voltage before Boosting</x:v>
      </x:c>
      <x:c r="B136" s="79" t="str">
        <x:v>VLB</x:v>
      </x:c>
      <x:c r="C136" s="79" t="str">
        <x:v>2174</x:v>
      </x:c>
      <x:c r="D136" s="79" t="str">
        <x:v>(F * 256 + G) / 2</x:v>
      </x:c>
      <x:c r="E136" s="79" t="str">
        <x:v>0</x:v>
      </x:c>
      <x:c r="F136" s="79" t="str">
        <x:v>300</x:v>
      </x:c>
      <x:c r="G136" s="79" t="str">
        <x:v>V</x:v>
      </x:c>
      <x:c r="H136" s="79" t="str">
        <x:v>7E2</x:v>
      </x:c>
      <x:c r="I136" s="79" t="str">
        <x:v>PRIUS_GEN3 / ZVW30</x:v>
      </x:c>
      <x:c r="J136" s="79" t="str">
        <x:v>GenIII Prius 4-24-12 (US).csv</x:v>
      </x:c>
      <x:c r="K136" s="79" t="str">
        <x:v>2012-04-24</x:v>
      </x:c>
      <x:c r="L136" s="79" t="str">
        <x:v>READ-ONLY DIAGNOSTIC CANDIDATE</x:v>
      </x:c>
      <x:c r="M136" s="79" t="str">
        <x:v>CANDIDATE</x:v>
      </x:c>
      <x:c r="N136" s="80" t="str">
        <x:v>Older US snapshot retained for change comparison</x:v>
      </x:c>
    </x:row>
    <x:row r="137">
      <x:c r="A137" s="78" t="str">
        <x:v>VH-Voltage after Boosting</x:v>
      </x:c>
      <x:c r="B137" s="79" t="str">
        <x:v>VHB</x:v>
      </x:c>
      <x:c r="C137" s="79" t="str">
        <x:v>2174</x:v>
      </x:c>
      <x:c r="D137" s="79" t="str">
        <x:v>(H * 256 + I) / 2</x:v>
      </x:c>
      <x:c r="E137" s="79" t="str">
        <x:v>0</x:v>
      </x:c>
      <x:c r="F137" s="79" t="str">
        <x:v>765</x:v>
      </x:c>
      <x:c r="G137" s="79" t="str">
        <x:v>V</x:v>
      </x:c>
      <x:c r="H137" s="79" t="str">
        <x:v>7E2</x:v>
      </x:c>
      <x:c r="I137" s="79" t="str">
        <x:v>PRIUS_GEN3 / ZVW30</x:v>
      </x:c>
      <x:c r="J137" s="79" t="str">
        <x:v>GenIII Prius 4-24-12 (US).csv</x:v>
      </x:c>
      <x:c r="K137" s="79" t="str">
        <x:v>2012-04-24</x:v>
      </x:c>
      <x:c r="L137" s="79" t="str">
        <x:v>READ-ONLY DIAGNOSTIC CANDIDATE</x:v>
      </x:c>
      <x:c r="M137" s="79" t="str">
        <x:v>CANDIDATE</x:v>
      </x:c>
      <x:c r="N137" s="80" t="str">
        <x:v>Older US snapshot retained for change comparison</x:v>
      </x:c>
    </x:row>
    <x:row r="138">
      <x:c r="A138" s="78" t="str">
        <x:v>Prohibit DC/DC converter signal</x:v>
      </x:c>
      <x:c r="B138" s="79" t="str">
        <x:v>P DCDC</x:v>
      </x:c>
      <x:c r="C138" s="79" t="str">
        <x:v>2175</x:v>
      </x:c>
      <x:c r="D138" s="79" t="str">
        <x:v>{A:6}</x:v>
      </x:c>
      <x:c r="E138" s="79" t="str">
        <x:v>0</x:v>
      </x:c>
      <x:c r="F138" s="79" t="str">
        <x:v>1</x:v>
      </x:c>
      <x:c r="G138" s="79" t="str">
        <x:v>Off/On</x:v>
      </x:c>
      <x:c r="H138" s="79" t="str">
        <x:v>7E2</x:v>
      </x:c>
      <x:c r="I138" s="79" t="str">
        <x:v>PRIUS_GEN3 / ZVW30</x:v>
      </x:c>
      <x:c r="J138" s="79" t="str">
        <x:v>GenIII Prius 4-24-12 (US).csv</x:v>
      </x:c>
      <x:c r="K138" s="79" t="str">
        <x:v>2012-04-24</x:v>
      </x:c>
      <x:c r="L138" s="79" t="str">
        <x:v>READ-ONLY DIAGNOSTIC CANDIDATE</x:v>
      </x:c>
      <x:c r="M138" s="79" t="str">
        <x:v>CANDIDATE</x:v>
      </x:c>
      <x:c r="N138" s="80" t="str">
        <x:v>Older US snapshot retained for change comparison</x:v>
      </x:c>
    </x:row>
    <x:row r="139">
      <x:c r="A139" s="78" t="str">
        <x:v>Aircon Gate Status</x:v>
      </x:c>
      <x:c r="B139" s="79" t="str">
        <x:v>A/C Gate</x:v>
      </x:c>
      <x:c r="C139" s="79" t="str">
        <x:v>2175</x:v>
      </x:c>
      <x:c r="D139" s="79" t="str">
        <x:v>{A:5}</x:v>
      </x:c>
      <x:c r="E139" s="79" t="str">
        <x:v>0</x:v>
      </x:c>
      <x:c r="F139" s="79" t="str">
        <x:v>1</x:v>
      </x:c>
      <x:c r="G139" s="79" t="str">
        <x:v>Off/On</x:v>
      </x:c>
      <x:c r="H139" s="79" t="str">
        <x:v>7E2</x:v>
      </x:c>
      <x:c r="I139" s="79" t="str">
        <x:v>PRIUS_GEN3 / ZVW30</x:v>
      </x:c>
      <x:c r="J139" s="79" t="str">
        <x:v>GenIII Prius 4-24-12 (US).csv</x:v>
      </x:c>
      <x:c r="K139" s="79" t="str">
        <x:v>2012-04-24</x:v>
      </x:c>
      <x:c r="L139" s="79" t="str">
        <x:v>READ-ONLY DIAGNOSTIC CANDIDATE</x:v>
      </x:c>
      <x:c r="M139" s="79" t="str">
        <x:v>CANDIDATE</x:v>
      </x:c>
      <x:c r="N139" s="80" t="str">
        <x:v>Older US snapshot retained for change comparison</x:v>
      </x:c>
    </x:row>
    <x:row r="140">
      <x:c r="A140" s="78" t="str">
        <x:v>Water Pump Running</x:v>
      </x:c>
      <x:c r="B140" s="79" t="str">
        <x:v>WP run</x:v>
      </x:c>
      <x:c r="C140" s="79" t="str">
        <x:v>2175</x:v>
      </x:c>
      <x:c r="D140" s="79" t="str">
        <x:v>{A:4}</x:v>
      </x:c>
      <x:c r="E140" s="79" t="str">
        <x:v>0</x:v>
      </x:c>
      <x:c r="F140" s="79" t="str">
        <x:v>1</x:v>
      </x:c>
      <x:c r="G140" s="79" t="str">
        <x:v>Off/On</x:v>
      </x:c>
      <x:c r="H140" s="79" t="str">
        <x:v>7E2</x:v>
      </x:c>
      <x:c r="I140" s="79" t="str">
        <x:v>PRIUS_GEN3 / ZVW30</x:v>
      </x:c>
      <x:c r="J140" s="79" t="str">
        <x:v>GenIII Prius 4-24-12 (US).csv</x:v>
      </x:c>
      <x:c r="K140" s="79" t="str">
        <x:v>2012-04-24</x:v>
      </x:c>
      <x:c r="L140" s="79" t="str">
        <x:v>READ-ONLY DIAGNOSTIC CANDIDATE</x:v>
      </x:c>
      <x:c r="M140" s="79" t="str">
        <x:v>CANDIDATE</x:v>
      </x:c>
      <x:c r="N140" s="80" t="str">
        <x:v>Older US snapshot retained for change comparison</x:v>
      </x:c>
    </x:row>
    <x:row r="141">
      <x:c r="A141" s="78" t="str">
        <x:v>Inverter Water Pump Revolution</x:v>
      </x:c>
      <x:c r="B141" s="79" t="str">
        <x:v>Inv WP</x:v>
      </x:c>
      <x:c r="C141" s="79" t="str">
        <x:v>2175</x:v>
      </x:c>
      <x:c r="D141" s="79" t="str">
        <x:v>B * 256 + C</x:v>
      </x:c>
      <x:c r="E141" s="79" t="str">
        <x:v>0</x:v>
      </x:c>
      <x:c r="F141" s="79" t="str">
        <x:v>5000</x:v>
      </x:c>
      <x:c r="G141" s="79" t="str">
        <x:v>RPM</x:v>
      </x:c>
      <x:c r="H141" s="79" t="str">
        <x:v>7E2</x:v>
      </x:c>
      <x:c r="I141" s="79" t="str">
        <x:v>PRIUS_GEN3 / ZVW30</x:v>
      </x:c>
      <x:c r="J141" s="79" t="str">
        <x:v>GenIII Prius 4-24-12 (US).csv</x:v>
      </x:c>
      <x:c r="K141" s="79" t="str">
        <x:v>2012-04-24</x:v>
      </x:c>
      <x:c r="L141" s="79" t="str">
        <x:v>READ-ONLY DIAGNOSTIC CANDIDATE</x:v>
      </x:c>
      <x:c r="M141" s="79" t="str">
        <x:v>CANDIDATE</x:v>
      </x:c>
      <x:c r="N141" s="80" t="str">
        <x:v>Older US snapshot retained for change comparison</x:v>
      </x:c>
    </x:row>
    <x:row r="142">
      <x:c r="A142" s="78" t="str">
        <x:v>Inverter Coolant Temp</x:v>
      </x:c>
      <x:c r="B142" s="79" t="str">
        <x:v>Inv Coolant</x:v>
      </x:c>
      <x:c r="C142" s="79" t="str">
        <x:v>2175</x:v>
      </x:c>
      <x:c r="D142" s="79" t="str">
        <x:v>D * 9 / 5 - 40</x:v>
      </x:c>
      <x:c r="E142" s="79" t="str">
        <x:v>59</x:v>
      </x:c>
      <x:c r="F142" s="79" t="str">
        <x:v>302</x:v>
      </x:c>
      <x:c r="G142" s="79" t="str">
        <x:v>F</x:v>
      </x:c>
      <x:c r="H142" s="79" t="str">
        <x:v>7E2</x:v>
      </x:c>
      <x:c r="I142" s="79" t="str">
        <x:v>PRIUS_GEN3 / ZVW30</x:v>
      </x:c>
      <x:c r="J142" s="79" t="str">
        <x:v>GenIII Prius 4-24-12 (US).csv</x:v>
      </x:c>
      <x:c r="K142" s="79" t="str">
        <x:v>2012-04-24</x:v>
      </x:c>
      <x:c r="L142" s="79" t="str">
        <x:v>READ-ONLY DIAGNOSTIC CANDIDATE</x:v>
      </x:c>
      <x:c r="M142" s="79" t="str">
        <x:v>CANDIDATE</x:v>
      </x:c>
      <x:c r="N142" s="80" t="str">
        <x:v>Older US snapshot retained for change comparison</x:v>
      </x:c>
    </x:row>
    <x:row r="143">
      <x:c r="A143" s="78" t="str">
        <x:v>MG1 Inverter Shutdown</x:v>
      </x:c>
      <x:c r="B143" s="79" t="str">
        <x:v>Inv1 S/D</x:v>
      </x:c>
      <x:c r="C143" s="79" t="str">
        <x:v>2178 </x:v>
      </x:c>
      <x:c r="D143" s="79" t="str">
        <x:v>{A:7}</x:v>
      </x:c>
      <x:c r="E143" s="79" t="str">
        <x:v>0</x:v>
      </x:c>
      <x:c r="F143" s="79" t="str">
        <x:v>1</x:v>
      </x:c>
      <x:c r="G143" s="79" t="str">
        <x:v>Off/On</x:v>
      </x:c>
      <x:c r="H143" s="79" t="str">
        <x:v>7E2</x:v>
      </x:c>
      <x:c r="I143" s="79" t="str">
        <x:v>PRIUS_GEN3 / ZVW30</x:v>
      </x:c>
      <x:c r="J143" s="79" t="str">
        <x:v>GenIII Prius 4-24-12 (US).csv</x:v>
      </x:c>
      <x:c r="K143" s="79" t="str">
        <x:v>2012-04-24</x:v>
      </x:c>
      <x:c r="L143" s="79" t="str">
        <x:v>READ-ONLY DIAGNOSTIC CANDIDATE</x:v>
      </x:c>
      <x:c r="M143" s="79" t="str">
        <x:v>CANDIDATE</x:v>
      </x:c>
      <x:c r="N143" s="80" t="str">
        <x:v>Older US snapshot retained for change comparison</x:v>
      </x:c>
    </x:row>
    <x:row r="144">
      <x:c r="A144" s="78" t="str">
        <x:v>MG1 Inverter Fail</x:v>
      </x:c>
      <x:c r="B144" s="79" t="str">
        <x:v>Inv1 fail</x:v>
      </x:c>
      <x:c r="C144" s="79" t="str">
        <x:v>2178 </x:v>
      </x:c>
      <x:c r="D144" s="79" t="str">
        <x:v>{A:6}</x:v>
      </x:c>
      <x:c r="E144" s="79" t="str">
        <x:v>0</x:v>
      </x:c>
      <x:c r="F144" s="79" t="str">
        <x:v>1</x:v>
      </x:c>
      <x:c r="G144" s="79" t="str">
        <x:v>Off/On</x:v>
      </x:c>
      <x:c r="H144" s="79" t="str">
        <x:v>7E2</x:v>
      </x:c>
      <x:c r="I144" s="79" t="str">
        <x:v>PRIUS_GEN3 / ZVW30</x:v>
      </x:c>
      <x:c r="J144" s="79" t="str">
        <x:v>GenIII Prius 4-24-12 (US).csv</x:v>
      </x:c>
      <x:c r="K144" s="79" t="str">
        <x:v>2012-04-24</x:v>
      </x:c>
      <x:c r="L144" s="79" t="str">
        <x:v>READ-ONLY DIAGNOSTIC CANDIDATE</x:v>
      </x:c>
      <x:c r="M144" s="79" t="str">
        <x:v>CANDIDATE</x:v>
      </x:c>
      <x:c r="N144" s="80" t="str">
        <x:v>Older US snapshot retained for change comparison</x:v>
      </x:c>
    </x:row>
    <x:row r="145">
      <x:c r="A145" s="78" t="str">
        <x:v>MG2 Inverter Shutdown</x:v>
      </x:c>
      <x:c r="B145" s="79" t="str">
        <x:v>Inv2 S/D</x:v>
      </x:c>
      <x:c r="C145" s="79" t="str">
        <x:v>2178 </x:v>
      </x:c>
      <x:c r="D145" s="79" t="str">
        <x:v>{B:7}</x:v>
      </x:c>
      <x:c r="E145" s="79" t="str">
        <x:v>0</x:v>
      </x:c>
      <x:c r="F145" s="79" t="str">
        <x:v>1</x:v>
      </x:c>
      <x:c r="G145" s="79" t="str">
        <x:v>Off/On</x:v>
      </x:c>
      <x:c r="H145" s="79" t="str">
        <x:v>7E2</x:v>
      </x:c>
      <x:c r="I145" s="79" t="str">
        <x:v>PRIUS_GEN3 / ZVW30</x:v>
      </x:c>
      <x:c r="J145" s="79" t="str">
        <x:v>GenIII Prius 4-24-12 (US).csv</x:v>
      </x:c>
      <x:c r="K145" s="79" t="str">
        <x:v>2012-04-24</x:v>
      </x:c>
      <x:c r="L145" s="79" t="str">
        <x:v>READ-ONLY DIAGNOSTIC CANDIDATE</x:v>
      </x:c>
      <x:c r="M145" s="79" t="str">
        <x:v>CANDIDATE</x:v>
      </x:c>
      <x:c r="N145" s="80" t="str">
        <x:v>Older US snapshot retained for change comparison</x:v>
      </x:c>
    </x:row>
    <x:row r="146">
      <x:c r="A146" s="78" t="str">
        <x:v>MG2 Inverter Fail</x:v>
      </x:c>
      <x:c r="B146" s="79" t="str">
        <x:v>Inv2 fail</x:v>
      </x:c>
      <x:c r="C146" s="79" t="str">
        <x:v>2178 </x:v>
      </x:c>
      <x:c r="D146" s="79" t="str">
        <x:v>{B:6}</x:v>
      </x:c>
      <x:c r="E146" s="79" t="str">
        <x:v>0</x:v>
      </x:c>
      <x:c r="F146" s="79" t="str">
        <x:v>1</x:v>
      </x:c>
      <x:c r="G146" s="79" t="str">
        <x:v>Off/On</x:v>
      </x:c>
      <x:c r="H146" s="79" t="str">
        <x:v>7E2</x:v>
      </x:c>
      <x:c r="I146" s="79" t="str">
        <x:v>PRIUS_GEN3 / ZVW30</x:v>
      </x:c>
      <x:c r="J146" s="79" t="str">
        <x:v>GenIII Prius 4-24-12 (US).csv</x:v>
      </x:c>
      <x:c r="K146" s="79" t="str">
        <x:v>2012-04-24</x:v>
      </x:c>
      <x:c r="L146" s="79" t="str">
        <x:v>READ-ONLY DIAGNOSTIC CANDIDATE</x:v>
      </x:c>
      <x:c r="M146" s="79" t="str">
        <x:v>CANDIDATE</x:v>
      </x:c>
      <x:c r="N146" s="80" t="str">
        <x:v>Older US snapshot retained for change comparison</x:v>
      </x:c>
    </x:row>
    <x:row r="147">
      <x:c r="A147" s="78" t="str">
        <x:v>DCDC Cnv Target Pulse Duty</x:v>
      </x:c>
      <x:c r="B147" s="79" t="str">
        <x:v>DCTPD</x:v>
      </x:c>
      <x:c r="C147" s="79" t="str">
        <x:v>2179</x:v>
      </x:c>
      <x:c r="D147" s="79" t="str">
        <x:v>(A * 256 + B) * 399.9 / 65535</x:v>
      </x:c>
      <x:c r="E147" s="79" t="str">
        <x:v>0</x:v>
      </x:c>
      <x:c r="F147" s="79" t="str">
        <x:v>100</x:v>
      </x:c>
      <x:c r="G147" s="79" t="str">
        <x:v>%</x:v>
      </x:c>
      <x:c r="H147" s="79" t="str">
        <x:v>7E2</x:v>
      </x:c>
      <x:c r="I147" s="79" t="str">
        <x:v>PRIUS_GEN3 / ZVW30</x:v>
      </x:c>
      <x:c r="J147" s="79" t="str">
        <x:v>GenIII Prius 4-24-12 (US).csv</x:v>
      </x:c>
      <x:c r="K147" s="79" t="str">
        <x:v>2012-04-24</x:v>
      </x:c>
      <x:c r="L147" s="79" t="str">
        <x:v>READ-ONLY DIAGNOSTIC CANDIDATE</x:v>
      </x:c>
      <x:c r="M147" s="79" t="str">
        <x:v>CANDIDATE</x:v>
      </x:c>
      <x:c r="N147" s="80" t="str">
        <x:v>Older US snapshot retained for change comparison</x:v>
      </x:c>
    </x:row>
    <x:row r="148">
      <x:c r="A148" s="78" t="str">
        <x:v>Water Pump Run Control Duty</x:v>
      </x:c>
      <x:c r="B148" s="79" t="str">
        <x:v>WP Duty</x:v>
      </x:c>
      <x:c r="C148" s="79" t="str">
        <x:v>2179</x:v>
      </x:c>
      <x:c r="D148" s="79" t="str">
        <x:v>C * 6.25</x:v>
      </x:c>
      <x:c r="E148" s="79" t="str">
        <x:v>0</x:v>
      </x:c>
      <x:c r="F148" s="79" t="str">
        <x:v>100</x:v>
      </x:c>
      <x:c r="G148" s="79" t="str">
        <x:v>%</x:v>
      </x:c>
      <x:c r="H148" s="79" t="str">
        <x:v>7E2</x:v>
      </x:c>
      <x:c r="I148" s="79" t="str">
        <x:v>PRIUS_GEN3 / ZVW30</x:v>
      </x:c>
      <x:c r="J148" s="79" t="str">
        <x:v>GenIII Prius 4-24-12 (US).csv</x:v>
      </x:c>
      <x:c r="K148" s="79" t="str">
        <x:v>2012-04-24</x:v>
      </x:c>
      <x:c r="L148" s="79" t="str">
        <x:v>READ-ONLY DIAGNOSTIC CANDIDATE</x:v>
      </x:c>
      <x:c r="M148" s="79" t="str">
        <x:v>CANDIDATE</x:v>
      </x:c>
      <x:c r="N148" s="80" t="str">
        <x:v>Older US snapshot retained for change comparison</x:v>
      </x:c>
    </x:row>
    <x:row r="149">
      <x:c r="A149" s="78" t="str">
        <x:v>Converter Shutdown</x:v>
      </x:c>
      <x:c r="B149" s="79" t="str">
        <x:v>Cnv S/D</x:v>
      </x:c>
      <x:c r="C149" s="79" t="str">
        <x:v>2179</x:v>
      </x:c>
      <x:c r="D149" s="79" t="str">
        <x:v>{D:7}</x:v>
      </x:c>
      <x:c r="E149" s="79" t="str">
        <x:v>0</x:v>
      </x:c>
      <x:c r="F149" s="79" t="str">
        <x:v>1</x:v>
      </x:c>
      <x:c r="G149" s="79" t="str">
        <x:v>Off/On</x:v>
      </x:c>
      <x:c r="H149" s="79" t="str">
        <x:v>7E2</x:v>
      </x:c>
      <x:c r="I149" s="79" t="str">
        <x:v>PRIUS_GEN3 / ZVW30</x:v>
      </x:c>
      <x:c r="J149" s="79" t="str">
        <x:v>GenIII Prius 4-24-12 (US).csv</x:v>
      </x:c>
      <x:c r="K149" s="79" t="str">
        <x:v>2012-04-24</x:v>
      </x:c>
      <x:c r="L149" s="79" t="str">
        <x:v>READ-ONLY DIAGNOSTIC CANDIDATE</x:v>
      </x:c>
      <x:c r="M149" s="79" t="str">
        <x:v>CANDIDATE</x:v>
      </x:c>
      <x:c r="N149" s="80" t="str">
        <x:v>Older US snapshot retained for change comparison</x:v>
      </x:c>
    </x:row>
    <x:row r="150">
      <x:c r="A150" s="78" t="str">
        <x:v>Converter Fail</x:v>
      </x:c>
      <x:c r="B150" s="79" t="str">
        <x:v>Cnv fail</x:v>
      </x:c>
      <x:c r="C150" s="79" t="str">
        <x:v>2179</x:v>
      </x:c>
      <x:c r="D150" s="79" t="str">
        <x:v>{D:6}</x:v>
      </x:c>
      <x:c r="E150" s="79" t="str">
        <x:v>0</x:v>
      </x:c>
      <x:c r="F150" s="79" t="str">
        <x:v>1</x:v>
      </x:c>
      <x:c r="G150" s="79" t="str">
        <x:v>Off/On</x:v>
      </x:c>
      <x:c r="H150" s="79" t="str">
        <x:v>7E2</x:v>
      </x:c>
      <x:c r="I150" s="79" t="str">
        <x:v>PRIUS_GEN3 / ZVW30</x:v>
      </x:c>
      <x:c r="J150" s="79" t="str">
        <x:v>GenIII Prius 4-24-12 (US).csv</x:v>
      </x:c>
      <x:c r="K150" s="79" t="str">
        <x:v>2012-04-24</x:v>
      </x:c>
      <x:c r="L150" s="79" t="str">
        <x:v>READ-ONLY DIAGNOSTIC CANDIDATE</x:v>
      </x:c>
      <x:c r="M150" s="79" t="str">
        <x:v>CANDIDATE</x:v>
      </x:c>
      <x:c r="N150" s="80" t="str">
        <x:v>Older US snapshot retained for change comparison</x:v>
      </x:c>
    </x:row>
    <x:row r="151">
      <x:c r="A151" s="78" t="str">
        <x:v>MG1 Carrier Frequency</x:v>
      </x:c>
      <x:c r="B151" s="79" t="str">
        <x:v>MG1 CF</x:v>
      </x:c>
      <x:c r="C151" s="79" t="str">
        <x:v>217C</x:v>
      </x:c>
      <x:c r="D151" s="79" t="str">
        <x:v>A / 20</x:v>
      </x:c>
      <x:c r="E151" s="79" t="str">
        <x:v>0.75</x:v>
      </x:c>
      <x:c r="F151" s="79" t="str">
        <x:v>10</x:v>
      </x:c>
      <x:c r="G151" s="79" t="str">
        <x:v>kHz</x:v>
      </x:c>
      <x:c r="H151" s="79" t="str">
        <x:v>7E2</x:v>
      </x:c>
      <x:c r="I151" s="79" t="str">
        <x:v>PRIUS_GEN3 / ZVW30</x:v>
      </x:c>
      <x:c r="J151" s="79" t="str">
        <x:v>GenIII Prius 4-24-12 (US).csv</x:v>
      </x:c>
      <x:c r="K151" s="79" t="str">
        <x:v>2012-04-24</x:v>
      </x:c>
      <x:c r="L151" s="79" t="str">
        <x:v>READ-ONLY DIAGNOSTIC CANDIDATE</x:v>
      </x:c>
      <x:c r="M151" s="79" t="str">
        <x:v>CANDIDATE</x:v>
      </x:c>
      <x:c r="N151" s="80" t="str">
        <x:v>Older US snapshot retained for change comparison</x:v>
      </x:c>
    </x:row>
    <x:row r="152">
      <x:c r="A152" s="78" t="str">
        <x:v>MG2 Carrier Frequency</x:v>
      </x:c>
      <x:c r="B152" s="79" t="str">
        <x:v>MG2 CF</x:v>
      </x:c>
      <x:c r="C152" s="79" t="str">
        <x:v>217C</x:v>
      </x:c>
      <x:c r="D152" s="79" t="str">
        <x:v>B / 20</x:v>
      </x:c>
      <x:c r="E152" s="79" t="str">
        <x:v>0.75</x:v>
      </x:c>
      <x:c r="F152" s="79" t="str">
        <x:v>10</x:v>
      </x:c>
      <x:c r="G152" s="79" t="str">
        <x:v>kHz</x:v>
      </x:c>
      <x:c r="H152" s="79" t="str">
        <x:v>7E2</x:v>
      </x:c>
      <x:c r="I152" s="79" t="str">
        <x:v>PRIUS_GEN3 / ZVW30</x:v>
      </x:c>
      <x:c r="J152" s="79" t="str">
        <x:v>GenIII Prius 4-24-12 (US).csv</x:v>
      </x:c>
      <x:c r="K152" s="79" t="str">
        <x:v>2012-04-24</x:v>
      </x:c>
      <x:c r="L152" s="79" t="str">
        <x:v>READ-ONLY DIAGNOSTIC CANDIDATE</x:v>
      </x:c>
      <x:c r="M152" s="79" t="str">
        <x:v>CANDIDATE</x:v>
      </x:c>
      <x:c r="N152" s="80" t="str">
        <x:v>Older US snapshot retained for change comparison</x:v>
      </x:c>
    </x:row>
    <x:row r="153">
      <x:c r="A153" s="78" t="str">
        <x:v>Boost Ratio</x:v>
      </x:c>
      <x:c r="B153" s="79" t="str">
        <x:v>B Ratio</x:v>
      </x:c>
      <x:c r="C153" s="79" t="str">
        <x:v>217D</x:v>
      </x:c>
      <x:c r="D153" s="79" t="str">
        <x:v>A / 2</x:v>
      </x:c>
      <x:c r="E153" s="79" t="str">
        <x:v>0</x:v>
      </x:c>
      <x:c r="F153" s="79" t="str">
        <x:v>100</x:v>
      </x:c>
      <x:c r="G153" s="79" t="str">
        <x:v>%</x:v>
      </x:c>
      <x:c r="H153" s="79" t="str">
        <x:v>7E2</x:v>
      </x:c>
      <x:c r="I153" s="79" t="str">
        <x:v>PRIUS_GEN3 / ZVW30</x:v>
      </x:c>
      <x:c r="J153" s="79" t="str">
        <x:v>GenIII Prius 4-24-12 (US).csv</x:v>
      </x:c>
      <x:c r="K153" s="79" t="str">
        <x:v>2012-04-24</x:v>
      </x:c>
      <x:c r="L153" s="79" t="str">
        <x:v>READ-ONLY DIAGNOSTIC CANDIDATE</x:v>
      </x:c>
      <x:c r="M153" s="79" t="str">
        <x:v>CANDIDATE</x:v>
      </x:c>
      <x:c r="N153" s="80" t="str">
        <x:v>Older US snapshot retained for change comparison</x:v>
      </x:c>
    </x:row>
    <x:row r="154">
      <x:c r="A154" s="78" t="str">
        <x:v>Converter Carrier Frequency (9.55kHz=0,9.13kHz=1,8.71kHz=2,8.29kHz=3,7.87kHz=4,7.45kHz=5,4.8kHz=6)</x:v>
      </x:c>
      <x:c r="B154" s="79" t="str">
        <x:v>Cnv CF</x:v>
      </x:c>
      <x:c r="C154" s="79" t="str">
        <x:v>217D</x:v>
      </x:c>
      <x:c r="D154" s="79" t="str">
        <x:v>B</x:v>
      </x:c>
      <x:c r="E154" s="79" t="str">
        <x:v>0</x:v>
      </x:c>
      <x:c r="F154" s="79" t="str">
        <x:v>6</x:v>
      </x:c>
      <x:c r="G154" s="79" t="str">
        <x:v>Number</x:v>
      </x:c>
      <x:c r="H154" s="79" t="str">
        <x:v>7E2</x:v>
      </x:c>
      <x:c r="I154" s="79" t="str">
        <x:v>PRIUS_GEN3 / ZVW30</x:v>
      </x:c>
      <x:c r="J154" s="79" t="str">
        <x:v>GenIII Prius 4-24-12 (US).csv</x:v>
      </x:c>
      <x:c r="K154" s="79" t="str">
        <x:v>2012-04-24</x:v>
      </x:c>
      <x:c r="L154" s="79" t="str">
        <x:v>READ-ONLY DIAGNOSTIC CANDIDATE</x:v>
      </x:c>
      <x:c r="M154" s="79" t="str">
        <x:v>CANDIDATE</x:v>
      </x:c>
      <x:c r="N154" s="80" t="str">
        <x:v>Older US snapshot retained for change comparison</x:v>
      </x:c>
    </x:row>
    <x:row r="155">
      <x:c r="A155" s="78" t="str">
        <x:v>A/C consumption power</x:v>
      </x:c>
      <x:c r="B155" s="79" t="str">
        <x:v>A/C pwr</x:v>
      </x:c>
      <x:c r="C155" s="79" t="str">
        <x:v>217D</x:v>
      </x:c>
      <x:c r="D155" s="79" t="str">
        <x:v>C * 50 * 0.001341022089595</x:v>
      </x:c>
      <x:c r="E155" s="79" t="str">
        <x:v>0</x:v>
      </x:c>
      <x:c r="F155" s="79" t="str">
        <x:v>17.098</x:v>
      </x:c>
      <x:c r="G155" s="79" t="str">
        <x:v>HP</x:v>
      </x:c>
      <x:c r="H155" s="79" t="str">
        <x:v>7E2</x:v>
      </x:c>
      <x:c r="I155" s="79" t="str">
        <x:v>PRIUS_GEN3 / ZVW30</x:v>
      </x:c>
      <x:c r="J155" s="79" t="str">
        <x:v>GenIII Prius 4-24-12 (US).csv</x:v>
      </x:c>
      <x:c r="K155" s="79" t="str">
        <x:v>2012-04-24</x:v>
      </x:c>
      <x:c r="L155" s="79" t="str">
        <x:v>READ-ONLY DIAGNOSTIC CANDIDATE</x:v>
      </x:c>
      <x:c r="M155" s="79" t="str">
        <x:v>CANDIDATE</x:v>
      </x:c>
      <x:c r="N155" s="80" t="str">
        <x:v>Older US snapshot retained for change comparison</x:v>
      </x:c>
    </x:row>
    <x:row r="156">
      <x:c r="A156" s="78" t="str">
        <x:v>Battery Block Voltage -V01</x:v>
      </x:c>
      <x:c r="B156" s="79" t="str">
        <x:v>V01</x:v>
      </x:c>
      <x:c r="C156" s="79" t="str">
        <x:v>2181</x:v>
      </x:c>
      <x:c r="D156" s="79" t="str">
        <x:v>(A * 256 + B) * 79.99 / 65535</x:v>
      </x:c>
      <x:c r="E156" s="79" t="str">
        <x:v>12</x:v>
      </x:c>
      <x:c r="F156" s="79" t="str">
        <x:v>20</x:v>
      </x:c>
      <x:c r="G156" s="79" t="str">
        <x:v>V</x:v>
      </x:c>
      <x:c r="H156" s="79" t="str">
        <x:v>7E2</x:v>
      </x:c>
      <x:c r="I156" s="79" t="str">
        <x:v>PRIUS_GEN3 / ZVW30</x:v>
      </x:c>
      <x:c r="J156" s="79" t="str">
        <x:v>GenIII Prius 4-24-12 (US).csv</x:v>
      </x:c>
      <x:c r="K156" s="79" t="str">
        <x:v>2012-04-24</x:v>
      </x:c>
      <x:c r="L156" s="79" t="str">
        <x:v>READ-ONLY DIAGNOSTIC CANDIDATE</x:v>
      </x:c>
      <x:c r="M156" s="79" t="str">
        <x:v>CANDIDATE</x:v>
      </x:c>
      <x:c r="N156" s="80" t="str">
        <x:v>Older US snapshot retained for change comparison</x:v>
      </x:c>
    </x:row>
    <x:row r="157">
      <x:c r="A157" s="78" t="str">
        <x:v>Battery Block Voltage -V02</x:v>
      </x:c>
      <x:c r="B157" s="79" t="str">
        <x:v>V02</x:v>
      </x:c>
      <x:c r="C157" s="79" t="str">
        <x:v>2181</x:v>
      </x:c>
      <x:c r="D157" s="79" t="str">
        <x:v>(C * 256 + D) * 79.99 / 65535</x:v>
      </x:c>
      <x:c r="E157" s="79" t="str">
        <x:v>12</x:v>
      </x:c>
      <x:c r="F157" s="79" t="str">
        <x:v>20</x:v>
      </x:c>
      <x:c r="G157" s="79" t="str">
        <x:v>V</x:v>
      </x:c>
      <x:c r="H157" s="79" t="str">
        <x:v>7E2</x:v>
      </x:c>
      <x:c r="I157" s="79" t="str">
        <x:v>PRIUS_GEN3 / ZVW30</x:v>
      </x:c>
      <x:c r="J157" s="79" t="str">
        <x:v>GenIII Prius 4-24-12 (US).csv</x:v>
      </x:c>
      <x:c r="K157" s="79" t="str">
        <x:v>2012-04-24</x:v>
      </x:c>
      <x:c r="L157" s="79" t="str">
        <x:v>READ-ONLY DIAGNOSTIC CANDIDATE</x:v>
      </x:c>
      <x:c r="M157" s="79" t="str">
        <x:v>CANDIDATE</x:v>
      </x:c>
      <x:c r="N157" s="80" t="str">
        <x:v>Older US snapshot retained for change comparison</x:v>
      </x:c>
    </x:row>
    <x:row r="158">
      <x:c r="A158" s="78" t="str">
        <x:v>Battery Block Voltage -V03</x:v>
      </x:c>
      <x:c r="B158" s="79" t="str">
        <x:v>V03</x:v>
      </x:c>
      <x:c r="C158" s="79" t="str">
        <x:v>2181</x:v>
      </x:c>
      <x:c r="D158" s="79" t="str">
        <x:v>(E * 256 + F) * 79.99 / 65535</x:v>
      </x:c>
      <x:c r="E158" s="79" t="str">
        <x:v>12</x:v>
      </x:c>
      <x:c r="F158" s="79" t="str">
        <x:v>20</x:v>
      </x:c>
      <x:c r="G158" s="79" t="str">
        <x:v>V</x:v>
      </x:c>
      <x:c r="H158" s="79" t="str">
        <x:v>7E2</x:v>
      </x:c>
      <x:c r="I158" s="79" t="str">
        <x:v>PRIUS_GEN3 / ZVW30</x:v>
      </x:c>
      <x:c r="J158" s="79" t="str">
        <x:v>GenIII Prius 4-24-12 (US).csv</x:v>
      </x:c>
      <x:c r="K158" s="79" t="str">
        <x:v>2012-04-24</x:v>
      </x:c>
      <x:c r="L158" s="79" t="str">
        <x:v>READ-ONLY DIAGNOSTIC CANDIDATE</x:v>
      </x:c>
      <x:c r="M158" s="79" t="str">
        <x:v>CANDIDATE</x:v>
      </x:c>
      <x:c r="N158" s="80" t="str">
        <x:v>Older US snapshot retained for change comparison</x:v>
      </x:c>
    </x:row>
    <x:row r="159">
      <x:c r="A159" s="78" t="str">
        <x:v>Battery Block Voltage -V04</x:v>
      </x:c>
      <x:c r="B159" s="79" t="str">
        <x:v>V04</x:v>
      </x:c>
      <x:c r="C159" s="79" t="str">
        <x:v>2181</x:v>
      </x:c>
      <x:c r="D159" s="79" t="str">
        <x:v>(G * 256 + H) * 79.99 / 65535</x:v>
      </x:c>
      <x:c r="E159" s="79" t="str">
        <x:v>12</x:v>
      </x:c>
      <x:c r="F159" s="79" t="str">
        <x:v>20</x:v>
      </x:c>
      <x:c r="G159" s="79" t="str">
        <x:v>V</x:v>
      </x:c>
      <x:c r="H159" s="79" t="str">
        <x:v>7E2</x:v>
      </x:c>
      <x:c r="I159" s="79" t="str">
        <x:v>PRIUS_GEN3 / ZVW30</x:v>
      </x:c>
      <x:c r="J159" s="79" t="str">
        <x:v>GenIII Prius 4-24-12 (US).csv</x:v>
      </x:c>
      <x:c r="K159" s="79" t="str">
        <x:v>2012-04-24</x:v>
      </x:c>
      <x:c r="L159" s="79" t="str">
        <x:v>READ-ONLY DIAGNOSTIC CANDIDATE</x:v>
      </x:c>
      <x:c r="M159" s="79" t="str">
        <x:v>CANDIDATE</x:v>
      </x:c>
      <x:c r="N159" s="80" t="str">
        <x:v>Older US snapshot retained for change comparison</x:v>
      </x:c>
    </x:row>
    <x:row r="160">
      <x:c r="A160" s="78" t="str">
        <x:v>Battery Block Voltage -V05</x:v>
      </x:c>
      <x:c r="B160" s="79" t="str">
        <x:v>V05</x:v>
      </x:c>
      <x:c r="C160" s="79" t="str">
        <x:v>2181</x:v>
      </x:c>
      <x:c r="D160" s="79" t="str">
        <x:v>(I * 256 + J) * 79.99 / 65535</x:v>
      </x:c>
      <x:c r="E160" s="79" t="str">
        <x:v>12</x:v>
      </x:c>
      <x:c r="F160" s="79" t="str">
        <x:v>20</x:v>
      </x:c>
      <x:c r="G160" s="79" t="str">
        <x:v>V</x:v>
      </x:c>
      <x:c r="H160" s="79" t="str">
        <x:v>7E2</x:v>
      </x:c>
      <x:c r="I160" s="79" t="str">
        <x:v>PRIUS_GEN3 / ZVW30</x:v>
      </x:c>
      <x:c r="J160" s="79" t="str">
        <x:v>GenIII Prius 4-24-12 (US).csv</x:v>
      </x:c>
      <x:c r="K160" s="79" t="str">
        <x:v>2012-04-24</x:v>
      </x:c>
      <x:c r="L160" s="79" t="str">
        <x:v>READ-ONLY DIAGNOSTIC CANDIDATE</x:v>
      </x:c>
      <x:c r="M160" s="79" t="str">
        <x:v>CANDIDATE</x:v>
      </x:c>
      <x:c r="N160" s="80" t="str">
        <x:v>Older US snapshot retained for change comparison</x:v>
      </x:c>
    </x:row>
    <x:row r="161">
      <x:c r="A161" s="78" t="str">
        <x:v>Battery Block Voltage -V06</x:v>
      </x:c>
      <x:c r="B161" s="79" t="str">
        <x:v>V06</x:v>
      </x:c>
      <x:c r="C161" s="79" t="str">
        <x:v>2181</x:v>
      </x:c>
      <x:c r="D161" s="79" t="str">
        <x:v>(K * 256 + L) * 79.99 / 65535</x:v>
      </x:c>
      <x:c r="E161" s="79" t="str">
        <x:v>12</x:v>
      </x:c>
      <x:c r="F161" s="79" t="str">
        <x:v>20</x:v>
      </x:c>
      <x:c r="G161" s="79" t="str">
        <x:v>V</x:v>
      </x:c>
      <x:c r="H161" s="79" t="str">
        <x:v>7E2</x:v>
      </x:c>
      <x:c r="I161" s="79" t="str">
        <x:v>PRIUS_GEN3 / ZVW30</x:v>
      </x:c>
      <x:c r="J161" s="79" t="str">
        <x:v>GenIII Prius 4-24-12 (US).csv</x:v>
      </x:c>
      <x:c r="K161" s="79" t="str">
        <x:v>2012-04-24</x:v>
      </x:c>
      <x:c r="L161" s="79" t="str">
        <x:v>READ-ONLY DIAGNOSTIC CANDIDATE</x:v>
      </x:c>
      <x:c r="M161" s="79" t="str">
        <x:v>CANDIDATE</x:v>
      </x:c>
      <x:c r="N161" s="80" t="str">
        <x:v>Older US snapshot retained for change comparison</x:v>
      </x:c>
    </x:row>
    <x:row r="162">
      <x:c r="A162" s="78" t="str">
        <x:v>Battery Block Voltage -V07</x:v>
      </x:c>
      <x:c r="B162" s="79" t="str">
        <x:v>V07</x:v>
      </x:c>
      <x:c r="C162" s="79" t="str">
        <x:v>2181</x:v>
      </x:c>
      <x:c r="D162" s="79" t="str">
        <x:v>(M * 256 + N) * 79.99 / 65535</x:v>
      </x:c>
      <x:c r="E162" s="79" t="str">
        <x:v>12</x:v>
      </x:c>
      <x:c r="F162" s="79" t="str">
        <x:v>20</x:v>
      </x:c>
      <x:c r="G162" s="79" t="str">
        <x:v>V</x:v>
      </x:c>
      <x:c r="H162" s="79" t="str">
        <x:v>7E2</x:v>
      </x:c>
      <x:c r="I162" s="79" t="str">
        <x:v>PRIUS_GEN3 / ZVW30</x:v>
      </x:c>
      <x:c r="J162" s="79" t="str">
        <x:v>GenIII Prius 4-24-12 (US).csv</x:v>
      </x:c>
      <x:c r="K162" s="79" t="str">
        <x:v>2012-04-24</x:v>
      </x:c>
      <x:c r="L162" s="79" t="str">
        <x:v>READ-ONLY DIAGNOSTIC CANDIDATE</x:v>
      </x:c>
      <x:c r="M162" s="79" t="str">
        <x:v>CANDIDATE</x:v>
      </x:c>
      <x:c r="N162" s="80" t="str">
        <x:v>Older US snapshot retained for change comparison</x:v>
      </x:c>
    </x:row>
    <x:row r="163">
      <x:c r="A163" s="78" t="str">
        <x:v>Battery Block Voltage -V08</x:v>
      </x:c>
      <x:c r="B163" s="79" t="str">
        <x:v>V08</x:v>
      </x:c>
      <x:c r="C163" s="79" t="str">
        <x:v>2181</x:v>
      </x:c>
      <x:c r="D163" s="79" t="str">
        <x:v>(O * 256 + P) * 79.99 / 65535</x:v>
      </x:c>
      <x:c r="E163" s="79" t="str">
        <x:v>12</x:v>
      </x:c>
      <x:c r="F163" s="79" t="str">
        <x:v>20</x:v>
      </x:c>
      <x:c r="G163" s="79" t="str">
        <x:v>V</x:v>
      </x:c>
      <x:c r="H163" s="79" t="str">
        <x:v>7E2</x:v>
      </x:c>
      <x:c r="I163" s="79" t="str">
        <x:v>PRIUS_GEN3 / ZVW30</x:v>
      </x:c>
      <x:c r="J163" s="79" t="str">
        <x:v>GenIII Prius 4-24-12 (US).csv</x:v>
      </x:c>
      <x:c r="K163" s="79" t="str">
        <x:v>2012-04-24</x:v>
      </x:c>
      <x:c r="L163" s="79" t="str">
        <x:v>READ-ONLY DIAGNOSTIC CANDIDATE</x:v>
      </x:c>
      <x:c r="M163" s="79" t="str">
        <x:v>CANDIDATE</x:v>
      </x:c>
      <x:c r="N163" s="80" t="str">
        <x:v>Older US snapshot retained for change comparison</x:v>
      </x:c>
    </x:row>
    <x:row r="164">
      <x:c r="A164" s="78" t="str">
        <x:v>Battery Block Voltage -V09</x:v>
      </x:c>
      <x:c r="B164" s="79" t="str">
        <x:v>V09</x:v>
      </x:c>
      <x:c r="C164" s="79" t="str">
        <x:v>2181</x:v>
      </x:c>
      <x:c r="D164" s="79" t="str">
        <x:v>(Q * 256 + R) * 79.99 / 65535</x:v>
      </x:c>
      <x:c r="E164" s="79" t="str">
        <x:v>12</x:v>
      </x:c>
      <x:c r="F164" s="79" t="str">
        <x:v>20</x:v>
      </x:c>
      <x:c r="G164" s="79" t="str">
        <x:v>V</x:v>
      </x:c>
      <x:c r="H164" s="79" t="str">
        <x:v>7E2</x:v>
      </x:c>
      <x:c r="I164" s="79" t="str">
        <x:v>PRIUS_GEN3 / ZVW30</x:v>
      </x:c>
      <x:c r="J164" s="79" t="str">
        <x:v>GenIII Prius 4-24-12 (US).csv</x:v>
      </x:c>
      <x:c r="K164" s="79" t="str">
        <x:v>2012-04-24</x:v>
      </x:c>
      <x:c r="L164" s="79" t="str">
        <x:v>READ-ONLY DIAGNOSTIC CANDIDATE</x:v>
      </x:c>
      <x:c r="M164" s="79" t="str">
        <x:v>CANDIDATE</x:v>
      </x:c>
      <x:c r="N164" s="80" t="str">
        <x:v>Older US snapshot retained for change comparison</x:v>
      </x:c>
    </x:row>
    <x:row r="165">
      <x:c r="A165" s="78" t="str">
        <x:v>Battery Block Voltage -V10</x:v>
      </x:c>
      <x:c r="B165" s="79" t="str">
        <x:v>V10</x:v>
      </x:c>
      <x:c r="C165" s="79" t="str">
        <x:v>2181</x:v>
      </x:c>
      <x:c r="D165" s="79" t="str">
        <x:v>(S * 256 + T) * 79.99 / 65535</x:v>
      </x:c>
      <x:c r="E165" s="79" t="str">
        <x:v>12</x:v>
      </x:c>
      <x:c r="F165" s="79" t="str">
        <x:v>20</x:v>
      </x:c>
      <x:c r="G165" s="79" t="str">
        <x:v>V</x:v>
      </x:c>
      <x:c r="H165" s="79" t="str">
        <x:v>7E2</x:v>
      </x:c>
      <x:c r="I165" s="79" t="str">
        <x:v>PRIUS_GEN3 / ZVW30</x:v>
      </x:c>
      <x:c r="J165" s="79" t="str">
        <x:v>GenIII Prius 4-24-12 (US).csv</x:v>
      </x:c>
      <x:c r="K165" s="79" t="str">
        <x:v>2012-04-24</x:v>
      </x:c>
      <x:c r="L165" s="79" t="str">
        <x:v>READ-ONLY DIAGNOSTIC CANDIDATE</x:v>
      </x:c>
      <x:c r="M165" s="79" t="str">
        <x:v>CANDIDATE</x:v>
      </x:c>
      <x:c r="N165" s="80" t="str">
        <x:v>Older US snapshot retained for change comparison</x:v>
      </x:c>
    </x:row>
    <x:row r="166">
      <x:c r="A166" s="78" t="str">
        <x:v>Battery Block Voltage -V11</x:v>
      </x:c>
      <x:c r="B166" s="79" t="str">
        <x:v>V11</x:v>
      </x:c>
      <x:c r="C166" s="79" t="str">
        <x:v>2181</x:v>
      </x:c>
      <x:c r="D166" s="79" t="str">
        <x:v>(U * 256 + V) * 79.99 / 65535</x:v>
      </x:c>
      <x:c r="E166" s="79" t="str">
        <x:v>12</x:v>
      </x:c>
      <x:c r="F166" s="79" t="str">
        <x:v>20</x:v>
      </x:c>
      <x:c r="G166" s="79" t="str">
        <x:v>V</x:v>
      </x:c>
      <x:c r="H166" s="79" t="str">
        <x:v>7E2</x:v>
      </x:c>
      <x:c r="I166" s="79" t="str">
        <x:v>PRIUS_GEN3 / ZVW30</x:v>
      </x:c>
      <x:c r="J166" s="79" t="str">
        <x:v>GenIII Prius 4-24-12 (US).csv</x:v>
      </x:c>
      <x:c r="K166" s="79" t="str">
        <x:v>2012-04-24</x:v>
      </x:c>
      <x:c r="L166" s="79" t="str">
        <x:v>READ-ONLY DIAGNOSTIC CANDIDATE</x:v>
      </x:c>
      <x:c r="M166" s="79" t="str">
        <x:v>CANDIDATE</x:v>
      </x:c>
      <x:c r="N166" s="80" t="str">
        <x:v>Older US snapshot retained for change comparison</x:v>
      </x:c>
    </x:row>
    <x:row r="167">
      <x:c r="A167" s="78" t="str">
        <x:v>Battery Block Voltage -V12</x:v>
      </x:c>
      <x:c r="B167" s="79" t="str">
        <x:v>V12</x:v>
      </x:c>
      <x:c r="C167" s="79" t="str">
        <x:v>2181</x:v>
      </x:c>
      <x:c r="D167" s="79" t="str">
        <x:v>(W * 256 + X) * 79.99 / 65535</x:v>
      </x:c>
      <x:c r="E167" s="79" t="str">
        <x:v>12</x:v>
      </x:c>
      <x:c r="F167" s="79" t="str">
        <x:v>20</x:v>
      </x:c>
      <x:c r="G167" s="79" t="str">
        <x:v>V</x:v>
      </x:c>
      <x:c r="H167" s="79" t="str">
        <x:v>7E2</x:v>
      </x:c>
      <x:c r="I167" s="79" t="str">
        <x:v>PRIUS_GEN3 / ZVW30</x:v>
      </x:c>
      <x:c r="J167" s="79" t="str">
        <x:v>GenIII Prius 4-24-12 (US).csv</x:v>
      </x:c>
      <x:c r="K167" s="79" t="str">
        <x:v>2012-04-24</x:v>
      </x:c>
      <x:c r="L167" s="79" t="str">
        <x:v>READ-ONLY DIAGNOSTIC CANDIDATE</x:v>
      </x:c>
      <x:c r="M167" s="79" t="str">
        <x:v>CANDIDATE</x:v>
      </x:c>
      <x:c r="N167" s="80" t="str">
        <x:v>Older US snapshot retained for change comparison</x:v>
      </x:c>
    </x:row>
    <x:row r="168">
      <x:c r="A168" s="78" t="str">
        <x:v>Battery Block Voltage -V13</x:v>
      </x:c>
      <x:c r="B168" s="79" t="str">
        <x:v>V13</x:v>
      </x:c>
      <x:c r="C168" s="79" t="str">
        <x:v>2181</x:v>
      </x:c>
      <x:c r="D168" s="79" t="str">
        <x:v>(Y * 256 + Z) * 79.99 / 65535</x:v>
      </x:c>
      <x:c r="E168" s="79" t="str">
        <x:v>12</x:v>
      </x:c>
      <x:c r="F168" s="79" t="str">
        <x:v>20</x:v>
      </x:c>
      <x:c r="G168" s="79" t="str">
        <x:v>V</x:v>
      </x:c>
      <x:c r="H168" s="79" t="str">
        <x:v>7E2</x:v>
      </x:c>
      <x:c r="I168" s="79" t="str">
        <x:v>PRIUS_GEN3 / ZVW30</x:v>
      </x:c>
      <x:c r="J168" s="79" t="str">
        <x:v>GenIII Prius 4-24-12 (US).csv</x:v>
      </x:c>
      <x:c r="K168" s="79" t="str">
        <x:v>2012-04-24</x:v>
      </x:c>
      <x:c r="L168" s="79" t="str">
        <x:v>READ-ONLY DIAGNOSTIC CANDIDATE</x:v>
      </x:c>
      <x:c r="M168" s="79" t="str">
        <x:v>CANDIDATE</x:v>
      </x:c>
      <x:c r="N168" s="80" t="str">
        <x:v>Older US snapshot retained for change comparison</x:v>
      </x:c>
    </x:row>
    <x:row r="169">
      <x:c r="A169" s="78" t="str">
        <x:v>Battery Block Voltage -V14</x:v>
      </x:c>
      <x:c r="B169" s="79" t="str">
        <x:v>V14</x:v>
      </x:c>
      <x:c r="C169" s="79" t="str">
        <x:v>2181</x:v>
      </x:c>
      <x:c r="D169" s="79" t="str">
        <x:v>(AA * 256 + AB) * 79.99 / 65535</x:v>
      </x:c>
      <x:c r="E169" s="79" t="str">
        <x:v>12</x:v>
      </x:c>
      <x:c r="F169" s="79" t="str">
        <x:v>20</x:v>
      </x:c>
      <x:c r="G169" s="79" t="str">
        <x:v>V</x:v>
      </x:c>
      <x:c r="H169" s="79" t="str">
        <x:v>7E2</x:v>
      </x:c>
      <x:c r="I169" s="79" t="str">
        <x:v>PRIUS_GEN3 / ZVW30</x:v>
      </x:c>
      <x:c r="J169" s="79" t="str">
        <x:v>GenIII Prius 4-24-12 (US).csv</x:v>
      </x:c>
      <x:c r="K169" s="79" t="str">
        <x:v>2012-04-24</x:v>
      </x:c>
      <x:c r="L169" s="79" t="str">
        <x:v>READ-ONLY DIAGNOSTIC CANDIDATE</x:v>
      </x:c>
      <x:c r="M169" s="79" t="str">
        <x:v>CANDIDATE</x:v>
      </x:c>
      <x:c r="N169" s="80" t="str">
        <x:v>Older US snapshot retained for change comparison</x:v>
      </x:c>
    </x:row>
    <x:row r="170">
      <x:c r="A170" s="78" t="str">
        <x:v>Auxiliary Battery Voltage</x:v>
      </x:c>
      <x:c r="B170" s="79" t="str">
        <x:v>Aux Bty</x:v>
      </x:c>
      <x:c r="C170" s="79" t="str">
        <x:v>2181</x:v>
      </x:c>
      <x:c r="D170" s="79" t="str">
        <x:v>(AC * 256 + AD) * 79.9 / 65535 - 40</x:v>
      </x:c>
      <x:c r="E170" s="79" t="str">
        <x:v>0</x:v>
      </x:c>
      <x:c r="F170" s="79" t="str">
        <x:v>16</x:v>
      </x:c>
      <x:c r="G170" s="79" t="str">
        <x:v>V</x:v>
      </x:c>
      <x:c r="H170" s="79" t="str">
        <x:v>7E2</x:v>
      </x:c>
      <x:c r="I170" s="79" t="str">
        <x:v>PRIUS_GEN3 / ZVW30</x:v>
      </x:c>
      <x:c r="J170" s="79" t="str">
        <x:v>GenIII Prius 4-24-12 (US).csv</x:v>
      </x:c>
      <x:c r="K170" s="79" t="str">
        <x:v>2012-04-24</x:v>
      </x:c>
      <x:c r="L170" s="79" t="str">
        <x:v>READ-ONLY DIAGNOSTIC CANDIDATE</x:v>
      </x:c>
      <x:c r="M170" s="79" t="str">
        <x:v>CANDIDATE</x:v>
      </x:c>
      <x:c r="N170" s="80" t="str">
        <x:v>Older US snapshot retained for change comparison</x:v>
      </x:c>
    </x:row>
    <x:row r="171">
      <x:c r="A171" s="78" t="str">
        <x:v>Power Resource VB</x:v>
      </x:c>
      <x:c r="B171" s="79" t="str">
        <x:v>VB</x:v>
      </x:c>
      <x:c r="C171" s="79" t="str">
        <x:v>2181</x:v>
      </x:c>
      <x:c r="D171" s="79" t="str">
        <x:v>(AE * 256 + AF) / 10</x:v>
      </x:c>
      <x:c r="E171" s="79" t="str">
        <x:v>150</x:v>
      </x:c>
      <x:c r="F171" s="79" t="str">
        <x:v>300</x:v>
      </x:c>
      <x:c r="G171" s="79" t="str">
        <x:v>V</x:v>
      </x:c>
      <x:c r="H171" s="79" t="str">
        <x:v>7E2</x:v>
      </x:c>
      <x:c r="I171" s="79" t="str">
        <x:v>PRIUS_GEN3 / ZVW30</x:v>
      </x:c>
      <x:c r="J171" s="79" t="str">
        <x:v>GenIII Prius 4-24-12 (US).csv</x:v>
      </x:c>
      <x:c r="K171" s="79" t="str">
        <x:v>2012-04-24</x:v>
      </x:c>
      <x:c r="L171" s="79" t="str">
        <x:v>READ-ONLY DIAGNOSTIC CANDIDATE</x:v>
      </x:c>
      <x:c r="M171" s="79" t="str">
        <x:v>CANDIDATE</x:v>
      </x:c>
      <x:c r="N171" s="80" t="str">
        <x:v>Older US snapshot retained for change comparison</x:v>
      </x:c>
    </x:row>
    <x:row r="172">
      <x:c r="A172" s="78" t="str">
        <x:v>VMF Fan Motor Voltage1</x:v>
      </x:c>
      <x:c r="B172" s="79" t="str">
        <x:v>VMF</x:v>
      </x:c>
      <x:c r="C172" s="79" t="str">
        <x:v>2181</x:v>
      </x:c>
      <x:c r="D172" s="79" t="str">
        <x:v>AG / 10</x:v>
      </x:c>
      <x:c r="E172" s="79" t="str">
        <x:v>0</x:v>
      </x:c>
      <x:c r="F172" s="79" t="str">
        <x:v>16</x:v>
      </x:c>
      <x:c r="G172" s="79" t="str">
        <x:v>V</x:v>
      </x:c>
      <x:c r="H172" s="79" t="str">
        <x:v>7E2</x:v>
      </x:c>
      <x:c r="I172" s="79" t="str">
        <x:v>PRIUS_GEN3 / ZVW30</x:v>
      </x:c>
      <x:c r="J172" s="79" t="str">
        <x:v>GenIII Prius 4-24-12 (US).csv</x:v>
      </x:c>
      <x:c r="K172" s="79" t="str">
        <x:v>2012-04-24</x:v>
      </x:c>
      <x:c r="L172" s="79" t="str">
        <x:v>READ-ONLY DIAGNOSTIC CANDIDATE</x:v>
      </x:c>
      <x:c r="M172" s="79" t="str">
        <x:v>CANDIDATE</x:v>
      </x:c>
      <x:c r="N172" s="80" t="str">
        <x:v>Older US snapshot retained for change comparison</x:v>
      </x:c>
    </x:row>
    <x:row r="173">
      <x:c r="A173" s="78" t="str">
        <x:v>HV battery intake air temperature</x:v>
      </x:c>
      <x:c r="B173" s="79" t="str">
        <x:v>TB Intake</x:v>
      </x:c>
      <x:c r="C173" s="79" t="str">
        <x:v>2187</x:v>
      </x:c>
      <x:c r="D173" s="79" t="str">
        <x:v>(A * 256 + B) * 255.9 / 65535 * 9 / 5 - 58</x:v>
      </x:c>
      <x:c r="E173" s="79" t="str">
        <x:v>-58</x:v>
      </x:c>
      <x:c r="F173" s="79" t="str">
        <x:v>140</x:v>
      </x:c>
      <x:c r="G173" s="79" t="str">
        <x:v>F</x:v>
      </x:c>
      <x:c r="H173" s="79" t="str">
        <x:v>7E2</x:v>
      </x:c>
      <x:c r="I173" s="79" t="str">
        <x:v>PRIUS_GEN3 / ZVW30</x:v>
      </x:c>
      <x:c r="J173" s="79" t="str">
        <x:v>GenIII Prius 4-24-12 (US).csv</x:v>
      </x:c>
      <x:c r="K173" s="79" t="str">
        <x:v>2012-04-24</x:v>
      </x:c>
      <x:c r="L173" s="79" t="str">
        <x:v>READ-ONLY DIAGNOSTIC CANDIDATE</x:v>
      </x:c>
      <x:c r="M173" s="79" t="str">
        <x:v>CANDIDATE</x:v>
      </x:c>
      <x:c r="N173" s="80" t="str">
        <x:v>Older US snapshot retained for change comparison</x:v>
      </x:c>
    </x:row>
    <x:row r="174">
      <x:c r="A174" s="78" t="str">
        <x:v>Temp of Batt TB1</x:v>
      </x:c>
      <x:c r="B174" s="79" t="str">
        <x:v>TB 1</x:v>
      </x:c>
      <x:c r="C174" s="79" t="str">
        <x:v>2187</x:v>
      </x:c>
      <x:c r="D174" s="79" t="str">
        <x:v>(C * 256 + D) * 255.9 / 65535 * 9 / 5 - 58</x:v>
      </x:c>
      <x:c r="E174" s="79" t="str">
        <x:v>-58</x:v>
      </x:c>
      <x:c r="F174" s="79" t="str">
        <x:v>140</x:v>
      </x:c>
      <x:c r="G174" s="79" t="str">
        <x:v>F</x:v>
      </x:c>
      <x:c r="H174" s="79" t="str">
        <x:v>7E2</x:v>
      </x:c>
      <x:c r="I174" s="79" t="str">
        <x:v>PRIUS_GEN3 / ZVW30</x:v>
      </x:c>
      <x:c r="J174" s="79" t="str">
        <x:v>GenIII Prius 4-24-12 (US).csv</x:v>
      </x:c>
      <x:c r="K174" s="79" t="str">
        <x:v>2012-04-24</x:v>
      </x:c>
      <x:c r="L174" s="79" t="str">
        <x:v>READ-ONLY DIAGNOSTIC CANDIDATE</x:v>
      </x:c>
      <x:c r="M174" s="79" t="str">
        <x:v>CANDIDATE</x:v>
      </x:c>
      <x:c r="N174" s="80" t="str">
        <x:v>Older US snapshot retained for change comparison</x:v>
      </x:c>
    </x:row>
    <x:row r="175">
      <x:c r="A175" s="78" t="str">
        <x:v>Temp of Batt TB2</x:v>
      </x:c>
      <x:c r="B175" s="79" t="str">
        <x:v>TB 2</x:v>
      </x:c>
      <x:c r="C175" s="79" t="str">
        <x:v>2187</x:v>
      </x:c>
      <x:c r="D175" s="79" t="str">
        <x:v>(E * 256 + F) * 255.9 / 65535 * 9 / 5 - 58</x:v>
      </x:c>
      <x:c r="E175" s="79" t="str">
        <x:v>-58</x:v>
      </x:c>
      <x:c r="F175" s="79" t="str">
        <x:v>140</x:v>
      </x:c>
      <x:c r="G175" s="79" t="str">
        <x:v>F</x:v>
      </x:c>
      <x:c r="H175" s="79" t="str">
        <x:v>7E2</x:v>
      </x:c>
      <x:c r="I175" s="79" t="str">
        <x:v>PRIUS_GEN3 / ZVW30</x:v>
      </x:c>
      <x:c r="J175" s="79" t="str">
        <x:v>GenIII Prius 4-24-12 (US).csv</x:v>
      </x:c>
      <x:c r="K175" s="79" t="str">
        <x:v>2012-04-24</x:v>
      </x:c>
      <x:c r="L175" s="79" t="str">
        <x:v>READ-ONLY DIAGNOSTIC CANDIDATE</x:v>
      </x:c>
      <x:c r="M175" s="79" t="str">
        <x:v>CANDIDATE</x:v>
      </x:c>
      <x:c r="N175" s="80" t="str">
        <x:v>Older US snapshot retained for change comparison</x:v>
      </x:c>
    </x:row>
    <x:row r="176">
      <x:c r="A176" s="78" t="str">
        <x:v>Temp of Batt TB3</x:v>
      </x:c>
      <x:c r="B176" s="79" t="str">
        <x:v>TB 3</x:v>
      </x:c>
      <x:c r="C176" s="79" t="str">
        <x:v>2187</x:v>
      </x:c>
      <x:c r="D176" s="79" t="str">
        <x:v>(G * 256 + H) * 255.9 / 65535 * 9 / 5 - 58</x:v>
      </x:c>
      <x:c r="E176" s="79" t="str">
        <x:v>-58</x:v>
      </x:c>
      <x:c r="F176" s="79" t="str">
        <x:v>140</x:v>
      </x:c>
      <x:c r="G176" s="79" t="str">
        <x:v>F</x:v>
      </x:c>
      <x:c r="H176" s="79" t="str">
        <x:v>7E2</x:v>
      </x:c>
      <x:c r="I176" s="79" t="str">
        <x:v>PRIUS_GEN3 / ZVW30</x:v>
      </x:c>
      <x:c r="J176" s="79" t="str">
        <x:v>GenIII Prius 4-24-12 (US).csv</x:v>
      </x:c>
      <x:c r="K176" s="79" t="str">
        <x:v>2012-04-24</x:v>
      </x:c>
      <x:c r="L176" s="79" t="str">
        <x:v>READ-ONLY DIAGNOSTIC CANDIDATE</x:v>
      </x:c>
      <x:c r="M176" s="79" t="str">
        <x:v>CANDIDATE</x:v>
      </x:c>
      <x:c r="N176" s="80" t="str">
        <x:v>Older US snapshot retained for change comparison</x:v>
      </x:c>
    </x:row>
    <x:row r="177">
      <x:c r="A177" s="78" t="str">
        <x:v>Power Resource IB</x:v>
      </x:c>
      <x:c r="B177" s="79" t="str">
        <x:v>IB</x:v>
      </x:c>
      <x:c r="C177" s="79" t="str">
        <x:v>218A</x:v>
      </x:c>
      <x:c r="D177" s="79" t="str">
        <x:v>(A * 256 + B) / 100 - 327.68</x:v>
      </x:c>
      <x:c r="E177" s="79" t="str">
        <x:v>-200</x:v>
      </x:c>
      <x:c r="F177" s="79" t="str">
        <x:v>200</x:v>
      </x:c>
      <x:c r="G177" s="79" t="str">
        <x:v>Amperes</x:v>
      </x:c>
      <x:c r="H177" s="79" t="str">
        <x:v>7E2</x:v>
      </x:c>
      <x:c r="I177" s="79" t="str">
        <x:v>PRIUS_GEN3 / ZVW30</x:v>
      </x:c>
      <x:c r="J177" s="79" t="str">
        <x:v>GenIII Prius 4-24-12 (US).csv</x:v>
      </x:c>
      <x:c r="K177" s="79" t="str">
        <x:v>2012-04-24</x:v>
      </x:c>
      <x:c r="L177" s="79" t="str">
        <x:v>READ-ONLY DIAGNOSTIC CANDIDATE</x:v>
      </x:c>
      <x:c r="M177" s="79" t="str">
        <x:v>CANDIDATE</x:v>
      </x:c>
      <x:c r="N177" s="80" t="str">
        <x:v>Older US snapshot retained for change comparison</x:v>
      </x:c>
    </x:row>
    <x:row r="178">
      <x:c r="A178" s="78" t="str">
        <x:v>Cooling Fan 0</x:v>
      </x:c>
      <x:c r="B178" s="79" t="str">
        <x:v>C Fan 0</x:v>
      </x:c>
      <x:c r="C178" s="79" t="str">
        <x:v>218E</x:v>
      </x:c>
      <x:c r="D178" s="79" t="str">
        <x:v>A / 2</x:v>
      </x:c>
      <x:c r="E178" s="79" t="str">
        <x:v>0</x:v>
      </x:c>
      <x:c r="F178" s="79" t="str">
        <x:v>100</x:v>
      </x:c>
      <x:c r="G178" s="79" t="str">
        <x:v>%</x:v>
      </x:c>
      <x:c r="H178" s="79" t="str">
        <x:v>7E2</x:v>
      </x:c>
      <x:c r="I178" s="79" t="str">
        <x:v>PRIUS_GEN3 / ZVW30</x:v>
      </x:c>
      <x:c r="J178" s="79" t="str">
        <x:v>GenIII Prius 4-24-12 (US).csv</x:v>
      </x:c>
      <x:c r="K178" s="79" t="str">
        <x:v>2012-04-24</x:v>
      </x:c>
      <x:c r="L178" s="79" t="str">
        <x:v>READ-ONLY DIAGNOSTIC CANDIDATE</x:v>
      </x:c>
      <x:c r="M178" s="79" t="str">
        <x:v>CANDIDATE</x:v>
      </x:c>
      <x:c r="N178" s="80" t="str">
        <x:v>Older US snapshot retained for change comparison</x:v>
      </x:c>
    </x:row>
    <x:row r="179">
      <x:c r="A179" s="78" t="str">
        <x:v>Cooling Fan Relay Status</x:v>
      </x:c>
      <x:c r="B179" s="79" t="str">
        <x:v>C Fan Rly</x:v>
      </x:c>
      <x:c r="C179" s="79" t="str">
        <x:v>218E</x:v>
      </x:c>
      <x:c r="D179" s="79" t="str">
        <x:v>{B:7}</x:v>
      </x:c>
      <x:c r="E179" s="79" t="str">
        <x:v>0</x:v>
      </x:c>
      <x:c r="F179" s="79" t="str">
        <x:v>1</x:v>
      </x:c>
      <x:c r="G179" s="79" t="str">
        <x:v>Off/On</x:v>
      </x:c>
      <x:c r="H179" s="79" t="str">
        <x:v>7E2</x:v>
      </x:c>
      <x:c r="I179" s="79" t="str">
        <x:v>PRIUS_GEN3 / ZVW30</x:v>
      </x:c>
      <x:c r="J179" s="79" t="str">
        <x:v>GenIII Prius 4-24-12 (US).csv</x:v>
      </x:c>
      <x:c r="K179" s="79" t="str">
        <x:v>2012-04-24</x:v>
      </x:c>
      <x:c r="L179" s="79" t="str">
        <x:v>READ-ONLY DIAGNOSTIC CANDIDATE</x:v>
      </x:c>
      <x:c r="M179" s="79" t="str">
        <x:v>CANDIDATE</x:v>
      </x:c>
      <x:c r="N179" s="80" t="str">
        <x:v>Older US snapshot retained for change comparison</x:v>
      </x:c>
    </x:row>
    <x:row r="180">
      <x:c r="A180" s="78" t="str">
        <x:v>Battery block minimum voltage</x:v>
      </x:c>
      <x:c r="B180" s="79" t="str">
        <x:v>Vmin</x:v>
      </x:c>
      <x:c r="C180" s="79" t="str">
        <x:v>2192</x:v>
      </x:c>
      <x:c r="D180" s="79" t="str">
        <x:v>(A * 256 + B) * 79.99 / 65535</x:v>
      </x:c>
      <x:c r="E180" s="79" t="str">
        <x:v>12</x:v>
      </x:c>
      <x:c r="F180" s="79" t="str">
        <x:v>20</x:v>
      </x:c>
      <x:c r="G180" s="79" t="str">
        <x:v>V</x:v>
      </x:c>
      <x:c r="H180" s="79" t="str">
        <x:v>7E2</x:v>
      </x:c>
      <x:c r="I180" s="79" t="str">
        <x:v>PRIUS_GEN3 / ZVW30</x:v>
      </x:c>
      <x:c r="J180" s="79" t="str">
        <x:v>GenIII Prius 4-24-12 (US).csv</x:v>
      </x:c>
      <x:c r="K180" s="79" t="str">
        <x:v>2012-04-24</x:v>
      </x:c>
      <x:c r="L180" s="79" t="str">
        <x:v>READ-ONLY DIAGNOSTIC CANDIDATE</x:v>
      </x:c>
      <x:c r="M180" s="79" t="str">
        <x:v>CANDIDATE</x:v>
      </x:c>
      <x:c r="N180" s="80" t="str">
        <x:v>Older US snapshot retained for change comparison</x:v>
      </x:c>
    </x:row>
    <x:row r="181">
      <x:c r="A181" s="78" t="str">
        <x:v>Battery block number with minimum voltage</x:v>
      </x:c>
      <x:c r="B181" s="79" t="str">
        <x:v>Blk# min</x:v>
      </x:c>
      <x:c r="C181" s="79" t="str">
        <x:v>2192</x:v>
      </x:c>
      <x:c r="D181" s="79" t="str">
        <x:v>C</x:v>
      </x:c>
      <x:c r="E181" s="79" t="str">
        <x:v>1</x:v>
      </x:c>
      <x:c r="F181" s="79" t="str">
        <x:v>14</x:v>
      </x:c>
      <x:c r="G181" s="79" t="str">
        <x:v>Number</x:v>
      </x:c>
      <x:c r="H181" s="79" t="str">
        <x:v>7E2</x:v>
      </x:c>
      <x:c r="I181" s="79" t="str">
        <x:v>PRIUS_GEN3 / ZVW30</x:v>
      </x:c>
      <x:c r="J181" s="79" t="str">
        <x:v>GenIII Prius 4-24-12 (US).csv</x:v>
      </x:c>
      <x:c r="K181" s="79" t="str">
        <x:v>2012-04-24</x:v>
      </x:c>
      <x:c r="L181" s="79" t="str">
        <x:v>READ-ONLY DIAGNOSTIC CANDIDATE</x:v>
      </x:c>
      <x:c r="M181" s="79" t="str">
        <x:v>CANDIDATE</x:v>
      </x:c>
      <x:c r="N181" s="80" t="str">
        <x:v>Older US snapshot retained for change comparison</x:v>
      </x:c>
    </x:row>
    <x:row r="182">
      <x:c r="A182" s="78" t="str">
        <x:v>Battery block maximum voltage</x:v>
      </x:c>
      <x:c r="B182" s="79" t="str">
        <x:v>Vmax</x:v>
      </x:c>
      <x:c r="C182" s="79" t="str">
        <x:v>2192</x:v>
      </x:c>
      <x:c r="D182" s="79" t="str">
        <x:v>(D * 256 + E) * 79.99 / 65535</x:v>
      </x:c>
      <x:c r="E182" s="79" t="str">
        <x:v>12</x:v>
      </x:c>
      <x:c r="F182" s="79" t="str">
        <x:v>20</x:v>
      </x:c>
      <x:c r="G182" s="79" t="str">
        <x:v>V</x:v>
      </x:c>
      <x:c r="H182" s="79" t="str">
        <x:v>7E2</x:v>
      </x:c>
      <x:c r="I182" s="79" t="str">
        <x:v>PRIUS_GEN3 / ZVW30</x:v>
      </x:c>
      <x:c r="J182" s="79" t="str">
        <x:v>GenIII Prius 4-24-12 (US).csv</x:v>
      </x:c>
      <x:c r="K182" s="79" t="str">
        <x:v>2012-04-24</x:v>
      </x:c>
      <x:c r="L182" s="79" t="str">
        <x:v>READ-ONLY DIAGNOSTIC CANDIDATE</x:v>
      </x:c>
      <x:c r="M182" s="79" t="str">
        <x:v>CANDIDATE</x:v>
      </x:c>
      <x:c r="N182" s="80" t="str">
        <x:v>Older US snapshot retained for change comparison</x:v>
      </x:c>
    </x:row>
    <x:row r="183">
      <x:c r="A183" s="78" t="str">
        <x:v>Battery block number with maximum voltage</x:v>
      </x:c>
      <x:c r="B183" s="79" t="str">
        <x:v>Blk# max</x:v>
      </x:c>
      <x:c r="C183" s="79" t="str">
        <x:v>2192</x:v>
      </x:c>
      <x:c r="D183" s="79" t="str">
        <x:v>F</x:v>
      </x:c>
      <x:c r="E183" s="79" t="str">
        <x:v>1</x:v>
      </x:c>
      <x:c r="F183" s="79" t="str">
        <x:v>14</x:v>
      </x:c>
      <x:c r="G183" s="79" t="str">
        <x:v>Number</x:v>
      </x:c>
      <x:c r="H183" s="79" t="str">
        <x:v>7E2</x:v>
      </x:c>
      <x:c r="I183" s="79" t="str">
        <x:v>PRIUS_GEN3 / ZVW30</x:v>
      </x:c>
      <x:c r="J183" s="79" t="str">
        <x:v>GenIII Prius 4-24-12 (US).csv</x:v>
      </x:c>
      <x:c r="K183" s="79" t="str">
        <x:v>2012-04-24</x:v>
      </x:c>
      <x:c r="L183" s="79" t="str">
        <x:v>READ-ONLY DIAGNOSTIC CANDIDATE</x:v>
      </x:c>
      <x:c r="M183" s="79" t="str">
        <x:v>CANDIDATE</x:v>
      </x:c>
      <x:c r="N183" s="80" t="str">
        <x:v>Older US snapshot retained for change comparison</x:v>
      </x:c>
    </x:row>
    <x:row r="184">
      <x:c r="A184" s="78" t="str">
        <x:v>Difference between maximum &amp; minimum voltage</x:v>
      </x:c>
      <x:c r="B184" s="79" t="str">
        <x:v>Vmax-Vmin</x:v>
      </x:c>
      <x:c r="C184" s="79" t="str">
        <x:v>2192</x:v>
      </x:c>
      <x:c r="D184" s="79" t="str">
        <x:v>((D - A) * 256 + E - B) * 79.99 / 65535</x:v>
      </x:c>
      <x:c r="E184" s="79" t="str">
        <x:v>0</x:v>
      </x:c>
      <x:c r="F184" s="79" t="str">
        <x:v>2</x:v>
      </x:c>
      <x:c r="G184" s="79" t="str">
        <x:v>V</x:v>
      </x:c>
      <x:c r="H184" s="79" t="str">
        <x:v>7E2</x:v>
      </x:c>
      <x:c r="I184" s="79" t="str">
        <x:v>PRIUS_GEN3 / ZVW30</x:v>
      </x:c>
      <x:c r="J184" s="79" t="str">
        <x:v>GenIII Prius 4-24-12 (US).csv</x:v>
      </x:c>
      <x:c r="K184" s="79" t="str">
        <x:v>2012-04-24</x:v>
      </x:c>
      <x:c r="L184" s="79" t="str">
        <x:v>READ-ONLY DIAGNOSTIC CANDIDATE</x:v>
      </x:c>
      <x:c r="M184" s="79" t="str">
        <x:v>CANDIDATE</x:v>
      </x:c>
      <x:c r="N184" s="80" t="str">
        <x:v>Older US snapshot retained for change comparison</x:v>
      </x:c>
    </x:row>
    <x:row r="185">
      <x:c r="A185" s="78" t="str">
        <x:v>Number of battery blocks</x:v>
      </x:c>
      <x:c r="B185" s="79" t="str">
        <x:v>#Bty Blk</x:v>
      </x:c>
      <x:c r="C185" s="79" t="str">
        <x:v>2192</x:v>
      </x:c>
      <x:c r="D185" s="79" t="str">
        <x:v>G</x:v>
      </x:c>
      <x:c r="E185" s="79" t="str">
        <x:v>14</x:v>
      </x:c>
      <x:c r="F185" s="79" t="str">
        <x:v>14</x:v>
      </x:c>
      <x:c r="G185" s="79" t="str">
        <x:v>Number</x:v>
      </x:c>
      <x:c r="H185" s="79" t="str">
        <x:v>7E2</x:v>
      </x:c>
      <x:c r="I185" s="79" t="str">
        <x:v>PRIUS_GEN3 / ZVW30</x:v>
      </x:c>
      <x:c r="J185" s="79" t="str">
        <x:v>GenIII Prius 4-24-12 (US).csv</x:v>
      </x:c>
      <x:c r="K185" s="79" t="str">
        <x:v>2012-04-24</x:v>
      </x:c>
      <x:c r="L185" s="79" t="str">
        <x:v>READ-ONLY DIAGNOSTIC CANDIDATE</x:v>
      </x:c>
      <x:c r="M185" s="79" t="str">
        <x:v>CANDIDATE</x:v>
      </x:c>
      <x:c r="N185" s="80" t="str">
        <x:v>Older US snapshot retained for change comparison</x:v>
      </x:c>
    </x:row>
    <x:row r="186">
      <x:c r="A186" s="78" t="str">
        <x:v>Accumulated Time of Battery Low</x:v>
      </x:c>
      <x:c r="B186" s="79" t="str">
        <x:v>Low count</x:v>
      </x:c>
      <x:c r="C186" s="79" t="str">
        <x:v>2192</x:v>
      </x:c>
      <x:c r="D186" s="79" t="str">
        <x:v>H * 256 + I</x:v>
      </x:c>
      <x:c r="E186" s="79" t="str">
        <x:v>0</x:v>
      </x:c>
      <x:c r="F186" s="79" t="str">
        <x:v>65535</x:v>
      </x:c>
      <x:c r="G186" s="79" t="str">
        <x:v>Number</x:v>
      </x:c>
      <x:c r="H186" s="79" t="str">
        <x:v>7E2</x:v>
      </x:c>
      <x:c r="I186" s="79" t="str">
        <x:v>PRIUS_GEN3 / ZVW30</x:v>
      </x:c>
      <x:c r="J186" s="79" t="str">
        <x:v>GenIII Prius 4-24-12 (US).csv</x:v>
      </x:c>
      <x:c r="K186" s="79" t="str">
        <x:v>2012-04-24</x:v>
      </x:c>
      <x:c r="L186" s="79" t="str">
        <x:v>READ-ONLY DIAGNOSTIC CANDIDATE</x:v>
      </x:c>
      <x:c r="M186" s="79" t="str">
        <x:v>CANDIDATE</x:v>
      </x:c>
      <x:c r="N186" s="80" t="str">
        <x:v>Older US snapshot retained for change comparison</x:v>
      </x:c>
    </x:row>
    <x:row r="187">
      <x:c r="A187" s="78" t="str">
        <x:v>Accumulated Time of DC Inhibit</x:v>
      </x:c>
      <x:c r="B187" s="79" t="str">
        <x:v>DCI count</x:v>
      </x:c>
      <x:c r="C187" s="79" t="str">
        <x:v>2192</x:v>
      </x:c>
      <x:c r="D187" s="79" t="str">
        <x:v>J * 256 + K</x:v>
      </x:c>
      <x:c r="E187" s="79" t="str">
        <x:v>0</x:v>
      </x:c>
      <x:c r="F187" s="79" t="str">
        <x:v>65535</x:v>
      </x:c>
      <x:c r="G187" s="79" t="str">
        <x:v>Number</x:v>
      </x:c>
      <x:c r="H187" s="79" t="str">
        <x:v>7E2</x:v>
      </x:c>
      <x:c r="I187" s="79" t="str">
        <x:v>PRIUS_GEN3 / ZVW30</x:v>
      </x:c>
      <x:c r="J187" s="79" t="str">
        <x:v>GenIII Prius 4-24-12 (US).csv</x:v>
      </x:c>
      <x:c r="K187" s="79" t="str">
        <x:v>2012-04-24</x:v>
      </x:c>
      <x:c r="L187" s="79" t="str">
        <x:v>READ-ONLY DIAGNOSTIC CANDIDATE</x:v>
      </x:c>
      <x:c r="M187" s="79" t="str">
        <x:v>CANDIDATE</x:v>
      </x:c>
      <x:c r="N187" s="80" t="str">
        <x:v>Older US snapshot retained for change comparison</x:v>
      </x:c>
    </x:row>
    <x:row r="188">
      <x:c r="A188" s="78" t="str">
        <x:v>Accumulated Time of Battery too High</x:v>
      </x:c>
      <x:c r="B188" s="79" t="str">
        <x:v>High count</x:v>
      </x:c>
      <x:c r="C188" s="79" t="str">
        <x:v>2192</x:v>
      </x:c>
      <x:c r="D188" s="79" t="str">
        <x:v>L * 256 + M</x:v>
      </x:c>
      <x:c r="E188" s="79" t="str">
        <x:v>0</x:v>
      </x:c>
      <x:c r="F188" s="79" t="str">
        <x:v>65535</x:v>
      </x:c>
      <x:c r="G188" s="79" t="str">
        <x:v>Number</x:v>
      </x:c>
      <x:c r="H188" s="79" t="str">
        <x:v>7E2</x:v>
      </x:c>
      <x:c r="I188" s="79" t="str">
        <x:v>PRIUS_GEN3 / ZVW30</x:v>
      </x:c>
      <x:c r="J188" s="79" t="str">
        <x:v>GenIII Prius 4-24-12 (US).csv</x:v>
      </x:c>
      <x:c r="K188" s="79" t="str">
        <x:v>2012-04-24</x:v>
      </x:c>
      <x:c r="L188" s="79" t="str">
        <x:v>READ-ONLY DIAGNOSTIC CANDIDATE</x:v>
      </x:c>
      <x:c r="M188" s="79" t="str">
        <x:v>CANDIDATE</x:v>
      </x:c>
      <x:c r="N188" s="80" t="str">
        <x:v>Older US snapshot retained for change comparison</x:v>
      </x:c>
    </x:row>
    <x:row r="189">
      <x:c r="A189" s="78" t="str">
        <x:v>Accumulated Time of Hot Temperature</x:v>
      </x:c>
      <x:c r="B189" s="79" t="str">
        <x:v>Hot count</x:v>
      </x:c>
      <x:c r="C189" s="79" t="str">
        <x:v>2192</x:v>
      </x:c>
      <x:c r="D189" s="79" t="str">
        <x:v>N * 256 + O</x:v>
      </x:c>
      <x:c r="E189" s="79" t="str">
        <x:v>0</x:v>
      </x:c>
      <x:c r="F189" s="79" t="str">
        <x:v>65535</x:v>
      </x:c>
      <x:c r="G189" s="79" t="str">
        <x:v>Number</x:v>
      </x:c>
      <x:c r="H189" s="79" t="str">
        <x:v>7E2</x:v>
      </x:c>
      <x:c r="I189" s="79" t="str">
        <x:v>PRIUS_GEN3 / ZVW30</x:v>
      </x:c>
      <x:c r="J189" s="79" t="str">
        <x:v>GenIII Prius 4-24-12 (US).csv</x:v>
      </x:c>
      <x:c r="K189" s="79" t="str">
        <x:v>2012-04-24</x:v>
      </x:c>
      <x:c r="L189" s="79" t="str">
        <x:v>READ-ONLY DIAGNOSTIC CANDIDATE</x:v>
      </x:c>
      <x:c r="M189" s="79" t="str">
        <x:v>CANDIDATE</x:v>
      </x:c>
      <x:c r="N189" s="80" t="str">
        <x:v>Older US snapshot retained for change comparison</x:v>
      </x:c>
    </x:row>
    <x:row r="190">
      <x:c r="A190" s="78" t="str">
        <x:v>Internal Resistance R01</x:v>
      </x:c>
      <x:c r="B190" s="79" t="str">
        <x:v>R01</x:v>
      </x:c>
      <x:c r="C190" s="79" t="str">
        <x:v>2195</x:v>
      </x:c>
      <x:c r="D190" s="79" t="str">
        <x:v>A / 1000</x:v>
      </x:c>
      <x:c r="E190" s="79" t="str">
        <x:v>0</x:v>
      </x:c>
      <x:c r="F190" s="79" t="str">
        <x:v>0.255</x:v>
      </x:c>
      <x:c r="G190" s="79" t="str">
        <x:v>ohm</x:v>
      </x:c>
      <x:c r="H190" s="79" t="str">
        <x:v>7E2</x:v>
      </x:c>
      <x:c r="I190" s="79" t="str">
        <x:v>PRIUS_GEN3 / ZVW30</x:v>
      </x:c>
      <x:c r="J190" s="79" t="str">
        <x:v>GenIII Prius 4-24-12 (US).csv</x:v>
      </x:c>
      <x:c r="K190" s="79" t="str">
        <x:v>2012-04-24</x:v>
      </x:c>
      <x:c r="L190" s="79" t="str">
        <x:v>READ-ONLY DIAGNOSTIC CANDIDATE</x:v>
      </x:c>
      <x:c r="M190" s="79" t="str">
        <x:v>CANDIDATE</x:v>
      </x:c>
      <x:c r="N190" s="80" t="str">
        <x:v>Older US snapshot retained for change comparison</x:v>
      </x:c>
    </x:row>
    <x:row r="191">
      <x:c r="A191" s="78" t="str">
        <x:v>Internal Resistance R02</x:v>
      </x:c>
      <x:c r="B191" s="79" t="str">
        <x:v>R02</x:v>
      </x:c>
      <x:c r="C191" s="79" t="str">
        <x:v>2195</x:v>
      </x:c>
      <x:c r="D191" s="79" t="str">
        <x:v>B / 1000</x:v>
      </x:c>
      <x:c r="E191" s="79" t="str">
        <x:v>0</x:v>
      </x:c>
      <x:c r="F191" s="79" t="str">
        <x:v>0.255</x:v>
      </x:c>
      <x:c r="G191" s="79" t="str">
        <x:v>ohm</x:v>
      </x:c>
      <x:c r="H191" s="79" t="str">
        <x:v>7E2</x:v>
      </x:c>
      <x:c r="I191" s="79" t="str">
        <x:v>PRIUS_GEN3 / ZVW30</x:v>
      </x:c>
      <x:c r="J191" s="79" t="str">
        <x:v>GenIII Prius 4-24-12 (US).csv</x:v>
      </x:c>
      <x:c r="K191" s="79" t="str">
        <x:v>2012-04-24</x:v>
      </x:c>
      <x:c r="L191" s="79" t="str">
        <x:v>READ-ONLY DIAGNOSTIC CANDIDATE</x:v>
      </x:c>
      <x:c r="M191" s="79" t="str">
        <x:v>CANDIDATE</x:v>
      </x:c>
      <x:c r="N191" s="80" t="str">
        <x:v>Older US snapshot retained for change comparison</x:v>
      </x:c>
    </x:row>
    <x:row r="192">
      <x:c r="A192" s="78" t="str">
        <x:v>Internal Resistance R03</x:v>
      </x:c>
      <x:c r="B192" s="79" t="str">
        <x:v>R03</x:v>
      </x:c>
      <x:c r="C192" s="79" t="str">
        <x:v>2195</x:v>
      </x:c>
      <x:c r="D192" s="79" t="str">
        <x:v>C / 1000</x:v>
      </x:c>
      <x:c r="E192" s="79" t="str">
        <x:v>0</x:v>
      </x:c>
      <x:c r="F192" s="79" t="str">
        <x:v>0.255</x:v>
      </x:c>
      <x:c r="G192" s="79" t="str">
        <x:v>ohm</x:v>
      </x:c>
      <x:c r="H192" s="79" t="str">
        <x:v>7E2</x:v>
      </x:c>
      <x:c r="I192" s="79" t="str">
        <x:v>PRIUS_GEN3 / ZVW30</x:v>
      </x:c>
      <x:c r="J192" s="79" t="str">
        <x:v>GenIII Prius 4-24-12 (US).csv</x:v>
      </x:c>
      <x:c r="K192" s="79" t="str">
        <x:v>2012-04-24</x:v>
      </x:c>
      <x:c r="L192" s="79" t="str">
        <x:v>READ-ONLY DIAGNOSTIC CANDIDATE</x:v>
      </x:c>
      <x:c r="M192" s="79" t="str">
        <x:v>CANDIDATE</x:v>
      </x:c>
      <x:c r="N192" s="80" t="str">
        <x:v>Older US snapshot retained for change comparison</x:v>
      </x:c>
    </x:row>
    <x:row r="193">
      <x:c r="A193" s="78" t="str">
        <x:v>Internal Resistance R04</x:v>
      </x:c>
      <x:c r="B193" s="79" t="str">
        <x:v>R04</x:v>
      </x:c>
      <x:c r="C193" s="79" t="str">
        <x:v>2195</x:v>
      </x:c>
      <x:c r="D193" s="79" t="str">
        <x:v>D / 1000</x:v>
      </x:c>
      <x:c r="E193" s="79" t="str">
        <x:v>0</x:v>
      </x:c>
      <x:c r="F193" s="79" t="str">
        <x:v>0.255</x:v>
      </x:c>
      <x:c r="G193" s="79" t="str">
        <x:v>ohm</x:v>
      </x:c>
      <x:c r="H193" s="79" t="str">
        <x:v>7E2</x:v>
      </x:c>
      <x:c r="I193" s="79" t="str">
        <x:v>PRIUS_GEN3 / ZVW30</x:v>
      </x:c>
      <x:c r="J193" s="79" t="str">
        <x:v>GenIII Prius 4-24-12 (US).csv</x:v>
      </x:c>
      <x:c r="K193" s="79" t="str">
        <x:v>2012-04-24</x:v>
      </x:c>
      <x:c r="L193" s="79" t="str">
        <x:v>READ-ONLY DIAGNOSTIC CANDIDATE</x:v>
      </x:c>
      <x:c r="M193" s="79" t="str">
        <x:v>CANDIDATE</x:v>
      </x:c>
      <x:c r="N193" s="80" t="str">
        <x:v>Older US snapshot retained for change comparison</x:v>
      </x:c>
    </x:row>
    <x:row r="194">
      <x:c r="A194" s="78" t="str">
        <x:v>Internal Resistance R05</x:v>
      </x:c>
      <x:c r="B194" s="79" t="str">
        <x:v>R05</x:v>
      </x:c>
      <x:c r="C194" s="79" t="str">
        <x:v>2195</x:v>
      </x:c>
      <x:c r="D194" s="79" t="str">
        <x:v>E / 1000</x:v>
      </x:c>
      <x:c r="E194" s="79" t="str">
        <x:v>0</x:v>
      </x:c>
      <x:c r="F194" s="79" t="str">
        <x:v>0.255</x:v>
      </x:c>
      <x:c r="G194" s="79" t="str">
        <x:v>ohm</x:v>
      </x:c>
      <x:c r="H194" s="79" t="str">
        <x:v>7E2</x:v>
      </x:c>
      <x:c r="I194" s="79" t="str">
        <x:v>PRIUS_GEN3 / ZVW30</x:v>
      </x:c>
      <x:c r="J194" s="79" t="str">
        <x:v>GenIII Prius 4-24-12 (US).csv</x:v>
      </x:c>
      <x:c r="K194" s="79" t="str">
        <x:v>2012-04-24</x:v>
      </x:c>
      <x:c r="L194" s="79" t="str">
        <x:v>READ-ONLY DIAGNOSTIC CANDIDATE</x:v>
      </x:c>
      <x:c r="M194" s="79" t="str">
        <x:v>CANDIDATE</x:v>
      </x:c>
      <x:c r="N194" s="80" t="str">
        <x:v>Older US snapshot retained for change comparison</x:v>
      </x:c>
    </x:row>
    <x:row r="195">
      <x:c r="A195" s="78" t="str">
        <x:v>Internal Resistance R06</x:v>
      </x:c>
      <x:c r="B195" s="79" t="str">
        <x:v>R06</x:v>
      </x:c>
      <x:c r="C195" s="79" t="str">
        <x:v>2195</x:v>
      </x:c>
      <x:c r="D195" s="79" t="str">
        <x:v>F / 1000</x:v>
      </x:c>
      <x:c r="E195" s="79" t="str">
        <x:v>0</x:v>
      </x:c>
      <x:c r="F195" s="79" t="str">
        <x:v>0.255</x:v>
      </x:c>
      <x:c r="G195" s="79" t="str">
        <x:v>ohm</x:v>
      </x:c>
      <x:c r="H195" s="79" t="str">
        <x:v>7E2</x:v>
      </x:c>
      <x:c r="I195" s="79" t="str">
        <x:v>PRIUS_GEN3 / ZVW30</x:v>
      </x:c>
      <x:c r="J195" s="79" t="str">
        <x:v>GenIII Prius 4-24-12 (US).csv</x:v>
      </x:c>
      <x:c r="K195" s="79" t="str">
        <x:v>2012-04-24</x:v>
      </x:c>
      <x:c r="L195" s="79" t="str">
        <x:v>READ-ONLY DIAGNOSTIC CANDIDATE</x:v>
      </x:c>
      <x:c r="M195" s="79" t="str">
        <x:v>CANDIDATE</x:v>
      </x:c>
      <x:c r="N195" s="80" t="str">
        <x:v>Older US snapshot retained for change comparison</x:v>
      </x:c>
    </x:row>
    <x:row r="196">
      <x:c r="A196" s="78" t="str">
        <x:v>Internal Resistance R07</x:v>
      </x:c>
      <x:c r="B196" s="79" t="str">
        <x:v>R07</x:v>
      </x:c>
      <x:c r="C196" s="79" t="str">
        <x:v>2195</x:v>
      </x:c>
      <x:c r="D196" s="79" t="str">
        <x:v>G / 1000</x:v>
      </x:c>
      <x:c r="E196" s="79" t="str">
        <x:v>0</x:v>
      </x:c>
      <x:c r="F196" s="79" t="str">
        <x:v>0.255</x:v>
      </x:c>
      <x:c r="G196" s="79" t="str">
        <x:v>ohm</x:v>
      </x:c>
      <x:c r="H196" s="79" t="str">
        <x:v>7E2</x:v>
      </x:c>
      <x:c r="I196" s="79" t="str">
        <x:v>PRIUS_GEN3 / ZVW30</x:v>
      </x:c>
      <x:c r="J196" s="79" t="str">
        <x:v>GenIII Prius 4-24-12 (US).csv</x:v>
      </x:c>
      <x:c r="K196" s="79" t="str">
        <x:v>2012-04-24</x:v>
      </x:c>
      <x:c r="L196" s="79" t="str">
        <x:v>READ-ONLY DIAGNOSTIC CANDIDATE</x:v>
      </x:c>
      <x:c r="M196" s="79" t="str">
        <x:v>CANDIDATE</x:v>
      </x:c>
      <x:c r="N196" s="80" t="str">
        <x:v>Older US snapshot retained for change comparison</x:v>
      </x:c>
    </x:row>
    <x:row r="197">
      <x:c r="A197" s="78" t="str">
        <x:v>Internal Resistance R08</x:v>
      </x:c>
      <x:c r="B197" s="79" t="str">
        <x:v>R08</x:v>
      </x:c>
      <x:c r="C197" s="79" t="str">
        <x:v>2195</x:v>
      </x:c>
      <x:c r="D197" s="79" t="str">
        <x:v>H / 1000</x:v>
      </x:c>
      <x:c r="E197" s="79" t="str">
        <x:v>0</x:v>
      </x:c>
      <x:c r="F197" s="79" t="str">
        <x:v>0.255</x:v>
      </x:c>
      <x:c r="G197" s="79" t="str">
        <x:v>ohm</x:v>
      </x:c>
      <x:c r="H197" s="79" t="str">
        <x:v>7E2</x:v>
      </x:c>
      <x:c r="I197" s="79" t="str">
        <x:v>PRIUS_GEN3 / ZVW30</x:v>
      </x:c>
      <x:c r="J197" s="79" t="str">
        <x:v>GenIII Prius 4-24-12 (US).csv</x:v>
      </x:c>
      <x:c r="K197" s="79" t="str">
        <x:v>2012-04-24</x:v>
      </x:c>
      <x:c r="L197" s="79" t="str">
        <x:v>READ-ONLY DIAGNOSTIC CANDIDATE</x:v>
      </x:c>
      <x:c r="M197" s="79" t="str">
        <x:v>CANDIDATE</x:v>
      </x:c>
      <x:c r="N197" s="80" t="str">
        <x:v>Older US snapshot retained for change comparison</x:v>
      </x:c>
    </x:row>
    <x:row r="198">
      <x:c r="A198" s="78" t="str">
        <x:v>Internal Resistance R09</x:v>
      </x:c>
      <x:c r="B198" s="79" t="str">
        <x:v>R09</x:v>
      </x:c>
      <x:c r="C198" s="79" t="str">
        <x:v>2195</x:v>
      </x:c>
      <x:c r="D198" s="79" t="str">
        <x:v>I / 1000</x:v>
      </x:c>
      <x:c r="E198" s="79" t="str">
        <x:v>0</x:v>
      </x:c>
      <x:c r="F198" s="79" t="str">
        <x:v>0.255</x:v>
      </x:c>
      <x:c r="G198" s="79" t="str">
        <x:v>ohm</x:v>
      </x:c>
      <x:c r="H198" s="79" t="str">
        <x:v>7E2</x:v>
      </x:c>
      <x:c r="I198" s="79" t="str">
        <x:v>PRIUS_GEN3 / ZVW30</x:v>
      </x:c>
      <x:c r="J198" s="79" t="str">
        <x:v>GenIII Prius 4-24-12 (US).csv</x:v>
      </x:c>
      <x:c r="K198" s="79" t="str">
        <x:v>2012-04-24</x:v>
      </x:c>
      <x:c r="L198" s="79" t="str">
        <x:v>READ-ONLY DIAGNOSTIC CANDIDATE</x:v>
      </x:c>
      <x:c r="M198" s="79" t="str">
        <x:v>CANDIDATE</x:v>
      </x:c>
      <x:c r="N198" s="80" t="str">
        <x:v>Older US snapshot retained for change comparison</x:v>
      </x:c>
    </x:row>
    <x:row r="199">
      <x:c r="A199" s="78" t="str">
        <x:v>Internal Resistance R10</x:v>
      </x:c>
      <x:c r="B199" s="79" t="str">
        <x:v>R10</x:v>
      </x:c>
      <x:c r="C199" s="79" t="str">
        <x:v>2195</x:v>
      </x:c>
      <x:c r="D199" s="79" t="str">
        <x:v>J / 1000</x:v>
      </x:c>
      <x:c r="E199" s="79" t="str">
        <x:v>0</x:v>
      </x:c>
      <x:c r="F199" s="79" t="str">
        <x:v>0.255</x:v>
      </x:c>
      <x:c r="G199" s="79" t="str">
        <x:v>ohm</x:v>
      </x:c>
      <x:c r="H199" s="79" t="str">
        <x:v>7E2</x:v>
      </x:c>
      <x:c r="I199" s="79" t="str">
        <x:v>PRIUS_GEN3 / ZVW30</x:v>
      </x:c>
      <x:c r="J199" s="79" t="str">
        <x:v>GenIII Prius 4-24-12 (US).csv</x:v>
      </x:c>
      <x:c r="K199" s="79" t="str">
        <x:v>2012-04-24</x:v>
      </x:c>
      <x:c r="L199" s="79" t="str">
        <x:v>READ-ONLY DIAGNOSTIC CANDIDATE</x:v>
      </x:c>
      <x:c r="M199" s="79" t="str">
        <x:v>CANDIDATE</x:v>
      </x:c>
      <x:c r="N199" s="80" t="str">
        <x:v>Older US snapshot retained for change comparison</x:v>
      </x:c>
    </x:row>
    <x:row r="200">
      <x:c r="A200" s="78" t="str">
        <x:v>Internal Resistance R11</x:v>
      </x:c>
      <x:c r="B200" s="79" t="str">
        <x:v>R11</x:v>
      </x:c>
      <x:c r="C200" s="79" t="str">
        <x:v>2195</x:v>
      </x:c>
      <x:c r="D200" s="79" t="str">
        <x:v>K / 1000</x:v>
      </x:c>
      <x:c r="E200" s="79" t="str">
        <x:v>0</x:v>
      </x:c>
      <x:c r="F200" s="79" t="str">
        <x:v>0.255</x:v>
      </x:c>
      <x:c r="G200" s="79" t="str">
        <x:v>ohm</x:v>
      </x:c>
      <x:c r="H200" s="79" t="str">
        <x:v>7E2</x:v>
      </x:c>
      <x:c r="I200" s="79" t="str">
        <x:v>PRIUS_GEN3 / ZVW30</x:v>
      </x:c>
      <x:c r="J200" s="79" t="str">
        <x:v>GenIII Prius 4-24-12 (US).csv</x:v>
      </x:c>
      <x:c r="K200" s="79" t="str">
        <x:v>2012-04-24</x:v>
      </x:c>
      <x:c r="L200" s="79" t="str">
        <x:v>READ-ONLY DIAGNOSTIC CANDIDATE</x:v>
      </x:c>
      <x:c r="M200" s="79" t="str">
        <x:v>CANDIDATE</x:v>
      </x:c>
      <x:c r="N200" s="80" t="str">
        <x:v>Older US snapshot retained for change comparison</x:v>
      </x:c>
    </x:row>
    <x:row r="201">
      <x:c r="A201" s="78" t="str">
        <x:v>Internal Resistance R12</x:v>
      </x:c>
      <x:c r="B201" s="79" t="str">
        <x:v>R12</x:v>
      </x:c>
      <x:c r="C201" s="79" t="str">
        <x:v>2195</x:v>
      </x:c>
      <x:c r="D201" s="79" t="str">
        <x:v>L / 1000</x:v>
      </x:c>
      <x:c r="E201" s="79" t="str">
        <x:v>0</x:v>
      </x:c>
      <x:c r="F201" s="79" t="str">
        <x:v>0.255</x:v>
      </x:c>
      <x:c r="G201" s="79" t="str">
        <x:v>ohm</x:v>
      </x:c>
      <x:c r="H201" s="79" t="str">
        <x:v>7E2</x:v>
      </x:c>
      <x:c r="I201" s="79" t="str">
        <x:v>PRIUS_GEN3 / ZVW30</x:v>
      </x:c>
      <x:c r="J201" s="79" t="str">
        <x:v>GenIII Prius 4-24-12 (US).csv</x:v>
      </x:c>
      <x:c r="K201" s="79" t="str">
        <x:v>2012-04-24</x:v>
      </x:c>
      <x:c r="L201" s="79" t="str">
        <x:v>READ-ONLY DIAGNOSTIC CANDIDATE</x:v>
      </x:c>
      <x:c r="M201" s="79" t="str">
        <x:v>CANDIDATE</x:v>
      </x:c>
      <x:c r="N201" s="80" t="str">
        <x:v>Older US snapshot retained for change comparison</x:v>
      </x:c>
    </x:row>
    <x:row r="202">
      <x:c r="A202" s="78" t="str">
        <x:v>Internal Resistance R13</x:v>
      </x:c>
      <x:c r="B202" s="79" t="str">
        <x:v>R13</x:v>
      </x:c>
      <x:c r="C202" s="79" t="str">
        <x:v>2195</x:v>
      </x:c>
      <x:c r="D202" s="79" t="str">
        <x:v>M / 1000</x:v>
      </x:c>
      <x:c r="E202" s="79" t="str">
        <x:v>0</x:v>
      </x:c>
      <x:c r="F202" s="79" t="str">
        <x:v>0.255</x:v>
      </x:c>
      <x:c r="G202" s="79" t="str">
        <x:v>ohm</x:v>
      </x:c>
      <x:c r="H202" s="79" t="str">
        <x:v>7E2</x:v>
      </x:c>
      <x:c r="I202" s="79" t="str">
        <x:v>PRIUS_GEN3 / ZVW30</x:v>
      </x:c>
      <x:c r="J202" s="79" t="str">
        <x:v>GenIII Prius 4-24-12 (US).csv</x:v>
      </x:c>
      <x:c r="K202" s="79" t="str">
        <x:v>2012-04-24</x:v>
      </x:c>
      <x:c r="L202" s="79" t="str">
        <x:v>READ-ONLY DIAGNOSTIC CANDIDATE</x:v>
      </x:c>
      <x:c r="M202" s="79" t="str">
        <x:v>CANDIDATE</x:v>
      </x:c>
      <x:c r="N202" s="80" t="str">
        <x:v>Older US snapshot retained for change comparison</x:v>
      </x:c>
    </x:row>
    <x:row r="203">
      <x:c r="A203" s="78" t="str">
        <x:v>Internal Resistance R14</x:v>
      </x:c>
      <x:c r="B203" s="79" t="str">
        <x:v>R14</x:v>
      </x:c>
      <x:c r="C203" s="79" t="str">
        <x:v>2195</x:v>
      </x:c>
      <x:c r="D203" s="79" t="str">
        <x:v>N / 1000</x:v>
      </x:c>
      <x:c r="E203" s="79" t="str">
        <x:v>0</x:v>
      </x:c>
      <x:c r="F203" s="79" t="str">
        <x:v>0.255</x:v>
      </x:c>
      <x:c r="G203" s="79" t="str">
        <x:v>ohm</x:v>
      </x:c>
      <x:c r="H203" s="79" t="str">
        <x:v>7E2</x:v>
      </x:c>
      <x:c r="I203" s="79" t="str">
        <x:v>PRIUS_GEN3 / ZVW30</x:v>
      </x:c>
      <x:c r="J203" s="79" t="str">
        <x:v>GenIII Prius 4-24-12 (US).csv</x:v>
      </x:c>
      <x:c r="K203" s="79" t="str">
        <x:v>2012-04-24</x:v>
      </x:c>
      <x:c r="L203" s="79" t="str">
        <x:v>READ-ONLY DIAGNOSTIC CANDIDATE</x:v>
      </x:c>
      <x:c r="M203" s="79" t="str">
        <x:v>CANDIDATE</x:v>
      </x:c>
      <x:c r="N203" s="80" t="str">
        <x:v>Older US snapshot retained for change comparison</x:v>
      </x:c>
    </x:row>
    <x:row r="204">
      <x:c r="A204" s="78" t="str">
        <x:v>Batt Pack Current Val</x:v>
      </x:c>
      <x:c r="B204" s="79" t="str">
        <x:v>Bty Curr</x:v>
      </x:c>
      <x:c r="C204" s="79" t="str">
        <x:v>2198</x:v>
      </x:c>
      <x:c r="D204" s="79" t="str">
        <x:v>(A * 256 + B) / 100 - 327.68</x:v>
      </x:c>
      <x:c r="E204" s="79" t="str">
        <x:v>-200</x:v>
      </x:c>
      <x:c r="F204" s="79" t="str">
        <x:v>200</x:v>
      </x:c>
      <x:c r="G204" s="79" t="str">
        <x:v>Amperes</x:v>
      </x:c>
      <x:c r="H204" s="79" t="str">
        <x:v>7E2</x:v>
      </x:c>
      <x:c r="I204" s="79" t="str">
        <x:v>PRIUS_GEN3 / ZVW30</x:v>
      </x:c>
      <x:c r="J204" s="79" t="str">
        <x:v>GenIII Prius 4-24-12 (US).csv</x:v>
      </x:c>
      <x:c r="K204" s="79" t="str">
        <x:v>2012-04-24</x:v>
      </x:c>
      <x:c r="L204" s="79" t="str">
        <x:v>READ-ONLY DIAGNOSTIC CANDIDATE</x:v>
      </x:c>
      <x:c r="M204" s="79" t="str">
        <x:v>CANDIDATE</x:v>
      </x:c>
      <x:c r="N204" s="80" t="str">
        <x:v>Older US snapshot retained for change comparison</x:v>
      </x:c>
    </x:row>
    <x:row r="205">
      <x:c r="A205" s="78" t="str">
        <x:v>HV battery discharge control</x:v>
      </x:c>
      <x:c r="B205" s="79" t="str">
        <x:v>Dischg ctrl</x:v>
      </x:c>
      <x:c r="C205" s="79" t="str">
        <x:v>2198</x:v>
      </x:c>
      <x:c r="D205" s="79" t="str">
        <x:v>(C / 2 - 64) * 1.341022089595028</x:v>
      </x:c>
      <x:c r="E205" s="79" t="str">
        <x:v>-50</x:v>
      </x:c>
      <x:c r="F205" s="79" t="str">
        <x:v>0</x:v>
      </x:c>
      <x:c r="G205" s="79" t="str">
        <x:v>HP</x:v>
      </x:c>
      <x:c r="H205" s="79" t="str">
        <x:v>7E2</x:v>
      </x:c>
      <x:c r="I205" s="79" t="str">
        <x:v>PRIUS_GEN3 / ZVW30</x:v>
      </x:c>
      <x:c r="J205" s="79" t="str">
        <x:v>GenIII Prius 4-24-12 (US).csv</x:v>
      </x:c>
      <x:c r="K205" s="79" t="str">
        <x:v>2012-04-24</x:v>
      </x:c>
      <x:c r="L205" s="79" t="str">
        <x:v>READ-ONLY DIAGNOSTIC CANDIDATE</x:v>
      </x:c>
      <x:c r="M205" s="79" t="str">
        <x:v>CANDIDATE</x:v>
      </x:c>
      <x:c r="N205" s="80" t="str">
        <x:v>Older US snapshot retained for change comparison</x:v>
      </x:c>
    </x:row>
    <x:row r="206">
      <x:c r="A206" s="78" t="str">
        <x:v>HV battery charge control</x:v>
      </x:c>
      <x:c r="B206" s="79" t="str">
        <x:v>Chg ctrl</x:v>
      </x:c>
      <x:c r="C206" s="79" t="str">
        <x:v>2198</x:v>
      </x:c>
      <x:c r="D206" s="79" t="str">
        <x:v>(D / 2 - 64) * 1.341022089595028</x:v>
      </x:c>
      <x:c r="E206" s="79" t="str">
        <x:v>0</x:v>
      </x:c>
      <x:c r="F206" s="79" t="str">
        <x:v>50</x:v>
      </x:c>
      <x:c r="G206" s="79" t="str">
        <x:v>HP</x:v>
      </x:c>
      <x:c r="H206" s="79" t="str">
        <x:v>7E2</x:v>
      </x:c>
      <x:c r="I206" s="79" t="str">
        <x:v>PRIUS_GEN3 / ZVW30</x:v>
      </x:c>
      <x:c r="J206" s="79" t="str">
        <x:v>GenIII Prius 4-24-12 (US).csv</x:v>
      </x:c>
      <x:c r="K206" s="79" t="str">
        <x:v>2012-04-24</x:v>
      </x:c>
      <x:c r="L206" s="79" t="str">
        <x:v>READ-ONLY DIAGNOSTIC CANDIDATE</x:v>
      </x:c>
      <x:c r="M206" s="79" t="str">
        <x:v>CANDIDATE</x:v>
      </x:c>
      <x:c r="N206" s="80" t="str">
        <x:v>Older US snapshot retained for change comparison</x:v>
      </x:c>
    </x:row>
    <x:row r="207">
      <x:c r="A207" s="78" t="str">
        <x:v>Delta SOC</x:v>
      </x:c>
      <x:c r="B207" s="79" t="str">
        <x:v>Delta SOC</x:v>
      </x:c>
      <x:c r="C207" s="79" t="str">
        <x:v>2198</x:v>
      </x:c>
      <x:c r="D207" s="79" t="str">
        <x:v>E / 2</x:v>
      </x:c>
      <x:c r="E207" s="79" t="str">
        <x:v>0</x:v>
      </x:c>
      <x:c r="F207" s="79" t="str">
        <x:v>100</x:v>
      </x:c>
      <x:c r="G207" s="79" t="str">
        <x:v>%</x:v>
      </x:c>
      <x:c r="H207" s="79" t="str">
        <x:v>7E2</x:v>
      </x:c>
      <x:c r="I207" s="79" t="str">
        <x:v>PRIUS_GEN3 / ZVW30</x:v>
      </x:c>
      <x:c r="J207" s="79" t="str">
        <x:v>GenIII Prius 4-24-12 (US).csv</x:v>
      </x:c>
      <x:c r="K207" s="79" t="str">
        <x:v>2012-04-24</x:v>
      </x:c>
      <x:c r="L207" s="79" t="str">
        <x:v>READ-ONLY DIAGNOSTIC CANDIDATE</x:v>
      </x:c>
      <x:c r="M207" s="79" t="str">
        <x:v>CANDIDATE</x:v>
      </x:c>
      <x:c r="N207" s="80" t="str">
        <x:v>Older US snapshot retained for change comparison</x:v>
      </x:c>
    </x:row>
    <x:row r="208">
      <x:c r="A208" s="78" t="str">
        <x:v>SOC after IG-ON</x:v>
      </x:c>
      <x:c r="B208" s="79" t="str">
        <x:v>SOC ig-on</x:v>
      </x:c>
      <x:c r="C208" s="79" t="str">
        <x:v>2198</x:v>
      </x:c>
      <x:c r="D208" s="79" t="str">
        <x:v>F / 2</x:v>
      </x:c>
      <x:c r="E208" s="79" t="str">
        <x:v>0</x:v>
      </x:c>
      <x:c r="F208" s="79" t="str">
        <x:v>100</x:v>
      </x:c>
      <x:c r="G208" s="79" t="str">
        <x:v>%</x:v>
      </x:c>
      <x:c r="H208" s="79" t="str">
        <x:v>7E2</x:v>
      </x:c>
      <x:c r="I208" s="79" t="str">
        <x:v>PRIUS_GEN3 / ZVW30</x:v>
      </x:c>
      <x:c r="J208" s="79" t="str">
        <x:v>GenIII Prius 4-24-12 (US).csv</x:v>
      </x:c>
      <x:c r="K208" s="79" t="str">
        <x:v>2012-04-24</x:v>
      </x:c>
      <x:c r="L208" s="79" t="str">
        <x:v>READ-ONLY DIAGNOSTIC CANDIDATE</x:v>
      </x:c>
      <x:c r="M208" s="79" t="str">
        <x:v>CANDIDATE</x:v>
      </x:c>
      <x:c r="N208" s="80" t="str">
        <x:v>Older US snapshot retained for change comparison</x:v>
      </x:c>
    </x:row>
    <x:row r="209">
      <x:c r="A209" s="78" t="str">
        <x:v>SOC Max</x:v>
      </x:c>
      <x:c r="B209" s="79" t="str">
        <x:v>SOC max</x:v>
      </x:c>
      <x:c r="C209" s="79" t="str">
        <x:v>2198</x:v>
      </x:c>
      <x:c r="D209" s="79" t="str">
        <x:v>G / 2</x:v>
      </x:c>
      <x:c r="E209" s="79" t="str">
        <x:v>0</x:v>
      </x:c>
      <x:c r="F209" s="79" t="str">
        <x:v>100</x:v>
      </x:c>
      <x:c r="G209" s="79" t="str">
        <x:v>%</x:v>
      </x:c>
      <x:c r="H209" s="79" t="str">
        <x:v>7E2</x:v>
      </x:c>
      <x:c r="I209" s="79" t="str">
        <x:v>PRIUS_GEN3 / ZVW30</x:v>
      </x:c>
      <x:c r="J209" s="79" t="str">
        <x:v>GenIII Prius 4-24-12 (US).csv</x:v>
      </x:c>
      <x:c r="K209" s="79" t="str">
        <x:v>2012-04-24</x:v>
      </x:c>
      <x:c r="L209" s="79" t="str">
        <x:v>READ-ONLY DIAGNOSTIC CANDIDATE</x:v>
      </x:c>
      <x:c r="M209" s="79" t="str">
        <x:v>CANDIDATE</x:v>
      </x:c>
      <x:c r="N209" s="80" t="str">
        <x:v>Older US snapshot retained for change comparison</x:v>
      </x:c>
    </x:row>
    <x:row r="210">
      <x:c r="A210" s="78" t="str">
        <x:v>SOC Min</x:v>
      </x:c>
      <x:c r="B210" s="79" t="str">
        <x:v>SOC min</x:v>
      </x:c>
      <x:c r="C210" s="79" t="str">
        <x:v>2198</x:v>
      </x:c>
      <x:c r="D210" s="79" t="str">
        <x:v>H / 2</x:v>
      </x:c>
      <x:c r="E210" s="79" t="str">
        <x:v>0</x:v>
      </x:c>
      <x:c r="F210" s="79" t="str">
        <x:v>100</x:v>
      </x:c>
      <x:c r="G210" s="79" t="str">
        <x:v>%</x:v>
      </x:c>
      <x:c r="H210" s="79" t="str">
        <x:v>7E2</x:v>
      </x:c>
      <x:c r="I210" s="79" t="str">
        <x:v>PRIUS_GEN3 / ZVW30</x:v>
      </x:c>
      <x:c r="J210" s="79" t="str">
        <x:v>GenIII Prius 4-24-12 (US).csv</x:v>
      </x:c>
      <x:c r="K210" s="79" t="str">
        <x:v>2012-04-24</x:v>
      </x:c>
      <x:c r="L210" s="79" t="str">
        <x:v>READ-ONLY DIAGNOSTIC CANDIDATE</x:v>
      </x:c>
      <x:c r="M210" s="79" t="str">
        <x:v>CANDIDATE</x:v>
      </x:c>
      <x:c r="N210" s="80" t="str">
        <x:v>Older US snapshot retained for change comparison</x:v>
      </x:c>
    </x:row>
    <x:row r="211">
      <x:c r="A211" s="78" t="str">
        <x:v>ECU Control Mode (Driving control mode=1,Current sensor offset mode=2,External charge control mode=3,Power supply end mode=4)</x:v>
      </x:c>
      <x:c r="B211" s="79" t="str">
        <x:v>ECU mode</x:v>
      </x:c>
      <x:c r="C211" s="79" t="str">
        <x:v>219B</x:v>
      </x:c>
      <x:c r="D211" s="79" t="str">
        <x:v>A</x:v>
      </x:c>
      <x:c r="E211" s="79" t="str">
        <x:v>1</x:v>
      </x:c>
      <x:c r="F211" s="79" t="str">
        <x:v>4</x:v>
      </x:c>
      <x:c r="G211" s="79" t="str">
        <x:v>Number</x:v>
      </x:c>
      <x:c r="H211" s="79" t="str">
        <x:v>7E2</x:v>
      </x:c>
      <x:c r="I211" s="79" t="str">
        <x:v>PRIUS_GEN3 / ZVW30</x:v>
      </x:c>
      <x:c r="J211" s="79" t="str">
        <x:v>GenIII Prius 4-24-12 (US).csv</x:v>
      </x:c>
      <x:c r="K211" s="79" t="str">
        <x:v>2012-04-24</x:v>
      </x:c>
      <x:c r="L211" s="79" t="str">
        <x:v>READ-ONLY DIAGNOSTIC CANDIDATE</x:v>
      </x:c>
      <x:c r="M211" s="79" t="str">
        <x:v>CANDIDATE</x:v>
      </x:c>
      <x:c r="N211" s="80" t="str">
        <x:v>Older US snapshot retained for change comparison</x:v>
      </x:c>
    </x:row>
    <x:row r="212">
      <x:c r="A212" s="78" t="str">
        <x:v>Battery Cooling Fan Mode</x:v>
      </x:c>
      <x:c r="B212" s="79" t="str">
        <x:v>Fan Mode</x:v>
      </x:c>
      <x:c r="C212" s="79" t="str">
        <x:v>219B</x:v>
      </x:c>
      <x:c r="D212" s="79" t="str">
        <x:v>B</x:v>
      </x:c>
      <x:c r="E212" s="79" t="str">
        <x:v>0</x:v>
      </x:c>
      <x:c r="F212" s="79" t="str">
        <x:v>6</x:v>
      </x:c>
      <x:c r="G212" s="79" t="str">
        <x:v>Number</x:v>
      </x:c>
      <x:c r="H212" s="79" t="str">
        <x:v>7E2</x:v>
      </x:c>
      <x:c r="I212" s="79" t="str">
        <x:v>PRIUS_GEN3 / ZVW30</x:v>
      </x:c>
      <x:c r="J212" s="79" t="str">
        <x:v>GenIII Prius 4-24-12 (US).csv</x:v>
      </x:c>
      <x:c r="K212" s="79" t="str">
        <x:v>2012-04-24</x:v>
      </x:c>
      <x:c r="L212" s="79" t="str">
        <x:v>READ-ONLY DIAGNOSTIC CANDIDATE</x:v>
      </x:c>
      <x:c r="M212" s="79" t="str">
        <x:v>CANDIDATE</x:v>
      </x:c>
      <x:c r="N212" s="80" t="str">
        <x:v>Older US snapshot retained for change comparison</x:v>
      </x:c>
    </x:row>
    <x:row r="213">
      <x:c r="A213" s="78" t="str">
        <x:v>Standby Blower Request Status</x:v>
      </x:c>
      <x:c r="B213" s="79" t="str">
        <x:v>SBRS</x:v>
      </x:c>
      <x:c r="C213" s="79" t="str">
        <x:v>219B</x:v>
      </x:c>
      <x:c r="D213" s="79" t="str">
        <x:v>{C:7}</x:v>
      </x:c>
      <x:c r="E213" s="79" t="str">
        <x:v>0</x:v>
      </x:c>
      <x:c r="F213" s="79" t="str">
        <x:v>1</x:v>
      </x:c>
      <x:c r="G213" s="79" t="str">
        <x:v>Off/On</x:v>
      </x:c>
      <x:c r="H213" s="79" t="str">
        <x:v>7E2</x:v>
      </x:c>
      <x:c r="I213" s="79" t="str">
        <x:v>PRIUS_GEN3 / ZVW30</x:v>
      </x:c>
      <x:c r="J213" s="79" t="str">
        <x:v>GenIII Prius 4-24-12 (US).csv</x:v>
      </x:c>
      <x:c r="K213" s="79" t="str">
        <x:v>2012-04-24</x:v>
      </x:c>
      <x:c r="L213" s="79" t="str">
        <x:v>READ-ONLY DIAGNOSTIC CANDIDATE</x:v>
      </x:c>
      <x:c r="M213" s="79" t="str">
        <x:v>CANDIDATE</x:v>
      </x:c>
      <x:c r="N213" s="80" t="str">
        <x:v>Older US snapshot retained for change comparison</x:v>
      </x:c>
    </x:row>
    <x:row r="214">
      <x:c r="A214" s="78" t="str">
        <x:v>Short Circuit Wave Highest Value</x:v>
      </x:c>
      <x:c r="B214" s="79" t="str">
        <x:v>S/C Wave Hi</x:v>
      </x:c>
      <x:c r="C214" s="79" t="str">
        <x:v>219B</x:v>
      </x:c>
      <x:c r="D214" s="79" t="str">
        <x:v>D * 4.98 / 255</x:v>
      </x:c>
      <x:c r="E214" s="79" t="str">
        <x:v>0</x:v>
      </x:c>
      <x:c r="F214" s="79" t="str">
        <x:v>4.98</x:v>
      </x:c>
      <x:c r="G214" s="79" t="str">
        <x:v>V</x:v>
      </x:c>
      <x:c r="H214" s="79" t="str">
        <x:v>7E2</x:v>
      </x:c>
      <x:c r="I214" s="79" t="str">
        <x:v>PRIUS_GEN3 / ZVW30</x:v>
      </x:c>
      <x:c r="J214" s="79" t="str">
        <x:v>GenIII Prius 4-24-12 (US).csv</x:v>
      </x:c>
      <x:c r="K214" s="79" t="str">
        <x:v>2012-04-24</x:v>
      </x:c>
      <x:c r="L214" s="79" t="str">
        <x:v>READ-ONLY DIAGNOSTIC CANDIDATE</x:v>
      </x:c>
      <x:c r="M214" s="79" t="str">
        <x:v>CANDIDATE</x:v>
      </x:c>
      <x:c r="N214" s="80" t="str">
        <x:v>Older US snapshot retained for change comparison</x:v>
      </x:c>
    </x:row>
    <x:row r="215">
      <x:c r="A215" s="78" t="str">
        <x:v>Model Code (ZVW3##)</x:v>
      </x:c>
      <x:c r="B215" s="79" t="str">
        <x:v>Model Code</x:v>
      </x:c>
      <x:c r="C215" s="79" t="str">
        <x:v>21C1</x:v>
      </x:c>
      <x:c r="D215" s="79" t="str">
        <x:v>ABCDEFG</x:v>
      </x:c>
      <x:c r="E215" s="79" t="str">
        <x:v>0</x:v>
      </x:c>
      <x:c r="F215" s="79" t="str">
        <x:v>0</x:v>
      </x:c>
      <x:c r="G215" s="79" t="str">
        <x:v>Number</x:v>
      </x:c>
      <x:c r="H215" s="79" t="str">
        <x:v>7E2</x:v>
      </x:c>
      <x:c r="I215" s="79" t="str">
        <x:v>PRIUS_GEN3 / ZVW30</x:v>
      </x:c>
      <x:c r="J215" s="79" t="str">
        <x:v>GenIII Prius 4-24-12 (US).csv</x:v>
      </x:c>
      <x:c r="K215" s="79" t="str">
        <x:v>2012-04-24</x:v>
      </x:c>
      <x:c r="L215" s="79" t="str">
        <x:v>READ-ONLY DIAGNOSTIC CANDIDATE</x:v>
      </x:c>
      <x:c r="M215" s="79" t="str">
        <x:v>CANDIDATE</x:v>
      </x:c>
      <x:c r="N215" s="80" t="str">
        <x:v>Older US snapshot retained for change comparison</x:v>
      </x:c>
    </x:row>
    <x:row r="216">
      <x:c r="A216" s="78" t="str">
        <x:v>Engine Code (P410)</x:v>
      </x:c>
      <x:c r="B216" s="79" t="str">
        <x:v>Eng Code</x:v>
      </x:c>
      <x:c r="C216" s="79" t="str">
        <x:v>21C1</x:v>
      </x:c>
      <x:c r="D216" s="79" t="str">
        <x:v>HIJKLM</x:v>
      </x:c>
      <x:c r="E216" s="79" t="str">
        <x:v>0</x:v>
      </x:c>
      <x:c r="F216" s="79" t="str">
        <x:v>0</x:v>
      </x:c>
      <x:c r="G216" s="79" t="str">
        <x:v>Number</x:v>
      </x:c>
      <x:c r="H216" s="79" t="str">
        <x:v>7E2</x:v>
      </x:c>
      <x:c r="I216" s="79" t="str">
        <x:v>PRIUS_GEN3 / ZVW30</x:v>
      </x:c>
      <x:c r="J216" s="79" t="str">
        <x:v>GenIII Prius 4-24-12 (US).csv</x:v>
      </x:c>
      <x:c r="K216" s="79" t="str">
        <x:v>2012-04-24</x:v>
      </x:c>
      <x:c r="L216" s="79" t="str">
        <x:v>READ-ONLY DIAGNOSTIC CANDIDATE</x:v>
      </x:c>
      <x:c r="M216" s="79" t="str">
        <x:v>CANDIDATE</x:v>
      </x:c>
      <x:c r="N216" s="80" t="str">
        <x:v>Older US snapshot retained for change comparison</x:v>
      </x:c>
    </x:row>
    <x:row r="217">
      <x:c r="A217" s="78" t="str">
        <x:v>Destination (America=A=65)</x:v>
      </x:c>
      <x:c r="B217" s="79" t="str">
        <x:v>Dest</x:v>
      </x:c>
      <x:c r="C217" s="79" t="str">
        <x:v>21C1</x:v>
      </x:c>
      <x:c r="D217" s="79" t="str">
        <x:v>P</x:v>
      </x:c>
      <x:c r="E217" s="79" t="str">
        <x:v>0</x:v>
      </x:c>
      <x:c r="F217" s="79" t="str">
        <x:v>0</x:v>
      </x:c>
      <x:c r="G217" s="79" t="str">
        <x:v>Number</x:v>
      </x:c>
      <x:c r="H217" s="79" t="str">
        <x:v>7E2</x:v>
      </x:c>
      <x:c r="I217" s="79" t="str">
        <x:v>PRIUS_GEN3 / ZVW30</x:v>
      </x:c>
      <x:c r="J217" s="79" t="str">
        <x:v>GenIII Prius 4-24-12 (US).csv</x:v>
      </x:c>
      <x:c r="K217" s="79" t="str">
        <x:v>2012-04-24</x:v>
      </x:c>
      <x:c r="L217" s="79" t="str">
        <x:v>READ-ONLY DIAGNOSTIC CANDIDATE</x:v>
      </x:c>
      <x:c r="M217" s="79" t="str">
        <x:v>CANDIDATE</x:v>
      </x:c>
      <x:c r="N217" s="80" t="str">
        <x:v>Older US snapshot retained for change comparison</x:v>
      </x:c>
    </x:row>
    <x:row r="218">
      <x:c r="A218" s="78" t="str">
        <x:v>ECU Code</x:v>
      </x:c>
      <x:c r="B218" s="79" t="str">
        <x:v>ECU Code</x:v>
      </x:c>
      <x:c r="C218" s="79" t="str">
        <x:v>21C2</x:v>
      </x:c>
      <x:c r="D218" s="79" t="str">
        <x:v>ABCDE</x:v>
      </x:c>
      <x:c r="E218" s="79" t="str">
        <x:v>0</x:v>
      </x:c>
      <x:c r="F218" s="79" t="str">
        <x:v>0</x:v>
      </x:c>
      <x:c r="G218" s="79" t="str">
        <x:v>Number</x:v>
      </x:c>
      <x:c r="H218" s="79" t="str">
        <x:v>7E2</x:v>
      </x:c>
      <x:c r="I218" s="79" t="str">
        <x:v>PRIUS_GEN3 / ZVW30</x:v>
      </x:c>
      <x:c r="J218" s="79" t="str">
        <x:v>GenIII Prius 4-24-12 (US).csv</x:v>
      </x:c>
      <x:c r="K218" s="79" t="str">
        <x:v>2012-04-24</x:v>
      </x:c>
      <x:c r="L218" s="79" t="str">
        <x:v>READ-ONLY DIAGNOSTIC CANDIDATE</x:v>
      </x:c>
      <x:c r="M218" s="79" t="str">
        <x:v>CANDIDATE</x:v>
      </x:c>
      <x:c r="N218" s="80" t="str">
        <x:v>Older US snapshot retained for change comparison</x:v>
      </x:c>
    </x:row>
    <x:row r="219">
      <x:c r="A219" s="78" t="str">
        <x:v>Number of Current Code</x:v>
      </x:c>
      <x:c r="B219" s="79" t="str">
        <x:v>#Curr Code</x:v>
      </x:c>
      <x:c r="C219" s="79" t="str">
        <x:v>21E1</x:v>
      </x:c>
      <x:c r="D219" s="79" t="str">
        <x:v>A</x:v>
      </x:c>
      <x:c r="E219" s="79" t="str">
        <x:v>0</x:v>
      </x:c>
      <x:c r="F219" s="79" t="str">
        <x:v>255</x:v>
      </x:c>
      <x:c r="G219" s="79" t="str">
        <x:v>Number</x:v>
      </x:c>
      <x:c r="H219" s="79" t="str">
        <x:v>7E2</x:v>
      </x:c>
      <x:c r="I219" s="79" t="str">
        <x:v>PRIUS_GEN3 / ZVW30</x:v>
      </x:c>
      <x:c r="J219" s="79" t="str">
        <x:v>GenIII Prius 4-24-12 (US).csv</x:v>
      </x:c>
      <x:c r="K219" s="79" t="str">
        <x:v>2012-04-24</x:v>
      </x:c>
      <x:c r="L219" s="79" t="str">
        <x:v>READ-ONLY DIAGNOSTIC CANDIDATE</x:v>
      </x:c>
      <x:c r="M219" s="79" t="str">
        <x:v>CANDIDATE</x:v>
      </x:c>
      <x:c r="N219" s="80" t="str">
        <x:v>Older US snapshot retained for change comparison</x:v>
      </x:c>
    </x:row>
    <x:row r="220">
      <x:c r="A220" s="78" t="str">
        <x:v>Number of History Code</x:v>
      </x:c>
      <x:c r="B220" s="79" t="str">
        <x:v>#Hist Code</x:v>
      </x:c>
      <x:c r="C220" s="79" t="str">
        <x:v>21E1</x:v>
      </x:c>
      <x:c r="D220" s="79" t="str">
        <x:v>B</x:v>
      </x:c>
      <x:c r="E220" s="79" t="str">
        <x:v>0</x:v>
      </x:c>
      <x:c r="F220" s="79" t="str">
        <x:v>255</x:v>
      </x:c>
      <x:c r="G220" s="79" t="str">
        <x:v>Number</x:v>
      </x:c>
      <x:c r="H220" s="79" t="str">
        <x:v>7E2</x:v>
      </x:c>
      <x:c r="I220" s="79" t="str">
        <x:v>PRIUS_GEN3 / ZVW30</x:v>
      </x:c>
      <x:c r="J220" s="79" t="str">
        <x:v>GenIII Prius 4-24-12 (US).csv</x:v>
      </x:c>
      <x:c r="K220" s="79" t="str">
        <x:v>2012-04-24</x:v>
      </x:c>
      <x:c r="L220" s="79" t="str">
        <x:v>READ-ONLY DIAGNOSTIC CANDIDATE</x:v>
      </x:c>
      <x:c r="M220" s="79" t="str">
        <x:v>CANDIDATE</x:v>
      </x:c>
      <x:c r="N220" s="80" t="str">
        <x:v>Older US snapshot retained for change comparison</x:v>
      </x:c>
    </x:row>
    <x:row r="221">
      <x:c r="A221" s="78" t="str">
        <x:v>Disable Traction Control</x:v>
      </x:c>
      <x:c r="B221" s="79" t="str">
        <x:v>TRAC Dis</x:v>
      </x:c>
      <x:c r="C221" s="79" t="str">
        <x:v>30610040</x:v>
      </x:c>
      <x:c r="D221" s="79" t="str">
        <x:v>A</x:v>
      </x:c>
      <x:c r="E221" s="79" t="str">
        <x:v>0</x:v>
      </x:c>
      <x:c r="F221" s="79" t="str">
        <x:v>0</x:v>
      </x:c>
      <x:c r="G221" s="79" t="str">
        <x:v>No reply req'd</x:v>
      </x:c>
      <x:c r="H221" s="79" t="str">
        <x:v>7E2</x:v>
      </x:c>
      <x:c r="I221" s="79" t="str">
        <x:v>PRIUS_GEN3 / ZVW30</x:v>
      </x:c>
      <x:c r="J221" s="79" t="str">
        <x:v>GenIII Prius 4-24-12 (US).csv</x:v>
      </x:c>
      <x:c r="K221" s="79" t="str">
        <x:v>2012-04-24</x:v>
      </x:c>
      <x:c r="L221" s="79" t="str">
        <x:v>REVIEW REQUIRED - NOT WHITELISTED</x:v>
      </x:c>
      <x:c r="M221" s="79" t="str">
        <x:v>CANDIDATE</x:v>
      </x:c>
      <x:c r="N221" s="80" t="str">
        <x:v>Older US snapshot retained for change comparison</x:v>
      </x:c>
    </x:row>
    <x:row r="222">
      <x:c r="A222" s="78" t="str">
        <x:v>Set Battery Cooling Fan Speed 0 (Off)</x:v>
      </x:c>
      <x:c r="B222" s="79" t="str">
        <x:v>SFS0</x:v>
      </x:c>
      <x:c r="C222" s="79" t="str">
        <x:v>30810600</x:v>
      </x:c>
      <x:c r="D222" s="79" t="str">
        <x:v>A</x:v>
      </x:c>
      <x:c r="E222" s="79" t="str">
        <x:v>0</x:v>
      </x:c>
      <x:c r="F222" s="79" t="str">
        <x:v>0</x:v>
      </x:c>
      <x:c r="G222" s="79" t="str">
        <x:v>No reply req'd</x:v>
      </x:c>
      <x:c r="H222" s="79" t="str">
        <x:v>7E2</x:v>
      </x:c>
      <x:c r="I222" s="79" t="str">
        <x:v>PRIUS_GEN3 / ZVW30</x:v>
      </x:c>
      <x:c r="J222" s="79" t="str">
        <x:v>GenIII Prius 4-24-12 (US).csv</x:v>
      </x:c>
      <x:c r="K222" s="79" t="str">
        <x:v>2012-04-24</x:v>
      </x:c>
      <x:c r="L222" s="79" t="str">
        <x:v>REVIEW REQUIRED - NOT WHITELISTED</x:v>
      </x:c>
      <x:c r="M222" s="79" t="str">
        <x:v>CANDIDATE</x:v>
      </x:c>
      <x:c r="N222" s="80" t="str">
        <x:v>Older US snapshot retained for change comparison</x:v>
      </x:c>
    </x:row>
    <x:row r="223">
      <x:c r="A223" s="78" t="str">
        <x:v>Set Battery Cooling Fan Speed 1</x:v>
      </x:c>
      <x:c r="B223" s="79" t="str">
        <x:v>SFS1</x:v>
      </x:c>
      <x:c r="C223" s="79" t="str">
        <x:v>30810601</x:v>
      </x:c>
      <x:c r="D223" s="79" t="str">
        <x:v>A</x:v>
      </x:c>
      <x:c r="E223" s="79" t="str">
        <x:v>0</x:v>
      </x:c>
      <x:c r="F223" s="79" t="str">
        <x:v>0</x:v>
      </x:c>
      <x:c r="G223" s="79" t="str">
        <x:v>No reply req'd</x:v>
      </x:c>
      <x:c r="H223" s="79" t="str">
        <x:v>7E2</x:v>
      </x:c>
      <x:c r="I223" s="79" t="str">
        <x:v>PRIUS_GEN3 / ZVW30</x:v>
      </x:c>
      <x:c r="J223" s="79" t="str">
        <x:v>GenIII Prius 4-24-12 (US).csv</x:v>
      </x:c>
      <x:c r="K223" s="79" t="str">
        <x:v>2012-04-24</x:v>
      </x:c>
      <x:c r="L223" s="79" t="str">
        <x:v>REVIEW REQUIRED - NOT WHITELISTED</x:v>
      </x:c>
      <x:c r="M223" s="79" t="str">
        <x:v>CANDIDATE</x:v>
      </x:c>
      <x:c r="N223" s="80" t="str">
        <x:v>Older US snapshot retained for change comparison</x:v>
      </x:c>
    </x:row>
    <x:row r="224">
      <x:c r="A224" s="78" t="str">
        <x:v>Set Battery Cooling Fan Speed 2</x:v>
      </x:c>
      <x:c r="B224" s="79" t="str">
        <x:v>SFS2</x:v>
      </x:c>
      <x:c r="C224" s="79" t="str">
        <x:v>30810602</x:v>
      </x:c>
      <x:c r="D224" s="79" t="str">
        <x:v>A</x:v>
      </x:c>
      <x:c r="E224" s="79" t="str">
        <x:v>0</x:v>
      </x:c>
      <x:c r="F224" s="79" t="str">
        <x:v>0</x:v>
      </x:c>
      <x:c r="G224" s="79" t="str">
        <x:v>No reply req'd</x:v>
      </x:c>
      <x:c r="H224" s="79" t="str">
        <x:v>7E2</x:v>
      </x:c>
      <x:c r="I224" s="79" t="str">
        <x:v>PRIUS_GEN3 / ZVW30</x:v>
      </x:c>
      <x:c r="J224" s="79" t="str">
        <x:v>GenIII Prius 4-24-12 (US).csv</x:v>
      </x:c>
      <x:c r="K224" s="79" t="str">
        <x:v>2012-04-24</x:v>
      </x:c>
      <x:c r="L224" s="79" t="str">
        <x:v>REVIEW REQUIRED - NOT WHITELISTED</x:v>
      </x:c>
      <x:c r="M224" s="79" t="str">
        <x:v>CANDIDATE</x:v>
      </x:c>
      <x:c r="N224" s="80" t="str">
        <x:v>Older US snapshot retained for change comparison</x:v>
      </x:c>
    </x:row>
    <x:row r="225">
      <x:c r="A225" s="78" t="str">
        <x:v>Set Battery Cooling Fan Speed 3</x:v>
      </x:c>
      <x:c r="B225" s="79" t="str">
        <x:v>SFS3</x:v>
      </x:c>
      <x:c r="C225" s="79" t="str">
        <x:v>30810603</x:v>
      </x:c>
      <x:c r="D225" s="79" t="str">
        <x:v>A</x:v>
      </x:c>
      <x:c r="E225" s="79" t="str">
        <x:v>0</x:v>
      </x:c>
      <x:c r="F225" s="79" t="str">
        <x:v>0</x:v>
      </x:c>
      <x:c r="G225" s="79" t="str">
        <x:v>No reply req'd</x:v>
      </x:c>
      <x:c r="H225" s="79" t="str">
        <x:v>7E2</x:v>
      </x:c>
      <x:c r="I225" s="79" t="str">
        <x:v>PRIUS_GEN3 / ZVW30</x:v>
      </x:c>
      <x:c r="J225" s="79" t="str">
        <x:v>GenIII Prius 4-24-12 (US).csv</x:v>
      </x:c>
      <x:c r="K225" s="79" t="str">
        <x:v>2012-04-24</x:v>
      </x:c>
      <x:c r="L225" s="79" t="str">
        <x:v>REVIEW REQUIRED - NOT WHITELISTED</x:v>
      </x:c>
      <x:c r="M225" s="79" t="str">
        <x:v>CANDIDATE</x:v>
      </x:c>
      <x:c r="N225" s="80" t="str">
        <x:v>Older US snapshot retained for change comparison</x:v>
      </x:c>
    </x:row>
    <x:row r="226">
      <x:c r="A226" s="78" t="str">
        <x:v>Set Battery Cooling Fan Speed 4</x:v>
      </x:c>
      <x:c r="B226" s="79" t="str">
        <x:v>SFS4</x:v>
      </x:c>
      <x:c r="C226" s="79" t="str">
        <x:v>30810604</x:v>
      </x:c>
      <x:c r="D226" s="79" t="str">
        <x:v>A</x:v>
      </x:c>
      <x:c r="E226" s="79" t="str">
        <x:v>0</x:v>
      </x:c>
      <x:c r="F226" s="79" t="str">
        <x:v>0</x:v>
      </x:c>
      <x:c r="G226" s="79" t="str">
        <x:v>No reply req'd</x:v>
      </x:c>
      <x:c r="H226" s="79" t="str">
        <x:v>7E2</x:v>
      </x:c>
      <x:c r="I226" s="79" t="str">
        <x:v>PRIUS_GEN3 / ZVW30</x:v>
      </x:c>
      <x:c r="J226" s="79" t="str">
        <x:v>GenIII Prius 4-24-12 (US).csv</x:v>
      </x:c>
      <x:c r="K226" s="79" t="str">
        <x:v>2012-04-24</x:v>
      </x:c>
      <x:c r="L226" s="79" t="str">
        <x:v>REVIEW REQUIRED - NOT WHITELISTED</x:v>
      </x:c>
      <x:c r="M226" s="79" t="str">
        <x:v>CANDIDATE</x:v>
      </x:c>
      <x:c r="N226" s="80" t="str">
        <x:v>Older US snapshot retained for change comparison</x:v>
      </x:c>
    </x:row>
    <x:row r="227">
      <x:c r="A227" s="78" t="str">
        <x:v>Set Battery Cooling Fan Speed 5</x:v>
      </x:c>
      <x:c r="B227" s="79" t="str">
        <x:v>SFS5</x:v>
      </x:c>
      <x:c r="C227" s="79" t="str">
        <x:v>30810605</x:v>
      </x:c>
      <x:c r="D227" s="79" t="str">
        <x:v>A</x:v>
      </x:c>
      <x:c r="E227" s="79" t="str">
        <x:v>0</x:v>
      </x:c>
      <x:c r="F227" s="79" t="str">
        <x:v>0</x:v>
      </x:c>
      <x:c r="G227" s="79" t="str">
        <x:v>No reply req'd</x:v>
      </x:c>
      <x:c r="H227" s="79" t="str">
        <x:v>7E2</x:v>
      </x:c>
      <x:c r="I227" s="79" t="str">
        <x:v>PRIUS_GEN3 / ZVW30</x:v>
      </x:c>
      <x:c r="J227" s="79" t="str">
        <x:v>GenIII Prius 4-24-12 (US).csv</x:v>
      </x:c>
      <x:c r="K227" s="79" t="str">
        <x:v>2012-04-24</x:v>
      </x:c>
      <x:c r="L227" s="79" t="str">
        <x:v>REVIEW REQUIRED - NOT WHITELISTED</x:v>
      </x:c>
      <x:c r="M227" s="79" t="str">
        <x:v>CANDIDATE</x:v>
      </x:c>
      <x:c r="N227" s="80" t="str">
        <x:v>Older US snapshot retained for change comparison</x:v>
      </x:c>
    </x:row>
    <x:row r="228">
      <x:c r="A228" s="81" t="str">
        <x:v>Set Battery Cooling Fan Speed 6 (max.)</x:v>
      </x:c>
      <x:c r="B228" s="82" t="str">
        <x:v>SFS6</x:v>
      </x:c>
      <x:c r="C228" s="82" t="str">
        <x:v>30810606</x:v>
      </x:c>
      <x:c r="D228" s="82" t="str">
        <x:v>A</x:v>
      </x:c>
      <x:c r="E228" s="82" t="str">
        <x:v>0</x:v>
      </x:c>
      <x:c r="F228" s="82" t="str">
        <x:v>0</x:v>
      </x:c>
      <x:c r="G228" s="82" t="str">
        <x:v>No reply req'd</x:v>
      </x:c>
      <x:c r="H228" s="82" t="str">
        <x:v>7E2</x:v>
      </x:c>
      <x:c r="I228" s="82" t="str">
        <x:v>PRIUS_GEN3 / ZVW30</x:v>
      </x:c>
      <x:c r="J228" s="82" t="str">
        <x:v>GenIII Prius 4-24-12 (US).csv</x:v>
      </x:c>
      <x:c r="K228" s="82" t="str">
        <x:v>2012-04-24</x:v>
      </x:c>
      <x:c r="L228" s="82" t="str">
        <x:v>REVIEW REQUIRED - NOT WHITELISTED</x:v>
      </x:c>
      <x:c r="M228" s="82" t="str">
        <x:v>CANDIDATE</x:v>
      </x:c>
      <x:c r="N228" s="83" t="str">
        <x:v>Older US snapshot retained for change comparison</x:v>
      </x:c>
    </x:row>
  </x:sheetData>
  <x:pageMargins left="0.7" right="0.7" top="0.75" bottom="0.75" header="0.3" footer="0.3"/>
  <x:tableParts count="1">
    <x:tablePart xmlns:r="http://schemas.openxmlformats.org/officeDocument/2006/relationships" r:id="R6b2b3ed2cc9c4283"/>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n">
        <x:v>0</x:v>
      </x:c>
      <x:c r="F2" s="79" t="n">
        <x:v>120</x:v>
      </x:c>
      <x:c r="G2" s="79" t="str">
        <x:v>mph</x:v>
      </x:c>
      <x:c r="H2" s="79" t="str">
        <x:v>7B0</x:v>
      </x:c>
      <x:c r="I2" s="79" t="str">
        <x:v>PRIUS_GEN3 / ZVW30</x:v>
      </x:c>
      <x:c r="J2" s="79" t="str">
        <x:v>ZVW30 Custom PIDs for Torque (Android App) 12Nov12.xlsx - US</x:v>
      </x:c>
      <x:c r="K2" s="79" t="str">
        <x:v>2012-11-12</x:v>
      </x:c>
      <x:c r="L2" s="79" t="str">
        <x:v>READ-ONLY DIAGNOSTIC CANDIDATE</x:v>
      </x:c>
      <x:c r="M2" s="79" t="str">
        <x:v>CANDIDATE</x:v>
      </x:c>
      <x:c r="N2" s="80" t="str">
        <x:v>Later US source; validate on ZVW30 before firmware use</x:v>
      </x:c>
    </x:row>
    <x:row r="3">
      <x:c r="A3" s="78" t="str">
        <x:v>FL Wheel Speed</x:v>
      </x:c>
      <x:c r="B3" s="79" t="str">
        <x:v>FL WS</x:v>
      </x:c>
      <x:c r="C3" s="79" t="str">
        <x:v>2103</x:v>
      </x:c>
      <x:c r="D3" s="79" t="str">
        <x:v>B * 32 / 25 * 15625 / 25146</x:v>
      </x:c>
      <x:c r="E3" s="79" t="n">
        <x:v>0</x:v>
      </x:c>
      <x:c r="F3" s="79" t="n">
        <x:v>120</x:v>
      </x:c>
      <x:c r="G3" s="79" t="str">
        <x:v>mph</x:v>
      </x:c>
      <x:c r="H3" s="79" t="str">
        <x:v>7B0</x:v>
      </x:c>
      <x:c r="I3" s="79" t="str">
        <x:v>PRIUS_GEN3 / ZVW30</x:v>
      </x:c>
      <x:c r="J3" s="79" t="str">
        <x:v>ZVW30 Custom PIDs for Torque (Android App) 12Nov12.xlsx - US</x:v>
      </x:c>
      <x:c r="K3" s="79" t="str">
        <x:v>2012-11-12</x:v>
      </x:c>
      <x:c r="L3" s="79" t="str">
        <x:v>READ-ONLY DIAGNOSTIC CANDIDATE</x:v>
      </x:c>
      <x:c r="M3" s="79" t="str">
        <x:v>CANDIDATE</x:v>
      </x:c>
      <x:c r="N3" s="80" t="str">
        <x:v>Later US source; validate on ZVW30 before firmware use</x:v>
      </x:c>
    </x:row>
    <x:row r="4">
      <x:c r="A4" s="78" t="str">
        <x:v>RR Wheel Speed</x:v>
      </x:c>
      <x:c r="B4" s="79" t="str">
        <x:v>RR WS</x:v>
      </x:c>
      <x:c r="C4" s="79" t="str">
        <x:v>2103</x:v>
      </x:c>
      <x:c r="D4" s="79" t="str">
        <x:v>C * 32 / 25 * 15625 / 25146</x:v>
      </x:c>
      <x:c r="E4" s="79" t="n">
        <x:v>0</x:v>
      </x:c>
      <x:c r="F4" s="79" t="n">
        <x:v>120</x:v>
      </x:c>
      <x:c r="G4" s="79" t="str">
        <x:v>mph</x:v>
      </x:c>
      <x:c r="H4" s="79" t="str">
        <x:v>7B0</x:v>
      </x:c>
      <x:c r="I4" s="79" t="str">
        <x:v>PRIUS_GEN3 / ZVW30</x:v>
      </x:c>
      <x:c r="J4" s="79" t="str">
        <x:v>ZVW30 Custom PIDs for Torque (Android App) 12Nov12.xlsx - US</x:v>
      </x:c>
      <x:c r="K4" s="79" t="str">
        <x:v>2012-11-12</x:v>
      </x:c>
      <x:c r="L4" s="79" t="str">
        <x:v>READ-ONLY DIAGNOSTIC CANDIDATE</x:v>
      </x:c>
      <x:c r="M4" s="79" t="str">
        <x:v>CANDIDATE</x:v>
      </x:c>
      <x:c r="N4" s="80" t="str">
        <x:v>Later US source; validate on ZVW30 before firmware use</x:v>
      </x:c>
    </x:row>
    <x:row r="5">
      <x:c r="A5" s="78" t="str">
        <x:v>RL Wheel Speed</x:v>
      </x:c>
      <x:c r="B5" s="79" t="str">
        <x:v>RL WS</x:v>
      </x:c>
      <x:c r="C5" s="79" t="str">
        <x:v>2103</x:v>
      </x:c>
      <x:c r="D5" s="79" t="str">
        <x:v>D * 32 / 25 * 15625 / 25146</x:v>
      </x:c>
      <x:c r="E5" s="79" t="n">
        <x:v>0</x:v>
      </x:c>
      <x:c r="F5" s="79" t="n">
        <x:v>120</x:v>
      </x:c>
      <x:c r="G5" s="79" t="str">
        <x:v>mph</x:v>
      </x:c>
      <x:c r="H5" s="79" t="str">
        <x:v>7B0</x:v>
      </x:c>
      <x:c r="I5" s="79" t="str">
        <x:v>PRIUS_GEN3 / ZVW30</x:v>
      </x:c>
      <x:c r="J5" s="79" t="str">
        <x:v>ZVW30 Custom PIDs for Torque (Android App) 12Nov12.xlsx - US</x:v>
      </x:c>
      <x:c r="K5" s="79" t="str">
        <x:v>2012-11-12</x:v>
      </x:c>
      <x:c r="L5" s="79" t="str">
        <x:v>READ-ONLY DIAGNOSTIC CANDIDATE</x:v>
      </x:c>
      <x:c r="M5" s="79" t="str">
        <x:v>CANDIDATE</x:v>
      </x:c>
      <x:c r="N5" s="80" t="str">
        <x:v>Later US source; validate on ZVW30 before firmware use</x:v>
      </x:c>
    </x:row>
    <x:row r="6">
      <x:c r="A6" s="78" t="str">
        <x:v>Deceleration Sensor</x:v>
      </x:c>
      <x:c r="B6" s="79" t="str">
        <x:v>DecelSen</x:v>
      </x:c>
      <x:c r="C6" s="79" t="str">
        <x:v>2105</x:v>
      </x:c>
      <x:c r="D6" s="79" t="str">
        <x:v>A * 36.36 / 255 - 18.18</x:v>
      </x:c>
      <x:c r="E6" s="79" t="n">
        <x:v>-18.18</x:v>
      </x:c>
      <x:c r="F6" s="79" t="n">
        <x:v>18.18</x:v>
      </x:c>
      <x:c r="G6" s="79" t="str">
        <x:v>m/s2</x:v>
      </x:c>
      <x:c r="H6" s="79" t="str">
        <x:v>7B0</x:v>
      </x:c>
      <x:c r="I6" s="79" t="str">
        <x:v>PRIUS_GEN3 / ZVW30</x:v>
      </x:c>
      <x:c r="J6" s="79" t="str">
        <x:v>ZVW30 Custom PIDs for Torque (Android App) 12Nov12.xlsx - US</x:v>
      </x:c>
      <x:c r="K6" s="79" t="str">
        <x:v>2012-11-12</x:v>
      </x:c>
      <x:c r="L6" s="79" t="str">
        <x:v>READ-ONLY DIAGNOSTIC CANDIDATE</x:v>
      </x:c>
      <x:c r="M6" s="79" t="str">
        <x:v>CANDIDATE</x:v>
      </x:c>
      <x:c r="N6" s="80" t="str">
        <x:v>Later US source; validate on ZVW30 before firmware use</x:v>
      </x:c>
    </x:row>
    <x:row r="7">
      <x:c r="A7" s="78" t="str">
        <x:v>Deceleration Sensor2</x:v>
      </x:c>
      <x:c r="B7" s="79" t="str">
        <x:v>DecelSen2</x:v>
      </x:c>
      <x:c r="C7" s="79" t="str">
        <x:v>2105</x:v>
      </x:c>
      <x:c r="D7" s="79" t="str">
        <x:v>B * 36.36 / 255 - 18.18</x:v>
      </x:c>
      <x:c r="E7" s="79" t="n">
        <x:v>-18.18</x:v>
      </x:c>
      <x:c r="F7" s="79" t="n">
        <x:v>18.18</x:v>
      </x:c>
      <x:c r="G7" s="79" t="str">
        <x:v>m/s2</x:v>
      </x:c>
      <x:c r="H7" s="79" t="str">
        <x:v>7B0</x:v>
      </x:c>
      <x:c r="I7" s="79" t="str">
        <x:v>PRIUS_GEN3 / ZVW30</x:v>
      </x:c>
      <x:c r="J7" s="79" t="str">
        <x:v>ZVW30 Custom PIDs for Torque (Android App) 12Nov12.xlsx - US</x:v>
      </x:c>
      <x:c r="K7" s="79" t="str">
        <x:v>2012-11-12</x:v>
      </x:c>
      <x:c r="L7" s="79" t="str">
        <x:v>READ-ONLY DIAGNOSTIC CANDIDATE</x:v>
      </x:c>
      <x:c r="M7" s="79" t="str">
        <x:v>CANDIDATE</x:v>
      </x:c>
      <x:c r="N7" s="80" t="str">
        <x:v>Later US source; validate on ZVW30 before firmware use</x:v>
      </x:c>
    </x:row>
    <x:row r="8">
      <x:c r="A8" s="78" t="str">
        <x:v>Yaw Rate Sensor</x:v>
      </x:c>
      <x:c r="B8" s="79" t="str">
        <x:v>YR1</x:v>
      </x:c>
      <x:c r="C8" s="79" t="str">
        <x:v>2106</x:v>
      </x:c>
      <x:c r="D8" s="79" t="str">
        <x:v>A - 128</x:v>
      </x:c>
      <x:c r="E8" s="79" t="n">
        <x:v>-128</x:v>
      </x:c>
      <x:c r="F8" s="79" t="n">
        <x:v>127</x:v>
      </x:c>
      <x:c r="G8" s="79" t="str">
        <x:v>degrees/s</x:v>
      </x:c>
      <x:c r="H8" s="79" t="str">
        <x:v>7B0</x:v>
      </x:c>
      <x:c r="I8" s="79" t="str">
        <x:v>PRIUS_GEN3 / ZVW30</x:v>
      </x:c>
      <x:c r="J8" s="79" t="str">
        <x:v>ZVW30 Custom PIDs for Torque (Android App) 12Nov12.xlsx - US</x:v>
      </x:c>
      <x:c r="K8" s="79" t="str">
        <x:v>2012-11-12</x:v>
      </x:c>
      <x:c r="L8" s="79" t="str">
        <x:v>READ-ONLY DIAGNOSTIC CANDIDATE</x:v>
      </x:c>
      <x:c r="M8" s="79" t="str">
        <x:v>CANDIDATE</x:v>
      </x:c>
      <x:c r="N8" s="80" t="str">
        <x:v>Later US source; validate on ZVW30 before firmware use</x:v>
      </x:c>
    </x:row>
    <x:row r="9">
      <x:c r="A9" s="78" t="str">
        <x:v>Yaw Rate Sensor2</x:v>
      </x:c>
      <x:c r="B9" s="79" t="str">
        <x:v>YR2</x:v>
      </x:c>
      <x:c r="C9" s="79" t="str">
        <x:v>2106</x:v>
      </x:c>
      <x:c r="D9" s="79" t="str">
        <x:v>B - 128</x:v>
      </x:c>
      <x:c r="E9" s="79" t="n">
        <x:v>-128</x:v>
      </x:c>
      <x:c r="F9" s="79" t="n">
        <x:v>127</x:v>
      </x:c>
      <x:c r="G9" s="79" t="str">
        <x:v>degrees/s</x:v>
      </x:c>
      <x:c r="H9" s="79" t="str">
        <x:v>7B0</x:v>
      </x:c>
      <x:c r="I9" s="79" t="str">
        <x:v>PRIUS_GEN3 / ZVW30</x:v>
      </x:c>
      <x:c r="J9" s="79" t="str">
        <x:v>ZVW30 Custom PIDs for Torque (Android App) 12Nov12.xlsx - US</x:v>
      </x:c>
      <x:c r="K9" s="79" t="str">
        <x:v>2012-11-12</x:v>
      </x:c>
      <x:c r="L9" s="79" t="str">
        <x:v>READ-ONLY DIAGNOSTIC CANDIDATE</x:v>
      </x:c>
      <x:c r="M9" s="79" t="str">
        <x:v>CANDIDATE</x:v>
      </x:c>
      <x:c r="N9" s="80" t="str">
        <x:v>Later US source; validate on ZVW30 before firmware use</x:v>
      </x:c>
    </x:row>
    <x:row r="10">
      <x:c r="A10" s="78" t="str">
        <x:v>Steering Angle Sensor</x:v>
      </x:c>
      <x:c r="B10" s="79" t="str">
        <x:v>SteerSen</x:v>
      </x:c>
      <x:c r="C10" s="79" t="str">
        <x:v>2106</x:v>
      </x:c>
      <x:c r="D10" s="79" t="str">
        <x:v>(C * 256 + D) / 10 - 3276.8</x:v>
      </x:c>
      <x:c r="E10" s="79" t="n">
        <x:v>-720</x:v>
      </x:c>
      <x:c r="F10" s="79" t="n">
        <x:v>720</x:v>
      </x:c>
      <x:c r="G10" s="79" t="str">
        <x:v>degrees</x:v>
      </x:c>
      <x:c r="H10" s="79" t="str">
        <x:v>7B0</x:v>
      </x:c>
      <x:c r="I10" s="79" t="str">
        <x:v>PRIUS_GEN3 / ZVW30</x:v>
      </x:c>
      <x:c r="J10" s="79" t="str">
        <x:v>ZVW30 Custom PIDs for Torque (Android App) 12Nov12.xlsx - US</x:v>
      </x:c>
      <x:c r="K10" s="79" t="str">
        <x:v>2012-11-12</x:v>
      </x:c>
      <x:c r="L10" s="79" t="str">
        <x:v>READ-ONLY DIAGNOSTIC CANDIDATE</x:v>
      </x:c>
      <x:c r="M10" s="79" t="str">
        <x:v>CANDIDATE</x:v>
      </x:c>
      <x:c r="N10" s="80" t="str">
        <x:v>Later US source; validate on ZVW30 before firmware use</x:v>
      </x:c>
    </x:row>
    <x:row r="11">
      <x:c r="A11" s="78" t="str">
        <x:v>Wheel Cylinder Pressure Sensor</x:v>
      </x:c>
      <x:c r="B11" s="79" t="str">
        <x:v>WC Pres</x:v>
      </x:c>
      <x:c r="C11" s="79" t="str">
        <x:v>2107</x:v>
      </x:c>
      <x:c r="D11" s="79" t="str">
        <x:v>A / 51</x:v>
      </x:c>
      <x:c r="E11" s="79" t="n">
        <x:v>0</x:v>
      </x:c>
      <x:c r="F11" s="79" t="n">
        <x:v>5</x:v>
      </x:c>
      <x:c r="G11" s="79" t="str">
        <x:v>V</x:v>
      </x:c>
      <x:c r="H11" s="79" t="str">
        <x:v>7B0</x:v>
      </x:c>
      <x:c r="I11" s="79" t="str">
        <x:v>PRIUS_GEN3 / ZVW30</x:v>
      </x:c>
      <x:c r="J11" s="79" t="str">
        <x:v>ZVW30 Custom PIDs for Torque (Android App) 12Nov12.xlsx - US</x:v>
      </x:c>
      <x:c r="K11" s="79" t="str">
        <x:v>2012-11-12</x:v>
      </x:c>
      <x:c r="L11" s="79" t="str">
        <x:v>READ-ONLY DIAGNOSTIC CANDIDATE</x:v>
      </x:c>
      <x:c r="M11" s="79" t="str">
        <x:v>CANDIDATE</x:v>
      </x:c>
      <x:c r="N11" s="80" t="str">
        <x:v>Later US source; validate on ZVW30 before firmware use</x:v>
      </x:c>
    </x:row>
    <x:row r="12">
      <x:c r="A12" s="78" t="str">
        <x:v>Reservoir Warning SW</x:v>
      </x:c>
      <x:c r="B12" s="79" t="str">
        <x:v>BrkFluid</x:v>
      </x:c>
      <x:c r="C12" s="79" t="str">
        <x:v>211D</x:v>
      </x:c>
      <x:c r="D12" s="79" t="str">
        <x:v>{A:6}</x:v>
      </x:c>
      <x:c r="E12" s="79" t="n">
        <x:v>0</x:v>
      </x:c>
      <x:c r="F12" s="79" t="n">
        <x:v>1</x:v>
      </x:c>
      <x:c r="G12" s="79" t="str">
        <x:v>Off/On</x:v>
      </x:c>
      <x:c r="H12" s="79" t="str">
        <x:v>7B0</x:v>
      </x:c>
      <x:c r="I12" s="79" t="str">
        <x:v>PRIUS_GEN3 / ZVW30</x:v>
      </x:c>
      <x:c r="J12" s="79" t="str">
        <x:v>ZVW30 Custom PIDs for Torque (Android App) 12Nov12.xlsx - US</x:v>
      </x:c>
      <x:c r="K12" s="79" t="str">
        <x:v>2012-11-12</x:v>
      </x:c>
      <x:c r="L12" s="79" t="str">
        <x:v>READ-ONLY DIAGNOSTIC CANDIDATE</x:v>
      </x:c>
      <x:c r="M12" s="79" t="str">
        <x:v>CANDIDATE</x:v>
      </x:c>
      <x:c r="N12" s="80" t="str">
        <x:v>Later US source; validate on ZVW30 before firmware use</x:v>
      </x:c>
    </x:row>
    <x:row r="13">
      <x:c r="A13" s="78" t="str">
        <x:v>Main Idle SW</x:v>
      </x:c>
      <x:c r="B13" s="79" t="str">
        <x:v>IdleSW</x:v>
      </x:c>
      <x:c r="C13" s="79" t="str">
        <x:v>211D</x:v>
      </x:c>
      <x:c r="D13" s="79" t="str">
        <x:v>{A:5}</x:v>
      </x:c>
      <x:c r="E13" s="79" t="n">
        <x:v>0</x:v>
      </x:c>
      <x:c r="F13" s="79" t="n">
        <x:v>1</x:v>
      </x:c>
      <x:c r="G13" s="79" t="str">
        <x:v>Off/On</x:v>
      </x:c>
      <x:c r="H13" s="79" t="str">
        <x:v>7B0</x:v>
      </x:c>
      <x:c r="I13" s="79" t="str">
        <x:v>PRIUS_GEN3 / ZVW30</x:v>
      </x:c>
      <x:c r="J13" s="79" t="str">
        <x:v>ZVW30 Custom PIDs for Torque (Android App) 12Nov12.xlsx - US</x:v>
      </x:c>
      <x:c r="K13" s="79" t="str">
        <x:v>2012-11-12</x:v>
      </x:c>
      <x:c r="L13" s="79" t="str">
        <x:v>READ-ONLY DIAGNOSTIC CANDIDATE</x:v>
      </x:c>
      <x:c r="M13" s="79" t="str">
        <x:v>CANDIDATE</x:v>
      </x:c>
      <x:c r="N13" s="80" t="str">
        <x:v>Later US source; validate on ZVW30 before firmware use</x:v>
      </x:c>
    </x:row>
    <x:row r="14">
      <x:c r="A14" s="78" t="str">
        <x:v>Stop Light SW</x:v>
      </x:c>
      <x:c r="B14" s="79" t="str">
        <x:v>StpSW</x:v>
      </x:c>
      <x:c r="C14" s="79" t="str">
        <x:v>211F</x:v>
      </x:c>
      <x:c r="D14" s="79" t="str">
        <x:v>{A:7}</x:v>
      </x:c>
      <x:c r="E14" s="79" t="n">
        <x:v>0</x:v>
      </x:c>
      <x:c r="F14" s="79" t="n">
        <x:v>1</x:v>
      </x:c>
      <x:c r="G14" s="79" t="str">
        <x:v>Off/On</x:v>
      </x:c>
      <x:c r="H14" s="79" t="str">
        <x:v>7B0</x:v>
      </x:c>
      <x:c r="I14" s="79" t="str">
        <x:v>PRIUS_GEN3 / ZVW30</x:v>
      </x:c>
      <x:c r="J14" s="79" t="str">
        <x:v>ZVW30 Custom PIDs for Torque (Android App) 12Nov12.xlsx - US</x:v>
      </x:c>
      <x:c r="K14" s="79" t="str">
        <x:v>2012-11-12</x:v>
      </x:c>
      <x:c r="L14" s="79" t="str">
        <x:v>READ-ONLY DIAGNOSTIC CANDIDATE</x:v>
      </x:c>
      <x:c r="M14" s="79" t="str">
        <x:v>CANDIDATE</x:v>
      </x:c>
      <x:c r="N14" s="80" t="str">
        <x:v>Later US source; validate on ZVW30 before firmware use</x:v>
      </x:c>
    </x:row>
    <x:row r="15">
      <x:c r="A15" s="78" t="str">
        <x:v>Parking Brake SW</x:v>
      </x:c>
      <x:c r="B15" s="79" t="str">
        <x:v>PKBSW</x:v>
      </x:c>
      <x:c r="C15" s="79" t="str">
        <x:v>211F</x:v>
      </x:c>
      <x:c r="D15" s="79" t="str">
        <x:v>{A:6}</x:v>
      </x:c>
      <x:c r="E15" s="79" t="n">
        <x:v>0</x:v>
      </x:c>
      <x:c r="F15" s="79" t="n">
        <x:v>1</x:v>
      </x:c>
      <x:c r="G15" s="79" t="str">
        <x:v>Off/On</x:v>
      </x:c>
      <x:c r="H15" s="79" t="str">
        <x:v>7B0</x:v>
      </x:c>
      <x:c r="I15" s="79" t="str">
        <x:v>PRIUS_GEN3 / ZVW30</x:v>
      </x:c>
      <x:c r="J15" s="79" t="str">
        <x:v>ZVW30 Custom PIDs for Torque (Android App) 12Nov12.xlsx - US</x:v>
      </x:c>
      <x:c r="K15" s="79" t="str">
        <x:v>2012-11-12</x:v>
      </x:c>
      <x:c r="L15" s="79" t="str">
        <x:v>READ-ONLY DIAGNOSTIC CANDIDATE</x:v>
      </x:c>
      <x:c r="M15" s="79" t="str">
        <x:v>CANDIDATE</x:v>
      </x:c>
      <x:c r="N15" s="80" t="str">
        <x:v>Later US source; validate on ZVW30 before firmware use</x:v>
      </x:c>
    </x:row>
    <x:row r="16">
      <x:c r="A16" s="78" t="str">
        <x:v>Vehicle Speed_7B0</x:v>
      </x:c>
      <x:c r="B16" s="79" t="str">
        <x:v>MPH_7B0</x:v>
      </x:c>
      <x:c r="C16" s="79" t="str">
        <x:v>2121</x:v>
      </x:c>
      <x:c r="D16" s="79" t="str">
        <x:v>A * 202 / 255</x:v>
      </x:c>
      <x:c r="E16" s="79" t="n">
        <x:v>0</x:v>
      </x:c>
      <x:c r="F16" s="79" t="n">
        <x:v>120</x:v>
      </x:c>
      <x:c r="G16" s="79" t="str">
        <x:v>mph</x:v>
      </x:c>
      <x:c r="H16" s="79" t="str">
        <x:v>7B0</x:v>
      </x:c>
      <x:c r="I16" s="79" t="str">
        <x:v>PRIUS_GEN3 / ZVW30</x:v>
      </x:c>
      <x:c r="J16" s="79" t="str">
        <x:v>ZVW30 Custom PIDs for Torque (Android App) 12Nov12.xlsx - US</x:v>
      </x:c>
      <x:c r="K16" s="79" t="str">
        <x:v>2012-11-12</x:v>
      </x:c>
      <x:c r="L16" s="79" t="str">
        <x:v>READ-ONLY DIAGNOSTIC CANDIDATE</x:v>
      </x:c>
      <x:c r="M16" s="79" t="str">
        <x:v>CANDIDATE</x:v>
      </x:c>
      <x:c r="N16" s="80" t="str">
        <x:v>Later US source; validate on ZVW30 before firmware use</x:v>
      </x:c>
    </x:row>
    <x:row r="17">
      <x:c r="A17" s="78" t="str">
        <x:v>Stop Light Relay Output</x:v>
      </x:c>
      <x:c r="B17" s="79" t="str">
        <x:v>StpRelay</x:v>
      </x:c>
      <x:c r="C17" s="79" t="str">
        <x:v>213C</x:v>
      </x:c>
      <x:c r="D17" s="79" t="str">
        <x:v>{A:7}</x:v>
      </x:c>
      <x:c r="E17" s="79" t="n">
        <x:v>0</x:v>
      </x:c>
      <x:c r="F17" s="79" t="n">
        <x:v>1</x:v>
      </x:c>
      <x:c r="G17" s="79" t="str">
        <x:v>Off/On</x:v>
      </x:c>
      <x:c r="H17" s="79" t="str">
        <x:v>7B0</x:v>
      </x:c>
      <x:c r="I17" s="79" t="str">
        <x:v>PRIUS_GEN3 / ZVW30</x:v>
      </x:c>
      <x:c r="J17" s="79" t="str">
        <x:v>ZVW30 Custom PIDs for Torque (Android App) 12Nov12.xlsx - US</x:v>
      </x:c>
      <x:c r="K17" s="79" t="str">
        <x:v>2012-11-12</x:v>
      </x:c>
      <x:c r="L17" s="79" t="str">
        <x:v>READ-ONLY DIAGNOSTIC CANDIDATE</x:v>
      </x:c>
      <x:c r="M17" s="79" t="str">
        <x:v>CANDIDATE</x:v>
      </x:c>
      <x:c r="N17" s="80" t="str">
        <x:v>Later US source; validate on ZVW30 before firmware use</x:v>
      </x:c>
    </x:row>
    <x:row r="18">
      <x:c r="A18" s="78" t="str">
        <x:v>ABS Warning Light</x:v>
      </x:c>
      <x:c r="B18" s="79" t="str">
        <x:v>ABS</x:v>
      </x:c>
      <x:c r="C18" s="79" t="str">
        <x:v>213D</x:v>
      </x:c>
      <x:c r="D18" s="79" t="str">
        <x:v>{A:7}</x:v>
      </x:c>
      <x:c r="E18" s="79" t="n">
        <x:v>0</x:v>
      </x:c>
      <x:c r="F18" s="79" t="n">
        <x:v>1</x:v>
      </x:c>
      <x:c r="G18" s="79" t="str">
        <x:v>Off/On</x:v>
      </x:c>
      <x:c r="H18" s="79" t="str">
        <x:v>7B0</x:v>
      </x:c>
      <x:c r="I18" s="79" t="str">
        <x:v>PRIUS_GEN3 / ZVW30</x:v>
      </x:c>
      <x:c r="J18" s="79" t="str">
        <x:v>ZVW30 Custom PIDs for Torque (Android App) 12Nov12.xlsx - US</x:v>
      </x:c>
      <x:c r="K18" s="79" t="str">
        <x:v>2012-11-12</x:v>
      </x:c>
      <x:c r="L18" s="79" t="str">
        <x:v>READ-ONLY DIAGNOSTIC CANDIDATE</x:v>
      </x:c>
      <x:c r="M18" s="79" t="str">
        <x:v>CANDIDATE</x:v>
      </x:c>
      <x:c r="N18" s="80" t="str">
        <x:v>Later US source; validate on ZVW30 before firmware use</x:v>
      </x:c>
    </x:row>
    <x:row r="19">
      <x:c r="A19" s="78" t="str">
        <x:v>Brake Warning Light</x:v>
      </x:c>
      <x:c r="B19" s="79" t="str">
        <x:v>BrkWarn</x:v>
      </x:c>
      <x:c r="C19" s="79" t="str">
        <x:v>213D</x:v>
      </x:c>
      <x:c r="D19" s="79" t="str">
        <x:v>{A:6}</x:v>
      </x:c>
      <x:c r="E19" s="79" t="n">
        <x:v>0</x:v>
      </x:c>
      <x:c r="F19" s="79" t="n">
        <x:v>1</x:v>
      </x:c>
      <x:c r="G19" s="79" t="str">
        <x:v>Off/On</x:v>
      </x:c>
      <x:c r="H19" s="79" t="str">
        <x:v>7B0</x:v>
      </x:c>
      <x:c r="I19" s="79" t="str">
        <x:v>PRIUS_GEN3 / ZVW30</x:v>
      </x:c>
      <x:c r="J19" s="79" t="str">
        <x:v>ZVW30 Custom PIDs for Torque (Android App) 12Nov12.xlsx - US</x:v>
      </x:c>
      <x:c r="K19" s="79" t="str">
        <x:v>2012-11-12</x:v>
      </x:c>
      <x:c r="L19" s="79" t="str">
        <x:v>READ-ONLY DIAGNOSTIC CANDIDATE</x:v>
      </x:c>
      <x:c r="M19" s="79" t="str">
        <x:v>CANDIDATE</x:v>
      </x:c>
      <x:c r="N19" s="80" t="str">
        <x:v>Later US source; validate on ZVW30 before firmware use</x:v>
      </x:c>
    </x:row>
    <x:row r="20">
      <x:c r="A20" s="78" t="str">
        <x:v>Slip Indicator Light</x:v>
      </x:c>
      <x:c r="B20" s="79" t="str">
        <x:v>Slip</x:v>
      </x:c>
      <x:c r="C20" s="79" t="str">
        <x:v>213D</x:v>
      </x:c>
      <x:c r="D20" s="79" t="str">
        <x:v>{A:5}</x:v>
      </x:c>
      <x:c r="E20" s="79" t="n">
        <x:v>0</x:v>
      </x:c>
      <x:c r="F20" s="79" t="n">
        <x:v>1</x:v>
      </x:c>
      <x:c r="G20" s="79" t="str">
        <x:v>Off/On</x:v>
      </x:c>
      <x:c r="H20" s="79" t="str">
        <x:v>7B0</x:v>
      </x:c>
      <x:c r="I20" s="79" t="str">
        <x:v>PRIUS_GEN3 / ZVW30</x:v>
      </x:c>
      <x:c r="J20" s="79" t="str">
        <x:v>ZVW30 Custom PIDs for Torque (Android App) 12Nov12.xlsx - US</x:v>
      </x:c>
      <x:c r="K20" s="79" t="str">
        <x:v>2012-11-12</x:v>
      </x:c>
      <x:c r="L20" s="79" t="str">
        <x:v>READ-ONLY DIAGNOSTIC CANDIDATE</x:v>
      </x:c>
      <x:c r="M20" s="79" t="str">
        <x:v>CANDIDATE</x:v>
      </x:c>
      <x:c r="N20" s="80" t="str">
        <x:v>Later US source; validate on ZVW30 before firmware use</x:v>
      </x:c>
    </x:row>
    <x:row r="21">
      <x:c r="A21" s="78" t="str">
        <x:v>Buzzer</x:v>
      </x:c>
      <x:c r="B21" s="79" t="str">
        <x:v>Buzzer</x:v>
      </x:c>
      <x:c r="C21" s="79" t="str">
        <x:v>213D</x:v>
      </x:c>
      <x:c r="D21" s="79" t="str">
        <x:v>{A:4}</x:v>
      </x:c>
      <x:c r="E21" s="79" t="n">
        <x:v>0</x:v>
      </x:c>
      <x:c r="F21" s="79" t="n">
        <x:v>1</x:v>
      </x:c>
      <x:c r="G21" s="79" t="str">
        <x:v>Off/On</x:v>
      </x:c>
      <x:c r="H21" s="79" t="str">
        <x:v>7B0</x:v>
      </x:c>
      <x:c r="I21" s="79" t="str">
        <x:v>PRIUS_GEN3 / ZVW30</x:v>
      </x:c>
      <x:c r="J21" s="79" t="str">
        <x:v>ZVW30 Custom PIDs for Torque (Android App) 12Nov12.xlsx - US</x:v>
      </x:c>
      <x:c r="K21" s="79" t="str">
        <x:v>2012-11-12</x:v>
      </x:c>
      <x:c r="L21" s="79" t="str">
        <x:v>READ-ONLY DIAGNOSTIC CANDIDATE</x:v>
      </x:c>
      <x:c r="M21" s="79" t="str">
        <x:v>CANDIDATE</x:v>
      </x:c>
      <x:c r="N21" s="80" t="str">
        <x:v>Later US source; validate on ZVW30 before firmware use</x:v>
      </x:c>
    </x:row>
    <x:row r="22">
      <x:c r="A22" s="78" t="str">
        <x:v>ECB Warning Light</x:v>
      </x:c>
      <x:c r="B22" s="79" t="str">
        <x:v>ECB</x:v>
      </x:c>
      <x:c r="C22" s="79" t="str">
        <x:v>213D</x:v>
      </x:c>
      <x:c r="D22" s="79" t="str">
        <x:v>{A:1}</x:v>
      </x:c>
      <x:c r="E22" s="79" t="n">
        <x:v>0</x:v>
      </x:c>
      <x:c r="F22" s="79" t="n">
        <x:v>1</x:v>
      </x:c>
      <x:c r="G22" s="79" t="str">
        <x:v>Off/On</x:v>
      </x:c>
      <x:c r="H22" s="79" t="str">
        <x:v>7B0</x:v>
      </x:c>
      <x:c r="I22" s="79" t="str">
        <x:v>PRIUS_GEN3 / ZVW30</x:v>
      </x:c>
      <x:c r="J22" s="79" t="str">
        <x:v>ZVW30 Custom PIDs for Torque (Android App) 12Nov12.xlsx - US</x:v>
      </x:c>
      <x:c r="K22" s="79" t="str">
        <x:v>2012-11-12</x:v>
      </x:c>
      <x:c r="L22" s="79" t="str">
        <x:v>READ-ONLY DIAGNOSTIC CANDIDATE</x:v>
      </x:c>
      <x:c r="M22" s="79" t="str">
        <x:v>CANDIDATE</x:v>
      </x:c>
      <x:c r="N22" s="80" t="str">
        <x:v>Later US source; validate on ZVW30 before firmware use</x:v>
      </x:c>
    </x:row>
    <x:row r="23">
      <x:c r="A23" s="78" t="str">
        <x:v>FR Wheel Acceleration</x:v>
      </x:c>
      <x:c r="B23" s="79" t="str">
        <x:v>FR WA</x:v>
      </x:c>
      <x:c r="C23" s="79" t="str">
        <x:v>2142</x:v>
      </x:c>
      <x:c r="D23" s="79" t="str">
        <x:v>( A - {A:7} * 256 ) * 199.27 / 127</x:v>
      </x:c>
      <x:c r="E23" s="79" t="n">
        <x:v>-10</x:v>
      </x:c>
      <x:c r="F23" s="79" t="n">
        <x:v>10</x:v>
      </x:c>
      <x:c r="G23" s="79" t="str">
        <x:v>m/s2</x:v>
      </x:c>
      <x:c r="H23" s="79" t="str">
        <x:v>7B0</x:v>
      </x:c>
      <x:c r="I23" s="79" t="str">
        <x:v>PRIUS_GEN3 / ZVW30</x:v>
      </x:c>
      <x:c r="J23" s="79" t="str">
        <x:v>ZVW30 Custom PIDs for Torque (Android App) 12Nov12.xlsx - US</x:v>
      </x:c>
      <x:c r="K23" s="79" t="str">
        <x:v>2012-11-12</x:v>
      </x:c>
      <x:c r="L23" s="79" t="str">
        <x:v>READ-ONLY DIAGNOSTIC CANDIDATE</x:v>
      </x:c>
      <x:c r="M23" s="79" t="str">
        <x:v>CANDIDATE</x:v>
      </x:c>
      <x:c r="N23" s="80" t="str">
        <x:v>Later US source; validate on ZVW30 before firmware use</x:v>
      </x:c>
    </x:row>
    <x:row r="24">
      <x:c r="A24" s="78" t="str">
        <x:v>FL Wheel Acceleration</x:v>
      </x:c>
      <x:c r="B24" s="79" t="str">
        <x:v>FL WA</x:v>
      </x:c>
      <x:c r="C24" s="79" t="str">
        <x:v>2142</x:v>
      </x:c>
      <x:c r="D24" s="79" t="str">
        <x:v>( B - {B:7} * 256 ) * 199.27 / 127</x:v>
      </x:c>
      <x:c r="E24" s="79" t="n">
        <x:v>-10</x:v>
      </x:c>
      <x:c r="F24" s="79" t="n">
        <x:v>10</x:v>
      </x:c>
      <x:c r="G24" s="79" t="str">
        <x:v>m/s2</x:v>
      </x:c>
      <x:c r="H24" s="79" t="str">
        <x:v>7B0</x:v>
      </x:c>
      <x:c r="I24" s="79" t="str">
        <x:v>PRIUS_GEN3 / ZVW30</x:v>
      </x:c>
      <x:c r="J24" s="79" t="str">
        <x:v>ZVW30 Custom PIDs for Torque (Android App) 12Nov12.xlsx - US</x:v>
      </x:c>
      <x:c r="K24" s="79" t="str">
        <x:v>2012-11-12</x:v>
      </x:c>
      <x:c r="L24" s="79" t="str">
        <x:v>READ-ONLY DIAGNOSTIC CANDIDATE</x:v>
      </x:c>
      <x:c r="M24" s="79" t="str">
        <x:v>CANDIDATE</x:v>
      </x:c>
      <x:c r="N24" s="80" t="str">
        <x:v>Later US source; validate on ZVW30 before firmware use</x:v>
      </x:c>
    </x:row>
    <x:row r="25">
      <x:c r="A25" s="78" t="str">
        <x:v>RR Wheel Acceleration</x:v>
      </x:c>
      <x:c r="B25" s="79" t="str">
        <x:v>RR WA</x:v>
      </x:c>
      <x:c r="C25" s="79" t="str">
        <x:v>2142</x:v>
      </x:c>
      <x:c r="D25" s="79" t="str">
        <x:v>( C - {C:7} * 256 ) * 199.27 / 127</x:v>
      </x:c>
      <x:c r="E25" s="79" t="n">
        <x:v>-10</x:v>
      </x:c>
      <x:c r="F25" s="79" t="n">
        <x:v>10</x:v>
      </x:c>
      <x:c r="G25" s="79" t="str">
        <x:v>m/s2</x:v>
      </x:c>
      <x:c r="H25" s="79" t="str">
        <x:v>7B0</x:v>
      </x:c>
      <x:c r="I25" s="79" t="str">
        <x:v>PRIUS_GEN3 / ZVW30</x:v>
      </x:c>
      <x:c r="J25" s="79" t="str">
        <x:v>ZVW30 Custom PIDs for Torque (Android App) 12Nov12.xlsx - US</x:v>
      </x:c>
      <x:c r="K25" s="79" t="str">
        <x:v>2012-11-12</x:v>
      </x:c>
      <x:c r="L25" s="79" t="str">
        <x:v>READ-ONLY DIAGNOSTIC CANDIDATE</x:v>
      </x:c>
      <x:c r="M25" s="79" t="str">
        <x:v>CANDIDATE</x:v>
      </x:c>
      <x:c r="N25" s="80" t="str">
        <x:v>Later US source; validate on ZVW30 before firmware use</x:v>
      </x:c>
    </x:row>
    <x:row r="26">
      <x:c r="A26" s="78" t="str">
        <x:v>RL Wheel Acceleration</x:v>
      </x:c>
      <x:c r="B26" s="79" t="str">
        <x:v>RL WA</x:v>
      </x:c>
      <x:c r="C26" s="79" t="str">
        <x:v>2142</x:v>
      </x:c>
      <x:c r="D26" s="79" t="str">
        <x:v>( D - {D:7} * 256 ) * 199.27 / 127</x:v>
      </x:c>
      <x:c r="E26" s="79" t="n">
        <x:v>-10</x:v>
      </x:c>
      <x:c r="F26" s="79" t="n">
        <x:v>10</x:v>
      </x:c>
      <x:c r="G26" s="79" t="str">
        <x:v>m/s2</x:v>
      </x:c>
      <x:c r="H26" s="79" t="str">
        <x:v>7B0</x:v>
      </x:c>
      <x:c r="I26" s="79" t="str">
        <x:v>PRIUS_GEN3 / ZVW30</x:v>
      </x:c>
      <x:c r="J26" s="79" t="str">
        <x:v>ZVW30 Custom PIDs for Torque (Android App) 12Nov12.xlsx - US</x:v>
      </x:c>
      <x:c r="K26" s="79" t="str">
        <x:v>2012-11-12</x:v>
      </x:c>
      <x:c r="L26" s="79" t="str">
        <x:v>READ-ONLY DIAGNOSTIC CANDIDATE</x:v>
      </x:c>
      <x:c r="M26" s="79" t="str">
        <x:v>CANDIDATE</x:v>
      </x:c>
      <x:c r="N26" s="80" t="str">
        <x:v>Later US source; validate on ZVW30 before firmware use</x:v>
      </x:c>
    </x:row>
    <x:row r="27">
      <x:c r="A27" s="78" t="str">
        <x:v>Zero Point of Decele</x:v>
      </x:c>
      <x:c r="B27" s="79" t="str">
        <x:v>0Decel</x:v>
      </x:c>
      <x:c r="C27" s="79" t="str">
        <x:v>2146</x:v>
      </x:c>
      <x:c r="D27" s="79" t="str">
        <x:v>A * 50.02 / 255 - 25.11</x:v>
      </x:c>
      <x:c r="E27" s="79" t="n">
        <x:v>-25.11</x:v>
      </x:c>
      <x:c r="F27" s="79" t="n">
        <x:v>24.91</x:v>
      </x:c>
      <x:c r="G27" s="79" t="str">
        <x:v>m/s2</x:v>
      </x:c>
      <x:c r="H27" s="79" t="str">
        <x:v>7B0</x:v>
      </x:c>
      <x:c r="I27" s="79" t="str">
        <x:v>PRIUS_GEN3 / ZVW30</x:v>
      </x:c>
      <x:c r="J27" s="79" t="str">
        <x:v>ZVW30 Custom PIDs for Torque (Android App) 12Nov12.xlsx - US</x:v>
      </x:c>
      <x:c r="K27" s="79" t="str">
        <x:v>2012-11-12</x:v>
      </x:c>
      <x:c r="L27" s="79" t="str">
        <x:v>READ-ONLY DIAGNOSTIC CANDIDATE</x:v>
      </x:c>
      <x:c r="M27" s="79" t="str">
        <x:v>CANDIDATE</x:v>
      </x:c>
      <x:c r="N27" s="80" t="str">
        <x:v>Later US source; validate on ZVW30 before firmware use</x:v>
      </x:c>
    </x:row>
    <x:row r="28">
      <x:c r="A28" s="78" t="str">
        <x:v>Zero Point of Decele2</x:v>
      </x:c>
      <x:c r="B28" s="79" t="str">
        <x:v>0Decel2</x:v>
      </x:c>
      <x:c r="C28" s="79" t="str">
        <x:v>2146</x:v>
      </x:c>
      <x:c r="D28" s="79" t="str">
        <x:v>B * 50.02 / 255 - 25.11</x:v>
      </x:c>
      <x:c r="E28" s="79" t="n">
        <x:v>-25.11</x:v>
      </x:c>
      <x:c r="F28" s="79" t="n">
        <x:v>24.91</x:v>
      </x:c>
      <x:c r="G28" s="79" t="str">
        <x:v>m/s2</x:v>
      </x:c>
      <x:c r="H28" s="79" t="str">
        <x:v>7B0</x:v>
      </x:c>
      <x:c r="I28" s="79" t="str">
        <x:v>PRIUS_GEN3 / ZVW30</x:v>
      </x:c>
      <x:c r="J28" s="79" t="str">
        <x:v>ZVW30 Custom PIDs for Torque (Android App) 12Nov12.xlsx - US</x:v>
      </x:c>
      <x:c r="K28" s="79" t="str">
        <x:v>2012-11-12</x:v>
      </x:c>
      <x:c r="L28" s="79" t="str">
        <x:v>READ-ONLY DIAGNOSTIC CANDIDATE</x:v>
      </x:c>
      <x:c r="M28" s="79" t="str">
        <x:v>CANDIDATE</x:v>
      </x:c>
      <x:c r="N28" s="80" t="str">
        <x:v>Later US source; validate on ZVW30 before firmware use</x:v>
      </x:c>
    </x:row>
    <x:row r="29">
      <x:c r="A29" s="78" t="str">
        <x:v>Zero Point of Yaw Rate</x:v>
      </x:c>
      <x:c r="B29" s="79" t="str">
        <x:v>0Yaw</x:v>
      </x:c>
      <x:c r="C29" s="79" t="str">
        <x:v>2146</x:v>
      </x:c>
      <x:c r="D29" s="79" t="str">
        <x:v>C - 128</x:v>
      </x:c>
      <x:c r="E29" s="79" t="n">
        <x:v>-128</x:v>
      </x:c>
      <x:c r="F29" s="79" t="n">
        <x:v>127</x:v>
      </x:c>
      <x:c r="G29" s="79" t="str">
        <x:v>degrees/s</x:v>
      </x:c>
      <x:c r="H29" s="79" t="str">
        <x:v>7B0</x:v>
      </x:c>
      <x:c r="I29" s="79" t="str">
        <x:v>PRIUS_GEN3 / ZVW30</x:v>
      </x:c>
      <x:c r="J29" s="79" t="str">
        <x:v>ZVW30 Custom PIDs for Torque (Android App) 12Nov12.xlsx - US</x:v>
      </x:c>
      <x:c r="K29" s="79" t="str">
        <x:v>2012-11-12</x:v>
      </x:c>
      <x:c r="L29" s="79" t="str">
        <x:v>READ-ONLY DIAGNOSTIC CANDIDATE</x:v>
      </x:c>
      <x:c r="M29" s="79" t="str">
        <x:v>CANDIDATE</x:v>
      </x:c>
      <x:c r="N29" s="80" t="str">
        <x:v>Later US source; validate on ZVW30 before firmware use</x:v>
      </x:c>
    </x:row>
    <x:row r="30">
      <x:c r="A30" s="78" t="str">
        <x:v>Zero Point of Steering Angle</x:v>
      </x:c>
      <x:c r="B30" s="79" t="str">
        <x:v>0Steer</x:v>
      </x:c>
      <x:c r="C30" s="79" t="str">
        <x:v>2146</x:v>
      </x:c>
      <x:c r="D30" s="79" t="str">
        <x:v>(D * 256 + E) / 10 - 3276.8</x:v>
      </x:c>
      <x:c r="E30" s="79" t="n">
        <x:v>-720</x:v>
      </x:c>
      <x:c r="F30" s="79" t="n">
        <x:v>720</x:v>
      </x:c>
      <x:c r="G30" s="79" t="str">
        <x:v>degrees</x:v>
      </x:c>
      <x:c r="H30" s="79" t="str">
        <x:v>7B0</x:v>
      </x:c>
      <x:c r="I30" s="79" t="str">
        <x:v>PRIUS_GEN3 / ZVW30</x:v>
      </x:c>
      <x:c r="J30" s="79" t="str">
        <x:v>ZVW30 Custom PIDs for Torque (Android App) 12Nov12.xlsx - US</x:v>
      </x:c>
      <x:c r="K30" s="79" t="str">
        <x:v>2012-11-12</x:v>
      </x:c>
      <x:c r="L30" s="79" t="str">
        <x:v>READ-ONLY DIAGNOSTIC CANDIDATE</x:v>
      </x:c>
      <x:c r="M30" s="79" t="str">
        <x:v>CANDIDATE</x:v>
      </x:c>
      <x:c r="N30" s="80" t="str">
        <x:v>Later US source; validate on ZVW30 before firmware use</x:v>
      </x:c>
    </x:row>
    <x:row r="31">
      <x:c r="A31" s="78" t="str">
        <x:v>Lateral G</x:v>
      </x:c>
      <x:c r="B31" s="79" t="str">
        <x:v>Lateral G</x:v>
      </x:c>
      <x:c r="C31" s="79" t="str">
        <x:v>2147</x:v>
      </x:c>
      <x:c r="D31" s="79" t="str">
        <x:v>A * 50.02 / 255 - 25.11</x:v>
      </x:c>
      <x:c r="E31" s="79" t="n">
        <x:v>-25.11</x:v>
      </x:c>
      <x:c r="F31" s="79" t="n">
        <x:v>24.91</x:v>
      </x:c>
      <x:c r="G31" s="79" t="str">
        <x:v>m/s2</x:v>
      </x:c>
      <x:c r="H31" s="79" t="str">
        <x:v>7B0</x:v>
      </x:c>
      <x:c r="I31" s="79" t="str">
        <x:v>PRIUS_GEN3 / ZVW30</x:v>
      </x:c>
      <x:c r="J31" s="79" t="str">
        <x:v>ZVW30 Custom PIDs for Torque (Android App) 12Nov12.xlsx - US</x:v>
      </x:c>
      <x:c r="K31" s="79" t="str">
        <x:v>2012-11-12</x:v>
      </x:c>
      <x:c r="L31" s="79" t="str">
        <x:v>READ-ONLY DIAGNOSTIC CANDIDATE</x:v>
      </x:c>
      <x:c r="M31" s="79" t="str">
        <x:v>CANDIDATE</x:v>
      </x:c>
      <x:c r="N31" s="80" t="str">
        <x:v>Later US source; validate on ZVW30 before firmware use</x:v>
      </x:c>
    </x:row>
    <x:row r="32">
      <x:c r="A32" s="78" t="str">
        <x:v>Forward and Rearward G</x:v>
      </x:c>
      <x:c r="B32" s="79" t="str">
        <x:v>Fwd/Rwd G</x:v>
      </x:c>
      <x:c r="C32" s="79" t="str">
        <x:v>2147</x:v>
      </x:c>
      <x:c r="D32" s="79" t="str">
        <x:v>B * 50.02 / 255 - 25.11</x:v>
      </x:c>
      <x:c r="E32" s="79" t="n">
        <x:v>-25.11</x:v>
      </x:c>
      <x:c r="F32" s="79" t="n">
        <x:v>24.91</x:v>
      </x:c>
      <x:c r="G32" s="79" t="str">
        <x:v>m/s2</x:v>
      </x:c>
      <x:c r="H32" s="79" t="str">
        <x:v>7B0</x:v>
      </x:c>
      <x:c r="I32" s="79" t="str">
        <x:v>PRIUS_GEN3 / ZVW30</x:v>
      </x:c>
      <x:c r="J32" s="79" t="str">
        <x:v>ZVW30 Custom PIDs for Torque (Android App) 12Nov12.xlsx - US</x:v>
      </x:c>
      <x:c r="K32" s="79" t="str">
        <x:v>2012-11-12</x:v>
      </x:c>
      <x:c r="L32" s="79" t="str">
        <x:v>READ-ONLY DIAGNOSTIC CANDIDATE</x:v>
      </x:c>
      <x:c r="M32" s="79" t="str">
        <x:v>CANDIDATE</x:v>
      </x:c>
      <x:c r="N32" s="80" t="str">
        <x:v>Later US source; validate on ZVW30 before firmware use</x:v>
      </x:c>
    </x:row>
    <x:row r="33">
      <x:c r="A33" s="78" t="str">
        <x:v>Yaw Rate Value</x:v>
      </x:c>
      <x:c r="B33" s="79" t="str">
        <x:v>YR Val</x:v>
      </x:c>
      <x:c r="C33" s="79" t="str">
        <x:v>2147</x:v>
      </x:c>
      <x:c r="D33" s="79" t="str">
        <x:v>C - 128</x:v>
      </x:c>
      <x:c r="E33" s="79" t="n">
        <x:v>-128</x:v>
      </x:c>
      <x:c r="F33" s="79" t="n">
        <x:v>127</x:v>
      </x:c>
      <x:c r="G33" s="79" t="str">
        <x:v>degrees/s</x:v>
      </x:c>
      <x:c r="H33" s="79" t="str">
        <x:v>7B0</x:v>
      </x:c>
      <x:c r="I33" s="79" t="str">
        <x:v>PRIUS_GEN3 / ZVW30</x:v>
      </x:c>
      <x:c r="J33" s="79" t="str">
        <x:v>ZVW30 Custom PIDs for Torque (Android App) 12Nov12.xlsx - US</x:v>
      </x:c>
      <x:c r="K33" s="79" t="str">
        <x:v>2012-11-12</x:v>
      </x:c>
      <x:c r="L33" s="79" t="str">
        <x:v>READ-ONLY DIAGNOSTIC CANDIDATE</x:v>
      </x:c>
      <x:c r="M33" s="79" t="str">
        <x:v>CANDIDATE</x:v>
      </x:c>
      <x:c r="N33" s="80" t="str">
        <x:v>Later US source; validate on ZVW30 before firmware use</x:v>
      </x:c>
    </x:row>
    <x:row r="34">
      <x:c r="A34" s="78" t="str">
        <x:v>Steering Angle Value</x:v>
      </x:c>
      <x:c r="B34" s="79" t="str">
        <x:v>SteerAngle</x:v>
      </x:c>
      <x:c r="C34" s="79" t="str">
        <x:v>2147</x:v>
      </x:c>
      <x:c r="D34" s="79" t="str">
        <x:v>(D * 256 + E) / 10 - 3276.8</x:v>
      </x:c>
      <x:c r="E34" s="79" t="n">
        <x:v>-720</x:v>
      </x:c>
      <x:c r="F34" s="79" t="n">
        <x:v>720</x:v>
      </x:c>
      <x:c r="G34" s="79" t="str">
        <x:v>degrees</x:v>
      </x:c>
      <x:c r="H34" s="79" t="str">
        <x:v>7B0</x:v>
      </x:c>
      <x:c r="I34" s="79" t="str">
        <x:v>PRIUS_GEN3 / ZVW30</x:v>
      </x:c>
      <x:c r="J34" s="79" t="str">
        <x:v>ZVW30 Custom PIDs for Torque (Android App) 12Nov12.xlsx - US</x:v>
      </x:c>
      <x:c r="K34" s="79" t="str">
        <x:v>2012-11-12</x:v>
      </x:c>
      <x:c r="L34" s="79" t="str">
        <x:v>READ-ONLY DIAGNOSTIC CANDIDATE</x:v>
      </x:c>
      <x:c r="M34" s="79" t="str">
        <x:v>CANDIDATE</x:v>
      </x:c>
      <x:c r="N34" s="80" t="str">
        <x:v>Later US source; validate on ZVW30 before firmware use</x:v>
      </x:c>
    </x:row>
    <x:row r="35">
      <x:c r="A35" s="78" t="str">
        <x:v>FR Regenerative Request</x:v>
      </x:c>
      <x:c r="B35" s="79" t="str">
        <x:v>RegenReq</x:v>
      </x:c>
      <x:c r="C35" s="79" t="str">
        <x:v>2148</x:v>
      </x:c>
      <x:c r="D35" s="79" t="str">
        <x:v>(A * 256 + B) * 0.7375621</x:v>
      </x:c>
      <x:c r="E35" s="79" t="n">
        <x:v>0</x:v>
      </x:c>
      <x:c r="F35" s="79" t="n">
        <x:v>295</x:v>
      </x:c>
      <x:c r="G35" s="79" t="str">
        <x:v>ft·lb</x:v>
      </x:c>
      <x:c r="H35" s="79" t="str">
        <x:v>7B0</x:v>
      </x:c>
      <x:c r="I35" s="79" t="str">
        <x:v>PRIUS_GEN3 / ZVW30</x:v>
      </x:c>
      <x:c r="J35" s="79" t="str">
        <x:v>ZVW30 Custom PIDs for Torque (Android App) 12Nov12.xlsx - US</x:v>
      </x:c>
      <x:c r="K35" s="79" t="str">
        <x:v>2012-11-12</x:v>
      </x:c>
      <x:c r="L35" s="79" t="str">
        <x:v>READ-ONLY DIAGNOSTIC CANDIDATE</x:v>
      </x:c>
      <x:c r="M35" s="79" t="str">
        <x:v>CANDIDATE</x:v>
      </x:c>
      <x:c r="N35" s="80" t="str">
        <x:v>Later US source; validate on ZVW30 before firmware use</x:v>
      </x:c>
    </x:row>
    <x:row r="36">
      <x:c r="A36" s="78" t="str">
        <x:v>FR Regenerative Operation</x:v>
      </x:c>
      <x:c r="B36" s="79" t="str">
        <x:v>RegenOp</x:v>
      </x:c>
      <x:c r="C36" s="79" t="str">
        <x:v>2148</x:v>
      </x:c>
      <x:c r="D36" s="79" t="str">
        <x:v>(C * 256 + D) * 0.7375621</x:v>
      </x:c>
      <x:c r="E36" s="79" t="n">
        <x:v>0</x:v>
      </x:c>
      <x:c r="F36" s="79" t="n">
        <x:v>295</x:v>
      </x:c>
      <x:c r="G36" s="79" t="str">
        <x:v>ft·lb</x:v>
      </x:c>
      <x:c r="H36" s="79" t="str">
        <x:v>7B0</x:v>
      </x:c>
      <x:c r="I36" s="79" t="str">
        <x:v>PRIUS_GEN3 / ZVW30</x:v>
      </x:c>
      <x:c r="J36" s="79" t="str">
        <x:v>ZVW30 Custom PIDs for Torque (Android App) 12Nov12.xlsx - US</x:v>
      </x:c>
      <x:c r="K36" s="79" t="str">
        <x:v>2012-11-12</x:v>
      </x:c>
      <x:c r="L36" s="79" t="str">
        <x:v>READ-ONLY DIAGNOSTIC CANDIDATE</x:v>
      </x:c>
      <x:c r="M36" s="79" t="str">
        <x:v>CANDIDATE</x:v>
      </x:c>
      <x:c r="N36" s="80" t="str">
        <x:v>Later US source; validate on ZVW30 before firmware use</x:v>
      </x:c>
    </x:row>
    <x:row r="37">
      <x:c r="A37" s="78" t="str">
        <x:v>Regen Cooperation</x:v>
      </x:c>
      <x:c r="B37" s="79" t="str">
        <x:v>RegenCoop</x:v>
      </x:c>
      <x:c r="C37" s="79" t="str">
        <x:v>2158</x:v>
      </x:c>
      <x:c r="D37" s="79" t="str">
        <x:v>{A:7}</x:v>
      </x:c>
      <x:c r="E37" s="79" t="n">
        <x:v>0</x:v>
      </x:c>
      <x:c r="F37" s="79" t="n">
        <x:v>1</x:v>
      </x:c>
      <x:c r="G37" s="79" t="str">
        <x:v>Off/On</x:v>
      </x:c>
      <x:c r="H37" s="79" t="str">
        <x:v>7B0</x:v>
      </x:c>
      <x:c r="I37" s="79" t="str">
        <x:v>PRIUS_GEN3 / ZVW30</x:v>
      </x:c>
      <x:c r="J37" s="79" t="str">
        <x:v>ZVW30 Custom PIDs for Torque (Android App) 12Nov12.xlsx - US</x:v>
      </x:c>
      <x:c r="K37" s="79" t="str">
        <x:v>2012-11-12</x:v>
      </x:c>
      <x:c r="L37" s="79" t="str">
        <x:v>READ-ONLY DIAGNOSTIC CANDIDATE</x:v>
      </x:c>
      <x:c r="M37" s="79" t="str">
        <x:v>CANDIDATE</x:v>
      </x:c>
      <x:c r="N37" s="80" t="str">
        <x:v>Later US source; validate on ZVW30 before firmware use</x:v>
      </x:c>
    </x:row>
    <x:row r="38">
      <x:c r="A38" s="78" t="str">
        <x:v>TRC(TRAC) Ctrl Status</x:v>
      </x:c>
      <x:c r="B38" s="79" t="str">
        <x:v>TRAC</x:v>
      </x:c>
      <x:c r="C38" s="79" t="str">
        <x:v>215A</x:v>
      </x:c>
      <x:c r="D38" s="79" t="str">
        <x:v>{A:7}</x:v>
      </x:c>
      <x:c r="E38" s="79" t="n">
        <x:v>0</x:v>
      </x:c>
      <x:c r="F38" s="79" t="n">
        <x:v>1</x:v>
      </x:c>
      <x:c r="G38" s="79" t="str">
        <x:v>Off/On</x:v>
      </x:c>
      <x:c r="H38" s="79" t="str">
        <x:v>7B0</x:v>
      </x:c>
      <x:c r="I38" s="79" t="str">
        <x:v>PRIUS_GEN3 / ZVW30</x:v>
      </x:c>
      <x:c r="J38" s="79" t="str">
        <x:v>ZVW30 Custom PIDs for Torque (Android App) 12Nov12.xlsx - US</x:v>
      </x:c>
      <x:c r="K38" s="79" t="str">
        <x:v>2012-11-12</x:v>
      </x:c>
      <x:c r="L38" s="79" t="str">
        <x:v>READ-ONLY DIAGNOSTIC CANDIDATE</x:v>
      </x:c>
      <x:c r="M38" s="79" t="str">
        <x:v>CANDIDATE</x:v>
      </x:c>
      <x:c r="N38" s="80" t="str">
        <x:v>Later US source; validate on ZVW30 before firmware use</x:v>
      </x:c>
    </x:row>
    <x:row r="39">
      <x:c r="A39" s="78" t="str">
        <x:v>TRC(TRAC) Engine Ctrl Status</x:v>
      </x:c>
      <x:c r="B39" s="79" t="str">
        <x:v>TRC Eng</x:v>
      </x:c>
      <x:c r="C39" s="79" t="str">
        <x:v>215A</x:v>
      </x:c>
      <x:c r="D39" s="79" t="str">
        <x:v>{A:6}</x:v>
      </x:c>
      <x:c r="E39" s="79" t="n">
        <x:v>0</x:v>
      </x:c>
      <x:c r="F39" s="79" t="n">
        <x:v>1</x:v>
      </x:c>
      <x:c r="G39" s="79" t="str">
        <x:v>Off/On</x:v>
      </x:c>
      <x:c r="H39" s="79" t="str">
        <x:v>7B0</x:v>
      </x:c>
      <x:c r="I39" s="79" t="str">
        <x:v>PRIUS_GEN3 / ZVW30</x:v>
      </x:c>
      <x:c r="J39" s="79" t="str">
        <x:v>ZVW30 Custom PIDs for Torque (Android App) 12Nov12.xlsx - US</x:v>
      </x:c>
      <x:c r="K39" s="79" t="str">
        <x:v>2012-11-12</x:v>
      </x:c>
      <x:c r="L39" s="79" t="str">
        <x:v>READ-ONLY DIAGNOSTIC CANDIDATE</x:v>
      </x:c>
      <x:c r="M39" s="79" t="str">
        <x:v>CANDIDATE</x:v>
      </x:c>
      <x:c r="N39" s="80" t="str">
        <x:v>Later US source; validate on ZVW30 before firmware use</x:v>
      </x:c>
    </x:row>
    <x:row r="40">
      <x:c r="A40" s="78" t="str">
        <x:v>TRC(TRAC) Brake Ctrl Status</x:v>
      </x:c>
      <x:c r="B40" s="79" t="str">
        <x:v>TRC Brk</x:v>
      </x:c>
      <x:c r="C40" s="79" t="str">
        <x:v>215A</x:v>
      </x:c>
      <x:c r="D40" s="79" t="str">
        <x:v>{A:5}</x:v>
      </x:c>
      <x:c r="E40" s="79" t="n">
        <x:v>0</x:v>
      </x:c>
      <x:c r="F40" s="79" t="n">
        <x:v>1</x:v>
      </x:c>
      <x:c r="G40" s="79" t="str">
        <x:v>Off/On</x:v>
      </x:c>
      <x:c r="H40" s="79" t="str">
        <x:v>7B0</x:v>
      </x:c>
      <x:c r="I40" s="79" t="str">
        <x:v>PRIUS_GEN3 / ZVW30</x:v>
      </x:c>
      <x:c r="J40" s="79" t="str">
        <x:v>ZVW30 Custom PIDs for Torque (Android App) 12Nov12.xlsx - US</x:v>
      </x:c>
      <x:c r="K40" s="79" t="str">
        <x:v>2012-11-12</x:v>
      </x:c>
      <x:c r="L40" s="79" t="str">
        <x:v>READ-ONLY DIAGNOSTIC CANDIDATE</x:v>
      </x:c>
      <x:c r="M40" s="79" t="str">
        <x:v>CANDIDATE</x:v>
      </x:c>
      <x:c r="N40" s="80" t="str">
        <x:v>Later US source; validate on ZVW30 before firmware use</x:v>
      </x:c>
    </x:row>
    <x:row r="41">
      <x:c r="A41" s="78" t="str">
        <x:v>FR Wheel VSC Ctrl Status</x:v>
      </x:c>
      <x:c r="B41" s="79" t="str">
        <x:v>FR VSC</x:v>
      </x:c>
      <x:c r="C41" s="79" t="str">
        <x:v>215A</x:v>
      </x:c>
      <x:c r="D41" s="79" t="str">
        <x:v>{B:7}</x:v>
      </x:c>
      <x:c r="E41" s="79" t="n">
        <x:v>0</x:v>
      </x:c>
      <x:c r="F41" s="79" t="n">
        <x:v>1</x:v>
      </x:c>
      <x:c r="G41" s="79" t="str">
        <x:v>Off/On</x:v>
      </x:c>
      <x:c r="H41" s="79" t="str">
        <x:v>7B0</x:v>
      </x:c>
      <x:c r="I41" s="79" t="str">
        <x:v>PRIUS_GEN3 / ZVW30</x:v>
      </x:c>
      <x:c r="J41" s="79" t="str">
        <x:v>ZVW30 Custom PIDs for Torque (Android App) 12Nov12.xlsx - US</x:v>
      </x:c>
      <x:c r="K41" s="79" t="str">
        <x:v>2012-11-12</x:v>
      </x:c>
      <x:c r="L41" s="79" t="str">
        <x:v>READ-ONLY DIAGNOSTIC CANDIDATE</x:v>
      </x:c>
      <x:c r="M41" s="79" t="str">
        <x:v>CANDIDATE</x:v>
      </x:c>
      <x:c r="N41" s="80" t="str">
        <x:v>Later US source; validate on ZVW30 before firmware use</x:v>
      </x:c>
    </x:row>
    <x:row r="42">
      <x:c r="A42" s="78" t="str">
        <x:v>FL Wheel VSC Ctrl Status</x:v>
      </x:c>
      <x:c r="B42" s="79" t="str">
        <x:v>FL VSC</x:v>
      </x:c>
      <x:c r="C42" s="79" t="str">
        <x:v>215A</x:v>
      </x:c>
      <x:c r="D42" s="79" t="str">
        <x:v>{B:6}</x:v>
      </x:c>
      <x:c r="E42" s="79" t="n">
        <x:v>0</x:v>
      </x:c>
      <x:c r="F42" s="79" t="n">
        <x:v>1</x:v>
      </x:c>
      <x:c r="G42" s="79" t="str">
        <x:v>Off/On</x:v>
      </x:c>
      <x:c r="H42" s="79" t="str">
        <x:v>7B0</x:v>
      </x:c>
      <x:c r="I42" s="79" t="str">
        <x:v>PRIUS_GEN3 / ZVW30</x:v>
      </x:c>
      <x:c r="J42" s="79" t="str">
        <x:v>ZVW30 Custom PIDs for Torque (Android App) 12Nov12.xlsx - US</x:v>
      </x:c>
      <x:c r="K42" s="79" t="str">
        <x:v>2012-11-12</x:v>
      </x:c>
      <x:c r="L42" s="79" t="str">
        <x:v>READ-ONLY DIAGNOSTIC CANDIDATE</x:v>
      </x:c>
      <x:c r="M42" s="79" t="str">
        <x:v>CANDIDATE</x:v>
      </x:c>
      <x:c r="N42" s="80" t="str">
        <x:v>Later US source; validate on ZVW30 before firmware use</x:v>
      </x:c>
    </x:row>
    <x:row r="43">
      <x:c r="A43" s="78" t="str">
        <x:v>RR Wheel VSC Ctrl Status</x:v>
      </x:c>
      <x:c r="B43" s="79" t="str">
        <x:v>RR VSC</x:v>
      </x:c>
      <x:c r="C43" s="79" t="str">
        <x:v>215A</x:v>
      </x:c>
      <x:c r="D43" s="79" t="str">
        <x:v>{B:5}</x:v>
      </x:c>
      <x:c r="E43" s="79" t="n">
        <x:v>0</x:v>
      </x:c>
      <x:c r="F43" s="79" t="n">
        <x:v>1</x:v>
      </x:c>
      <x:c r="G43" s="79" t="str">
        <x:v>Off/On</x:v>
      </x:c>
      <x:c r="H43" s="79" t="str">
        <x:v>7B0</x:v>
      </x:c>
      <x:c r="I43" s="79" t="str">
        <x:v>PRIUS_GEN3 / ZVW30</x:v>
      </x:c>
      <x:c r="J43" s="79" t="str">
        <x:v>ZVW30 Custom PIDs for Torque (Android App) 12Nov12.xlsx - US</x:v>
      </x:c>
      <x:c r="K43" s="79" t="str">
        <x:v>2012-11-12</x:v>
      </x:c>
      <x:c r="L43" s="79" t="str">
        <x:v>READ-ONLY DIAGNOSTIC CANDIDATE</x:v>
      </x:c>
      <x:c r="M43" s="79" t="str">
        <x:v>CANDIDATE</x:v>
      </x:c>
      <x:c r="N43" s="80" t="str">
        <x:v>Later US source; validate on ZVW30 before firmware use</x:v>
      </x:c>
    </x:row>
    <x:row r="44">
      <x:c r="A44" s="78" t="str">
        <x:v>RL Wheel VSC Ctrl Status</x:v>
      </x:c>
      <x:c r="B44" s="79" t="str">
        <x:v>RL VSC</x:v>
      </x:c>
      <x:c r="C44" s="79" t="str">
        <x:v>215A</x:v>
      </x:c>
      <x:c r="D44" s="79" t="str">
        <x:v>{B:4}</x:v>
      </x:c>
      <x:c r="E44" s="79" t="n">
        <x:v>0</x:v>
      </x:c>
      <x:c r="F44" s="79" t="n">
        <x:v>1</x:v>
      </x:c>
      <x:c r="G44" s="79" t="str">
        <x:v>Off/On</x:v>
      </x:c>
      <x:c r="H44" s="79" t="str">
        <x:v>7B0</x:v>
      </x:c>
      <x:c r="I44" s="79" t="str">
        <x:v>PRIUS_GEN3 / ZVW30</x:v>
      </x:c>
      <x:c r="J44" s="79" t="str">
        <x:v>ZVW30 Custom PIDs for Torque (Android App) 12Nov12.xlsx - US</x:v>
      </x:c>
      <x:c r="K44" s="79" t="str">
        <x:v>2012-11-12</x:v>
      </x:c>
      <x:c r="L44" s="79" t="str">
        <x:v>READ-ONLY DIAGNOSTIC CANDIDATE</x:v>
      </x:c>
      <x:c r="M44" s="79" t="str">
        <x:v>CANDIDATE</x:v>
      </x:c>
      <x:c r="N44" s="80" t="str">
        <x:v>Later US source; validate on ZVW30 before firmware use</x:v>
      </x:c>
    </x:row>
    <x:row r="45">
      <x:c r="A45" s="78" t="str">
        <x:v>FR Wheel ABS Ctrl Status</x:v>
      </x:c>
      <x:c r="B45" s="79" t="str">
        <x:v>FR ABS</x:v>
      </x:c>
      <x:c r="C45" s="79" t="str">
        <x:v>215F</x:v>
      </x:c>
      <x:c r="D45" s="79" t="str">
        <x:v>{A:7}</x:v>
      </x:c>
      <x:c r="E45" s="79" t="n">
        <x:v>0</x:v>
      </x:c>
      <x:c r="F45" s="79" t="n">
        <x:v>1</x:v>
      </x:c>
      <x:c r="G45" s="79" t="str">
        <x:v>Off/On</x:v>
      </x:c>
      <x:c r="H45" s="79" t="str">
        <x:v>7B0</x:v>
      </x:c>
      <x:c r="I45" s="79" t="str">
        <x:v>PRIUS_GEN3 / ZVW30</x:v>
      </x:c>
      <x:c r="J45" s="79" t="str">
        <x:v>ZVW30 Custom PIDs for Torque (Android App) 12Nov12.xlsx - US</x:v>
      </x:c>
      <x:c r="K45" s="79" t="str">
        <x:v>2012-11-12</x:v>
      </x:c>
      <x:c r="L45" s="79" t="str">
        <x:v>READ-ONLY DIAGNOSTIC CANDIDATE</x:v>
      </x:c>
      <x:c r="M45" s="79" t="str">
        <x:v>CANDIDATE</x:v>
      </x:c>
      <x:c r="N45" s="80" t="str">
        <x:v>Later US source; validate on ZVW30 before firmware use</x:v>
      </x:c>
    </x:row>
    <x:row r="46">
      <x:c r="A46" s="78" t="str">
        <x:v>FL Wheel ABS Ctrl Status</x:v>
      </x:c>
      <x:c r="B46" s="79" t="str">
        <x:v>FL ABS</x:v>
      </x:c>
      <x:c r="C46" s="79" t="str">
        <x:v>215F</x:v>
      </x:c>
      <x:c r="D46" s="79" t="str">
        <x:v>{A:6}</x:v>
      </x:c>
      <x:c r="E46" s="79" t="n">
        <x:v>0</x:v>
      </x:c>
      <x:c r="F46" s="79" t="n">
        <x:v>1</x:v>
      </x:c>
      <x:c r="G46" s="79" t="str">
        <x:v>Off/On</x:v>
      </x:c>
      <x:c r="H46" s="79" t="str">
        <x:v>7B0</x:v>
      </x:c>
      <x:c r="I46" s="79" t="str">
        <x:v>PRIUS_GEN3 / ZVW30</x:v>
      </x:c>
      <x:c r="J46" s="79" t="str">
        <x:v>ZVW30 Custom PIDs for Torque (Android App) 12Nov12.xlsx - US</x:v>
      </x:c>
      <x:c r="K46" s="79" t="str">
        <x:v>2012-11-12</x:v>
      </x:c>
      <x:c r="L46" s="79" t="str">
        <x:v>READ-ONLY DIAGNOSTIC CANDIDATE</x:v>
      </x:c>
      <x:c r="M46" s="79" t="str">
        <x:v>CANDIDATE</x:v>
      </x:c>
      <x:c r="N46" s="80" t="str">
        <x:v>Later US source; validate on ZVW30 before firmware use</x:v>
      </x:c>
    </x:row>
    <x:row r="47">
      <x:c r="A47" s="78" t="str">
        <x:v>RR Wheel ABS Ctrl Status</x:v>
      </x:c>
      <x:c r="B47" s="79" t="str">
        <x:v>RR ABS</x:v>
      </x:c>
      <x:c r="C47" s="79" t="str">
        <x:v>215F</x:v>
      </x:c>
      <x:c r="D47" s="79" t="str">
        <x:v>{A:5}</x:v>
      </x:c>
      <x:c r="E47" s="79" t="n">
        <x:v>0</x:v>
      </x:c>
      <x:c r="F47" s="79" t="n">
        <x:v>1</x:v>
      </x:c>
      <x:c r="G47" s="79" t="str">
        <x:v>Off/On</x:v>
      </x:c>
      <x:c r="H47" s="79" t="str">
        <x:v>7B0</x:v>
      </x:c>
      <x:c r="I47" s="79" t="str">
        <x:v>PRIUS_GEN3 / ZVW30</x:v>
      </x:c>
      <x:c r="J47" s="79" t="str">
        <x:v>ZVW30 Custom PIDs for Torque (Android App) 12Nov12.xlsx - US</x:v>
      </x:c>
      <x:c r="K47" s="79" t="str">
        <x:v>2012-11-12</x:v>
      </x:c>
      <x:c r="L47" s="79" t="str">
        <x:v>READ-ONLY DIAGNOSTIC CANDIDATE</x:v>
      </x:c>
      <x:c r="M47" s="79" t="str">
        <x:v>CANDIDATE</x:v>
      </x:c>
      <x:c r="N47" s="80" t="str">
        <x:v>Later US source; validate on ZVW30 before firmware use</x:v>
      </x:c>
    </x:row>
    <x:row r="48">
      <x:c r="A48" s="78" t="str">
        <x:v>RL Wheel ABS Ctrl Status</x:v>
      </x:c>
      <x:c r="B48" s="79" t="str">
        <x:v>RL ABS</x:v>
      </x:c>
      <x:c r="C48" s="79" t="str">
        <x:v>215F</x:v>
      </x:c>
      <x:c r="D48" s="79" t="str">
        <x:v>{A:4}</x:v>
      </x:c>
      <x:c r="E48" s="79" t="n">
        <x:v>0</x:v>
      </x:c>
      <x:c r="F48" s="79" t="n">
        <x:v>1</x:v>
      </x:c>
      <x:c r="G48" s="79" t="str">
        <x:v>Off/On</x:v>
      </x:c>
      <x:c r="H48" s="79" t="str">
        <x:v>7B0</x:v>
      </x:c>
      <x:c r="I48" s="79" t="str">
        <x:v>PRIUS_GEN3 / ZVW30</x:v>
      </x:c>
      <x:c r="J48" s="79" t="str">
        <x:v>ZVW30 Custom PIDs for Torque (Android App) 12Nov12.xlsx - US</x:v>
      </x:c>
      <x:c r="K48" s="79" t="str">
        <x:v>2012-11-12</x:v>
      </x:c>
      <x:c r="L48" s="79" t="str">
        <x:v>READ-ONLY DIAGNOSTIC CANDIDATE</x:v>
      </x:c>
      <x:c r="M48" s="79" t="str">
        <x:v>CANDIDATE</x:v>
      </x:c>
      <x:c r="N48" s="80" t="str">
        <x:v>Later US source; validate on ZVW30 before firmware use</x:v>
      </x:c>
    </x:row>
    <x:row r="49">
      <x:c r="A49" s="78" t="str">
        <x:v>RR Wheel EBD Ctrl Status</x:v>
      </x:c>
      <x:c r="B49" s="79" t="str">
        <x:v>RR EBD</x:v>
      </x:c>
      <x:c r="C49" s="79" t="str">
        <x:v>215F</x:v>
      </x:c>
      <x:c r="D49" s="79" t="str">
        <x:v>{A:1}</x:v>
      </x:c>
      <x:c r="E49" s="79" t="n">
        <x:v>0</x:v>
      </x:c>
      <x:c r="F49" s="79" t="n">
        <x:v>1</x:v>
      </x:c>
      <x:c r="G49" s="79" t="str">
        <x:v>Off/On</x:v>
      </x:c>
      <x:c r="H49" s="79" t="str">
        <x:v>7B0</x:v>
      </x:c>
      <x:c r="I49" s="79" t="str">
        <x:v>PRIUS_GEN3 / ZVW30</x:v>
      </x:c>
      <x:c r="J49" s="79" t="str">
        <x:v>ZVW30 Custom PIDs for Torque (Android App) 12Nov12.xlsx - US</x:v>
      </x:c>
      <x:c r="K49" s="79" t="str">
        <x:v>2012-11-12</x:v>
      </x:c>
      <x:c r="L49" s="79" t="str">
        <x:v>READ-ONLY DIAGNOSTIC CANDIDATE</x:v>
      </x:c>
      <x:c r="M49" s="79" t="str">
        <x:v>CANDIDATE</x:v>
      </x:c>
      <x:c r="N49" s="80" t="str">
        <x:v>Later US source; validate on ZVW30 before firmware use</x:v>
      </x:c>
    </x:row>
    <x:row r="50">
      <x:c r="A50" s="78" t="str">
        <x:v>RL Wheel EBD Ctrl Status</x:v>
      </x:c>
      <x:c r="B50" s="79" t="str">
        <x:v>RL EBD</x:v>
      </x:c>
      <x:c r="C50" s="79" t="str">
        <x:v>215F</x:v>
      </x:c>
      <x:c r="D50" s="79" t="str">
        <x:v>{A:0}</x:v>
      </x:c>
      <x:c r="E50" s="79" t="n">
        <x:v>0</x:v>
      </x:c>
      <x:c r="F50" s="79" t="n">
        <x:v>1</x:v>
      </x:c>
      <x:c r="G50" s="79" t="str">
        <x:v>Off/On</x:v>
      </x:c>
      <x:c r="H50" s="79" t="str">
        <x:v>7B0</x:v>
      </x:c>
      <x:c r="I50" s="79" t="str">
        <x:v>PRIUS_GEN3 / ZVW30</x:v>
      </x:c>
      <x:c r="J50" s="79" t="str">
        <x:v>ZVW30 Custom PIDs for Torque (Android App) 12Nov12.xlsx - US</x:v>
      </x:c>
      <x:c r="K50" s="79" t="str">
        <x:v>2012-11-12</x:v>
      </x:c>
      <x:c r="L50" s="79" t="str">
        <x:v>READ-ONLY DIAGNOSTIC CANDIDATE</x:v>
      </x:c>
      <x:c r="M50" s="79" t="str">
        <x:v>CANDIDATE</x:v>
      </x:c>
      <x:c r="N50" s="80" t="str">
        <x:v>Later US source; validate on ZVW30 before firmware use</x:v>
      </x:c>
    </x:row>
    <x:row r="51">
      <x:c r="A51" s="78" t="str">
        <x:v>BA Ctrl Status</x:v>
      </x:c>
      <x:c r="B51" s="79" t="str">
        <x:v>BA</x:v>
      </x:c>
      <x:c r="C51" s="79" t="str">
        <x:v>215F</x:v>
      </x:c>
      <x:c r="D51" s="79" t="str">
        <x:v>{B:4}</x:v>
      </x:c>
      <x:c r="E51" s="79" t="n">
        <x:v>0</x:v>
      </x:c>
      <x:c r="F51" s="79" t="n">
        <x:v>1</x:v>
      </x:c>
      <x:c r="G51" s="79" t="str">
        <x:v>Off/On</x:v>
      </x:c>
      <x:c r="H51" s="79" t="str">
        <x:v>7B0</x:v>
      </x:c>
      <x:c r="I51" s="79" t="str">
        <x:v>PRIUS_GEN3 / ZVW30</x:v>
      </x:c>
      <x:c r="J51" s="79" t="str">
        <x:v>ZVW30 Custom PIDs for Torque (Android App) 12Nov12.xlsx - US</x:v>
      </x:c>
      <x:c r="K51" s="79" t="str">
        <x:v>2012-11-12</x:v>
      </x:c>
      <x:c r="L51" s="79" t="str">
        <x:v>READ-ONLY DIAGNOSTIC CANDIDATE</x:v>
      </x:c>
      <x:c r="M51" s="79" t="str">
        <x:v>CANDIDATE</x:v>
      </x:c>
      <x:c r="N51" s="80" t="str">
        <x:v>Later US source; validate on ZVW30 before firmware use</x:v>
      </x:c>
    </x:row>
    <x:row r="52">
      <x:c r="A52" s="78" t="str">
        <x:v>PBA Ctrl Status</x:v>
      </x:c>
      <x:c r="B52" s="79" t="str">
        <x:v>PBA</x:v>
      </x:c>
      <x:c r="C52" s="79" t="str">
        <x:v>215F</x:v>
      </x:c>
      <x:c r="D52" s="79" t="str">
        <x:v>{B:3}</x:v>
      </x:c>
      <x:c r="E52" s="79" t="n">
        <x:v>0</x:v>
      </x:c>
      <x:c r="F52" s="79" t="n">
        <x:v>1</x:v>
      </x:c>
      <x:c r="G52" s="79" t="str">
        <x:v>Off/On</x:v>
      </x:c>
      <x:c r="H52" s="79" t="str">
        <x:v>7B0</x:v>
      </x:c>
      <x:c r="I52" s="79" t="str">
        <x:v>PRIUS_GEN3 / ZVW30</x:v>
      </x:c>
      <x:c r="J52" s="79" t="str">
        <x:v>ZVW30 Custom PIDs for Torque (Android App) 12Nov12.xlsx - US</x:v>
      </x:c>
      <x:c r="K52" s="79" t="str">
        <x:v>2012-11-12</x:v>
      </x:c>
      <x:c r="L52" s="79" t="str">
        <x:v>READ-ONLY DIAGNOSTIC CANDIDATE</x:v>
      </x:c>
      <x:c r="M52" s="79" t="str">
        <x:v>CANDIDATE</x:v>
      </x:c>
      <x:c r="N52" s="80" t="str">
        <x:v>Later US source; validate on ZVW30 before firmware use</x:v>
      </x:c>
    </x:row>
    <x:row r="53">
      <x:c r="A53" s="78" t="str">
        <x:v>Zero Point of Yaw Rate2</x:v>
      </x:c>
      <x:c r="B53" s="79" t="str">
        <x:v>0Yaw2</x:v>
      </x:c>
      <x:c r="C53" s="79" t="str">
        <x:v>21A1</x:v>
      </x:c>
      <x:c r="D53" s="79" t="str">
        <x:v>A -128</x:v>
      </x:c>
      <x:c r="E53" s="79" t="n">
        <x:v>-128</x:v>
      </x:c>
      <x:c r="F53" s="79" t="n">
        <x:v>127</x:v>
      </x:c>
      <x:c r="G53" s="79" t="str">
        <x:v>degrees/s</x:v>
      </x:c>
      <x:c r="H53" s="79" t="str">
        <x:v>7B0</x:v>
      </x:c>
      <x:c r="I53" s="79" t="str">
        <x:v>PRIUS_GEN3 / ZVW30</x:v>
      </x:c>
      <x:c r="J53" s="79" t="str">
        <x:v>ZVW30 Custom PIDs for Torque (Android App) 12Nov12.xlsx - US</x:v>
      </x:c>
      <x:c r="K53" s="79" t="str">
        <x:v>2012-11-12</x:v>
      </x:c>
      <x:c r="L53" s="79" t="str">
        <x:v>READ-ONLY DIAGNOSTIC CANDIDATE</x:v>
      </x:c>
      <x:c r="M53" s="79" t="str">
        <x:v>CANDIDATE</x:v>
      </x:c>
      <x:c r="N53" s="80" t="str">
        <x:v>Later US source; validate on ZVW30 before firmware use</x:v>
      </x:c>
    </x:row>
    <x:row r="54">
      <x:c r="A54" s="78" t="str">
        <x:v>SLA Solenoid Current</x:v>
      </x:c>
      <x:c r="B54" s="79" t="str">
        <x:v>SLA curr</x:v>
      </x:c>
      <x:c r="C54" s="79" t="str">
        <x:v>21A3</x:v>
      </x:c>
      <x:c r="D54" s="79" t="str">
        <x:v>A * 3 / 255</x:v>
      </x:c>
      <x:c r="E54" s="79" t="n">
        <x:v>0</x:v>
      </x:c>
      <x:c r="F54" s="79" t="n">
        <x:v>3</x:v>
      </x:c>
      <x:c r="G54" s="79" t="str">
        <x:v>A</x:v>
      </x:c>
      <x:c r="H54" s="79" t="str">
        <x:v>7B0</x:v>
      </x:c>
      <x:c r="I54" s="79" t="str">
        <x:v>PRIUS_GEN3 / ZVW30</x:v>
      </x:c>
      <x:c r="J54" s="79" t="str">
        <x:v>ZVW30 Custom PIDs for Torque (Android App) 12Nov12.xlsx - US</x:v>
      </x:c>
      <x:c r="K54" s="79" t="str">
        <x:v>2012-11-12</x:v>
      </x:c>
      <x:c r="L54" s="79" t="str">
        <x:v>READ-ONLY DIAGNOSTIC CANDIDATE</x:v>
      </x:c>
      <x:c r="M54" s="79" t="str">
        <x:v>CANDIDATE</x:v>
      </x:c>
      <x:c r="N54" s="80" t="str">
        <x:v>Later US source; validate on ZVW30 before firmware use</x:v>
      </x:c>
    </x:row>
    <x:row r="55">
      <x:c r="A55" s="78" t="str">
        <x:v>SLR Solenoid Current</x:v>
      </x:c>
      <x:c r="B55" s="79" t="str">
        <x:v>SLR curr</x:v>
      </x:c>
      <x:c r="C55" s="79" t="str">
        <x:v>21A3</x:v>
      </x:c>
      <x:c r="D55" s="79" t="str">
        <x:v>B * 3 / 255</x:v>
      </x:c>
      <x:c r="E55" s="79" t="n">
        <x:v>0</x:v>
      </x:c>
      <x:c r="F55" s="79" t="n">
        <x:v>3</x:v>
      </x:c>
      <x:c r="G55" s="79" t="str">
        <x:v>A</x:v>
      </x:c>
      <x:c r="H55" s="79" t="str">
        <x:v>7B0</x:v>
      </x:c>
      <x:c r="I55" s="79" t="str">
        <x:v>PRIUS_GEN3 / ZVW30</x:v>
      </x:c>
      <x:c r="J55" s="79" t="str">
        <x:v>ZVW30 Custom PIDs for Torque (Android App) 12Nov12.xlsx - US</x:v>
      </x:c>
      <x:c r="K55" s="79" t="str">
        <x:v>2012-11-12</x:v>
      </x:c>
      <x:c r="L55" s="79" t="str">
        <x:v>READ-ONLY DIAGNOSTIC CANDIDATE</x:v>
      </x:c>
      <x:c r="M55" s="79" t="str">
        <x:v>CANDIDATE</x:v>
      </x:c>
      <x:c r="N55" s="80" t="str">
        <x:v>Later US source; validate on ZVW30 before firmware use</x:v>
      </x:c>
    </x:row>
    <x:row r="56">
      <x:c r="A56" s="78" t="str">
        <x:v>SSC Solenoid Current</x:v>
      </x:c>
      <x:c r="B56" s="79" t="str">
        <x:v>SSC curr</x:v>
      </x:c>
      <x:c r="C56" s="79" t="str">
        <x:v>21A3</x:v>
      </x:c>
      <x:c r="D56" s="79" t="str">
        <x:v>C * 3 / 255</x:v>
      </x:c>
      <x:c r="E56" s="79" t="n">
        <x:v>0</x:v>
      </x:c>
      <x:c r="F56" s="79" t="n">
        <x:v>3</x:v>
      </x:c>
      <x:c r="G56" s="79" t="str">
        <x:v>A</x:v>
      </x:c>
      <x:c r="H56" s="79" t="str">
        <x:v>7B0</x:v>
      </x:c>
      <x:c r="I56" s="79" t="str">
        <x:v>PRIUS_GEN3 / ZVW30</x:v>
      </x:c>
      <x:c r="J56" s="79" t="str">
        <x:v>ZVW30 Custom PIDs for Torque (Android App) 12Nov12.xlsx - US</x:v>
      </x:c>
      <x:c r="K56" s="79" t="str">
        <x:v>2012-11-12</x:v>
      </x:c>
      <x:c r="L56" s="79" t="str">
        <x:v>READ-ONLY DIAGNOSTIC CANDIDATE</x:v>
      </x:c>
      <x:c r="M56" s="79" t="str">
        <x:v>CANDIDATE</x:v>
      </x:c>
      <x:c r="N56" s="80" t="str">
        <x:v>Later US source; validate on ZVW30 before firmware use</x:v>
      </x:c>
    </x:row>
    <x:row r="57">
      <x:c r="A57" s="78" t="str">
        <x:v>SCC Solenoid Current</x:v>
      </x:c>
      <x:c r="B57" s="79" t="str">
        <x:v>SCC curr</x:v>
      </x:c>
      <x:c r="C57" s="79" t="str">
        <x:v>21A3</x:v>
      </x:c>
      <x:c r="D57" s="79" t="str">
        <x:v>D * 3 / 255</x:v>
      </x:c>
      <x:c r="E57" s="79" t="n">
        <x:v>0</x:v>
      </x:c>
      <x:c r="F57" s="79" t="n">
        <x:v>3</x:v>
      </x:c>
      <x:c r="G57" s="79" t="str">
        <x:v>A</x:v>
      </x:c>
      <x:c r="H57" s="79" t="str">
        <x:v>7B0</x:v>
      </x:c>
      <x:c r="I57" s="79" t="str">
        <x:v>PRIUS_GEN3 / ZVW30</x:v>
      </x:c>
      <x:c r="J57" s="79" t="str">
        <x:v>ZVW30 Custom PIDs for Torque (Android App) 12Nov12.xlsx - US</x:v>
      </x:c>
      <x:c r="K57" s="79" t="str">
        <x:v>2012-11-12</x:v>
      </x:c>
      <x:c r="L57" s="79" t="str">
        <x:v>READ-ONLY DIAGNOSTIC CANDIDATE</x:v>
      </x:c>
      <x:c r="M57" s="79" t="str">
        <x:v>CANDIDATE</x:v>
      </x:c>
      <x:c r="N57" s="80" t="str">
        <x:v>Later US source; validate on ZVW30 before firmware use</x:v>
      </x:c>
    </x:row>
    <x:row r="58">
      <x:c r="A58" s="78" t="str">
        <x:v>SMC Solenoid Current</x:v>
      </x:c>
      <x:c r="B58" s="79" t="str">
        <x:v>SMC curr</x:v>
      </x:c>
      <x:c r="C58" s="79" t="str">
        <x:v>21A3</x:v>
      </x:c>
      <x:c r="D58" s="79" t="str">
        <x:v>E * 3 / 255</x:v>
      </x:c>
      <x:c r="E58" s="79" t="n">
        <x:v>0</x:v>
      </x:c>
      <x:c r="F58" s="79" t="n">
        <x:v>3</x:v>
      </x:c>
      <x:c r="G58" s="79" t="str">
        <x:v>A</x:v>
      </x:c>
      <x:c r="H58" s="79" t="str">
        <x:v>7B0</x:v>
      </x:c>
      <x:c r="I58" s="79" t="str">
        <x:v>PRIUS_GEN3 / ZVW30</x:v>
      </x:c>
      <x:c r="J58" s="79" t="str">
        <x:v>ZVW30 Custom PIDs for Torque (Android App) 12Nov12.xlsx - US</x:v>
      </x:c>
      <x:c r="K58" s="79" t="str">
        <x:v>2012-11-12</x:v>
      </x:c>
      <x:c r="L58" s="79" t="str">
        <x:v>READ-ONLY DIAGNOSTIC CANDIDATE</x:v>
      </x:c>
      <x:c r="M58" s="79" t="str">
        <x:v>CANDIDATE</x:v>
      </x:c>
      <x:c r="N58" s="80" t="str">
        <x:v>Later US source; validate on ZVW30 before firmware use</x:v>
      </x:c>
    </x:row>
    <x:row r="59">
      <x:c r="A59" s="78" t="str">
        <x:v>SRC Solenoid Current</x:v>
      </x:c>
      <x:c r="B59" s="79" t="str">
        <x:v>SRC curr</x:v>
      </x:c>
      <x:c r="C59" s="79" t="str">
        <x:v>21A3</x:v>
      </x:c>
      <x:c r="D59" s="79" t="str">
        <x:v>F * 3 / 255</x:v>
      </x:c>
      <x:c r="E59" s="79" t="n">
        <x:v>0</x:v>
      </x:c>
      <x:c r="F59" s="79" t="n">
        <x:v>3</x:v>
      </x:c>
      <x:c r="G59" s="79" t="str">
        <x:v>A</x:v>
      </x:c>
      <x:c r="H59" s="79" t="str">
        <x:v>7B0</x:v>
      </x:c>
      <x:c r="I59" s="79" t="str">
        <x:v>PRIUS_GEN3 / ZVW30</x:v>
      </x:c>
      <x:c r="J59" s="79" t="str">
        <x:v>ZVW30 Custom PIDs for Torque (Android App) 12Nov12.xlsx - US</x:v>
      </x:c>
      <x:c r="K59" s="79" t="str">
        <x:v>2012-11-12</x:v>
      </x:c>
      <x:c r="L59" s="79" t="str">
        <x:v>READ-ONLY DIAGNOSTIC CANDIDATE</x:v>
      </x:c>
      <x:c r="M59" s="79" t="str">
        <x:v>CANDIDATE</x:v>
      </x:c>
      <x:c r="N59" s="80" t="str">
        <x:v>Later US source; validate on ZVW30 before firmware use</x:v>
      </x:c>
    </x:row>
    <x:row r="60">
      <x:c r="A60" s="78" t="str">
        <x:v>Inspection Mode (Other=Off,Inspect=On)</x:v>
      </x:c>
      <x:c r="B60" s="79" t="str">
        <x:v>Insp Mode</x:v>
      </x:c>
      <x:c r="C60" s="79" t="str">
        <x:v>21A6</x:v>
      </x:c>
      <x:c r="D60" s="79" t="str">
        <x:v>{A:7}</x:v>
      </x:c>
      <x:c r="E60" s="79" t="n">
        <x:v>0</x:v>
      </x:c>
      <x:c r="F60" s="79" t="n">
        <x:v>1</x:v>
      </x:c>
      <x:c r="G60" s="79" t="str">
        <x:v>Off/On</x:v>
      </x:c>
      <x:c r="H60" s="79" t="str">
        <x:v>7B0</x:v>
      </x:c>
      <x:c r="I60" s="79" t="str">
        <x:v>PRIUS_GEN3 / ZVW30</x:v>
      </x:c>
      <x:c r="J60" s="79" t="str">
        <x:v>ZVW30 Custom PIDs for Torque (Android App) 12Nov12.xlsx - US</x:v>
      </x:c>
      <x:c r="K60" s="79" t="str">
        <x:v>2012-11-12</x:v>
      </x:c>
      <x:c r="L60" s="79" t="str">
        <x:v>READ-ONLY DIAGNOSTIC CANDIDATE</x:v>
      </x:c>
      <x:c r="M60" s="79" t="str">
        <x:v>CANDIDATE</x:v>
      </x:c>
      <x:c r="N60" s="80" t="str">
        <x:v>Later US source; validate on ZVW30 before firmware use</x:v>
      </x:c>
    </x:row>
    <x:row r="61">
      <x:c r="A61" s="78" t="str">
        <x:v>Hazard Switch History (Incomplete=Off,Complete=On)</x:v>
      </x:c>
      <x:c r="B61" s="79" t="str">
        <x:v>Haz Hist</x:v>
      </x:c>
      <x:c r="C61" s="79" t="str">
        <x:v>21BC</x:v>
      </x:c>
      <x:c r="D61" s="79" t="str">
        <x:v>{A:5}</x:v>
      </x:c>
      <x:c r="E61" s="79" t="n">
        <x:v>0</x:v>
      </x:c>
      <x:c r="F61" s="79" t="n">
        <x:v>1</x:v>
      </x:c>
      <x:c r="G61" s="79" t="str">
        <x:v>Off/On</x:v>
      </x:c>
      <x:c r="H61" s="79" t="str">
        <x:v>7B0</x:v>
      </x:c>
      <x:c r="I61" s="79" t="str">
        <x:v>PRIUS_GEN3 / ZVW30</x:v>
      </x:c>
      <x:c r="J61" s="79" t="str">
        <x:v>ZVW30 Custom PIDs for Torque (Android App) 12Nov12.xlsx - US</x:v>
      </x:c>
      <x:c r="K61" s="79" t="str">
        <x:v>2012-11-12</x:v>
      </x:c>
      <x:c r="L61" s="79" t="str">
        <x:v>READ-ONLY DIAGNOSTIC CANDIDATE</x:v>
      </x:c>
      <x:c r="M61" s="79" t="str">
        <x:v>CANDIDATE</x:v>
      </x:c>
      <x:c r="N61" s="80" t="str">
        <x:v>Later US source; validate on ZVW30 before firmware use</x:v>
      </x:c>
    </x:row>
    <x:row r="62">
      <x:c r="A62" s="78" t="str">
        <x:v>FR Speed Open (Normal=0,Error=1)</x:v>
      </x:c>
      <x:c r="B62" s="79" t="str">
        <x:v>FRS Open</x:v>
      </x:c>
      <x:c r="C62" s="79" t="str">
        <x:v>21BE</x:v>
      </x:c>
      <x:c r="D62" s="79" t="str">
        <x:v>{A:7}</x:v>
      </x:c>
      <x:c r="E62" s="79" t="n">
        <x:v>0</x:v>
      </x:c>
      <x:c r="F62" s="79" t="n">
        <x:v>1</x:v>
      </x:c>
      <x:c r="G62" s="79" t="str">
        <x:v>Off/On</x:v>
      </x:c>
      <x:c r="H62" s="79" t="str">
        <x:v>7B0</x:v>
      </x:c>
      <x:c r="I62" s="79" t="str">
        <x:v>PRIUS_GEN3 / ZVW30</x:v>
      </x:c>
      <x:c r="J62" s="79" t="str">
        <x:v>ZVW30 Custom PIDs for Torque (Android App) 12Nov12.xlsx - US</x:v>
      </x:c>
      <x:c r="K62" s="79" t="str">
        <x:v>2012-11-12</x:v>
      </x:c>
      <x:c r="L62" s="79" t="str">
        <x:v>READ-ONLY DIAGNOSTIC CANDIDATE</x:v>
      </x:c>
      <x:c r="M62" s="79" t="str">
        <x:v>CANDIDATE</x:v>
      </x:c>
      <x:c r="N62" s="80" t="str">
        <x:v>Later US source; validate on ZVW30 before firmware use</x:v>
      </x:c>
    </x:row>
    <x:row r="63">
      <x:c r="A63" s="78" t="str">
        <x:v>FL Speed Open (Normal=0,Error=1)</x:v>
      </x:c>
      <x:c r="B63" s="79" t="str">
        <x:v>FLS Open</x:v>
      </x:c>
      <x:c r="C63" s="79" t="str">
        <x:v>21BE</x:v>
      </x:c>
      <x:c r="D63" s="79" t="str">
        <x:v>{A:6}</x:v>
      </x:c>
      <x:c r="E63" s="79" t="n">
        <x:v>0</x:v>
      </x:c>
      <x:c r="F63" s="79" t="n">
        <x:v>1</x:v>
      </x:c>
      <x:c r="G63" s="79" t="str">
        <x:v>Off/On</x:v>
      </x:c>
      <x:c r="H63" s="79" t="str">
        <x:v>7B0</x:v>
      </x:c>
      <x:c r="I63" s="79" t="str">
        <x:v>PRIUS_GEN3 / ZVW30</x:v>
      </x:c>
      <x:c r="J63" s="79" t="str">
        <x:v>ZVW30 Custom PIDs for Torque (Android App) 12Nov12.xlsx - US</x:v>
      </x:c>
      <x:c r="K63" s="79" t="str">
        <x:v>2012-11-12</x:v>
      </x:c>
      <x:c r="L63" s="79" t="str">
        <x:v>READ-ONLY DIAGNOSTIC CANDIDATE</x:v>
      </x:c>
      <x:c r="M63" s="79" t="str">
        <x:v>CANDIDATE</x:v>
      </x:c>
      <x:c r="N63" s="80" t="str">
        <x:v>Later US source; validate on ZVW30 before firmware use</x:v>
      </x:c>
    </x:row>
    <x:row r="64">
      <x:c r="A64" s="78" t="str">
        <x:v>RR Speed Open (Normal=0,Error=1)</x:v>
      </x:c>
      <x:c r="B64" s="79" t="str">
        <x:v>RRS Open</x:v>
      </x:c>
      <x:c r="C64" s="79" t="str">
        <x:v>21BE</x:v>
      </x:c>
      <x:c r="D64" s="79" t="str">
        <x:v>{A:5}</x:v>
      </x:c>
      <x:c r="E64" s="79" t="n">
        <x:v>0</x:v>
      </x:c>
      <x:c r="F64" s="79" t="n">
        <x:v>1</x:v>
      </x:c>
      <x:c r="G64" s="79" t="str">
        <x:v>Off/On</x:v>
      </x:c>
      <x:c r="H64" s="79" t="str">
        <x:v>7B0</x:v>
      </x:c>
      <x:c r="I64" s="79" t="str">
        <x:v>PRIUS_GEN3 / ZVW30</x:v>
      </x:c>
      <x:c r="J64" s="79" t="str">
        <x:v>ZVW30 Custom PIDs for Torque (Android App) 12Nov12.xlsx - US</x:v>
      </x:c>
      <x:c r="K64" s="79" t="str">
        <x:v>2012-11-12</x:v>
      </x:c>
      <x:c r="L64" s="79" t="str">
        <x:v>READ-ONLY DIAGNOSTIC CANDIDATE</x:v>
      </x:c>
      <x:c r="M64" s="79" t="str">
        <x:v>CANDIDATE</x:v>
      </x:c>
      <x:c r="N64" s="80" t="str">
        <x:v>Later US source; validate on ZVW30 before firmware use</x:v>
      </x:c>
    </x:row>
    <x:row r="65">
      <x:c r="A65" s="78" t="str">
        <x:v>RL Speed Open (Normal=0,Error=1)</x:v>
      </x:c>
      <x:c r="B65" s="79" t="str">
        <x:v>RLS Open</x:v>
      </x:c>
      <x:c r="C65" s="79" t="str">
        <x:v>21BE</x:v>
      </x:c>
      <x:c r="D65" s="79" t="str">
        <x:v>{A:4}</x:v>
      </x:c>
      <x:c r="E65" s="79" t="n">
        <x:v>0</x:v>
      </x:c>
      <x:c r="F65" s="79" t="n">
        <x:v>1</x:v>
      </x:c>
      <x:c r="G65" s="79" t="str">
        <x:v>Off/On</x:v>
      </x:c>
      <x:c r="H65" s="79" t="str">
        <x:v>7B0</x:v>
      </x:c>
      <x:c r="I65" s="79" t="str">
        <x:v>PRIUS_GEN3 / ZVW30</x:v>
      </x:c>
      <x:c r="J65" s="79" t="str">
        <x:v>ZVW30 Custom PIDs for Torque (Android App) 12Nov12.xlsx - US</x:v>
      </x:c>
      <x:c r="K65" s="79" t="str">
        <x:v>2012-11-12</x:v>
      </x:c>
      <x:c r="L65" s="79" t="str">
        <x:v>READ-ONLY DIAGNOSTIC CANDIDATE</x:v>
      </x:c>
      <x:c r="M65" s="79" t="str">
        <x:v>CANDIDATE</x:v>
      </x:c>
      <x:c r="N65" s="80" t="str">
        <x:v>Later US source; validate on ZVW30 before firmware use</x:v>
      </x:c>
    </x:row>
    <x:row r="66">
      <x:c r="A66" s="78" t="str">
        <x:v>Yaw Rate Open (Normal=0,Error=1)</x:v>
      </x:c>
      <x:c r="B66" s="79" t="str">
        <x:v>YR Open</x:v>
      </x:c>
      <x:c r="C66" s="79" t="str">
        <x:v>21BE</x:v>
      </x:c>
      <x:c r="D66" s="79" t="str">
        <x:v>{A:2}</x:v>
      </x:c>
      <x:c r="E66" s="79" t="n">
        <x:v>0</x:v>
      </x:c>
      <x:c r="F66" s="79" t="n">
        <x:v>1</x:v>
      </x:c>
      <x:c r="G66" s="79" t="str">
        <x:v>Off/On</x:v>
      </x:c>
      <x:c r="H66" s="79" t="str">
        <x:v>7B0</x:v>
      </x:c>
      <x:c r="I66" s="79" t="str">
        <x:v>PRIUS_GEN3 / ZVW30</x:v>
      </x:c>
      <x:c r="J66" s="79" t="str">
        <x:v>ZVW30 Custom PIDs for Torque (Android App) 12Nov12.xlsx - US</x:v>
      </x:c>
      <x:c r="K66" s="79" t="str">
        <x:v>2012-11-12</x:v>
      </x:c>
      <x:c r="L66" s="79" t="str">
        <x:v>READ-ONLY DIAGNOSTIC CANDIDATE</x:v>
      </x:c>
      <x:c r="M66" s="79" t="str">
        <x:v>CANDIDATE</x:v>
      </x:c>
      <x:c r="N66" s="80" t="str">
        <x:v>Later US source; validate on ZVW30 before firmware use</x:v>
      </x:c>
    </x:row>
    <x:row r="67">
      <x:c r="A67" s="78" t="str">
        <x:v>Deceleration Open (Normal=0,Error=1)</x:v>
      </x:c>
      <x:c r="B67" s="79" t="str">
        <x:v>Decel Open</x:v>
      </x:c>
      <x:c r="C67" s="79" t="str">
        <x:v>21BE</x:v>
      </x:c>
      <x:c r="D67" s="79" t="str">
        <x:v>{A:1}</x:v>
      </x:c>
      <x:c r="E67" s="79" t="n">
        <x:v>0</x:v>
      </x:c>
      <x:c r="F67" s="79" t="n">
        <x:v>1</x:v>
      </x:c>
      <x:c r="G67" s="79" t="str">
        <x:v>Off/On</x:v>
      </x:c>
      <x:c r="H67" s="79" t="str">
        <x:v>7B0</x:v>
      </x:c>
      <x:c r="I67" s="79" t="str">
        <x:v>PRIUS_GEN3 / ZVW30</x:v>
      </x:c>
      <x:c r="J67" s="79" t="str">
        <x:v>ZVW30 Custom PIDs for Torque (Android App) 12Nov12.xlsx - US</x:v>
      </x:c>
      <x:c r="K67" s="79" t="str">
        <x:v>2012-11-12</x:v>
      </x:c>
      <x:c r="L67" s="79" t="str">
        <x:v>READ-ONLY DIAGNOSTIC CANDIDATE</x:v>
      </x:c>
      <x:c r="M67" s="79" t="str">
        <x:v>CANDIDATE</x:v>
      </x:c>
      <x:c r="N67" s="80" t="str">
        <x:v>Later US source; validate on ZVW30 before firmware use</x:v>
      </x:c>
    </x:row>
    <x:row r="68">
      <x:c r="A68" s="78" t="str">
        <x:v>Steering Open (Normal=0,Error=1)</x:v>
      </x:c>
      <x:c r="B68" s="79" t="str">
        <x:v>Steer Open</x:v>
      </x:c>
      <x:c r="C68" s="79" t="str">
        <x:v>21BE</x:v>
      </x:c>
      <x:c r="D68" s="79" t="str">
        <x:v>{A:0}</x:v>
      </x:c>
      <x:c r="E68" s="79" t="n">
        <x:v>0</x:v>
      </x:c>
      <x:c r="F68" s="79" t="n">
        <x:v>1</x:v>
      </x:c>
      <x:c r="G68" s="79" t="str">
        <x:v>Off/On</x:v>
      </x:c>
      <x:c r="H68" s="79" t="str">
        <x:v>7B0</x:v>
      </x:c>
      <x:c r="I68" s="79" t="str">
        <x:v>PRIUS_GEN3 / ZVW30</x:v>
      </x:c>
      <x:c r="J68" s="79" t="str">
        <x:v>ZVW30 Custom PIDs for Torque (Android App) 12Nov12.xlsx - US</x:v>
      </x:c>
      <x:c r="K68" s="79" t="str">
        <x:v>2012-11-12</x:v>
      </x:c>
      <x:c r="L68" s="79" t="str">
        <x:v>READ-ONLY DIAGNOSTIC CANDIDATE</x:v>
      </x:c>
      <x:c r="M68" s="79" t="str">
        <x:v>CANDIDATE</x:v>
      </x:c>
      <x:c r="N68" s="80" t="str">
        <x:v>Later US source; validate on ZVW30 before firmware use</x:v>
      </x:c>
    </x:row>
    <x:row r="69">
      <x:c r="A69" s="78" t="str">
        <x:v>Master Cylinder Open (Normal=0,Error=1)</x:v>
      </x:c>
      <x:c r="B69" s="79" t="str">
        <x:v>MC Open</x:v>
      </x:c>
      <x:c r="C69" s="79" t="str">
        <x:v>21BE</x:v>
      </x:c>
      <x:c r="D69" s="79" t="str">
        <x:v>{B:7}</x:v>
      </x:c>
      <x:c r="E69" s="79" t="n">
        <x:v>0</x:v>
      </x:c>
      <x:c r="F69" s="79" t="n">
        <x:v>1</x:v>
      </x:c>
      <x:c r="G69" s="79" t="str">
        <x:v>Off/On</x:v>
      </x:c>
      <x:c r="H69" s="79" t="str">
        <x:v>7B0</x:v>
      </x:c>
      <x:c r="I69" s="79" t="str">
        <x:v>PRIUS_GEN3 / ZVW30</x:v>
      </x:c>
      <x:c r="J69" s="79" t="str">
        <x:v>ZVW30 Custom PIDs for Torque (Android App) 12Nov12.xlsx - US</x:v>
      </x:c>
      <x:c r="K69" s="79" t="str">
        <x:v>2012-11-12</x:v>
      </x:c>
      <x:c r="L69" s="79" t="str">
        <x:v>READ-ONLY DIAGNOSTIC CANDIDATE</x:v>
      </x:c>
      <x:c r="M69" s="79" t="str">
        <x:v>CANDIDATE</x:v>
      </x:c>
      <x:c r="N69" s="80" t="str">
        <x:v>Later US source; validate on ZVW30 before firmware use</x:v>
      </x:c>
    </x:row>
    <x:row r="70">
      <x:c r="A70" s="78" t="str">
        <x:v>Stroke Open (Normal=0,Error=1)</x:v>
      </x:c>
      <x:c r="B70" s="79" t="str">
        <x:v>Stroke Open</x:v>
      </x:c>
      <x:c r="C70" s="79" t="str">
        <x:v>21BE</x:v>
      </x:c>
      <x:c r="D70" s="79" t="str">
        <x:v>{B:5}</x:v>
      </x:c>
      <x:c r="E70" s="79" t="n">
        <x:v>0</x:v>
      </x:c>
      <x:c r="F70" s="79" t="n">
        <x:v>1</x:v>
      </x:c>
      <x:c r="G70" s="79" t="str">
        <x:v>Off/On</x:v>
      </x:c>
      <x:c r="H70" s="79" t="str">
        <x:v>7B0</x:v>
      </x:c>
      <x:c r="I70" s="79" t="str">
        <x:v>PRIUS_GEN3 / ZVW30</x:v>
      </x:c>
      <x:c r="J70" s="79" t="str">
        <x:v>ZVW30 Custom PIDs for Torque (Android App) 12Nov12.xlsx - US</x:v>
      </x:c>
      <x:c r="K70" s="79" t="str">
        <x:v>2012-11-12</x:v>
      </x:c>
      <x:c r="L70" s="79" t="str">
        <x:v>READ-ONLY DIAGNOSTIC CANDIDATE</x:v>
      </x:c>
      <x:c r="M70" s="79" t="str">
        <x:v>CANDIDATE</x:v>
      </x:c>
      <x:c r="N70" s="80" t="str">
        <x:v>Later US source; validate on ZVW30 before firmware use</x:v>
      </x:c>
    </x:row>
    <x:row r="71">
      <x:c r="A71" s="78" t="str">
        <x:v>FR Wheel Cylinder Open (Normal=0,Error=1)</x:v>
      </x:c>
      <x:c r="B71" s="79" t="str">
        <x:v>FRWC Open</x:v>
      </x:c>
      <x:c r="C71" s="79" t="str">
        <x:v>21BE</x:v>
      </x:c>
      <x:c r="D71" s="79" t="str">
        <x:v>{B:3}</x:v>
      </x:c>
      <x:c r="E71" s="79" t="n">
        <x:v>0</x:v>
      </x:c>
      <x:c r="F71" s="79" t="n">
        <x:v>1</x:v>
      </x:c>
      <x:c r="G71" s="79" t="str">
        <x:v>Off/On</x:v>
      </x:c>
      <x:c r="H71" s="79" t="str">
        <x:v>7B0</x:v>
      </x:c>
      <x:c r="I71" s="79" t="str">
        <x:v>PRIUS_GEN3 / ZVW30</x:v>
      </x:c>
      <x:c r="J71" s="79" t="str">
        <x:v>ZVW30 Custom PIDs for Torque (Android App) 12Nov12.xlsx - US</x:v>
      </x:c>
      <x:c r="K71" s="79" t="str">
        <x:v>2012-11-12</x:v>
      </x:c>
      <x:c r="L71" s="79" t="str">
        <x:v>READ-ONLY DIAGNOSTIC CANDIDATE</x:v>
      </x:c>
      <x:c r="M71" s="79" t="str">
        <x:v>CANDIDATE</x:v>
      </x:c>
      <x:c r="N71" s="80" t="str">
        <x:v>Later US source; validate on ZVW30 before firmware use</x:v>
      </x:c>
    </x:row>
    <x:row r="72">
      <x:c r="A72" s="78" t="str">
        <x:v>Accumulator Open (Normal=0,Error=1)</x:v>
      </x:c>
      <x:c r="B72" s="79" t="str">
        <x:v>Acc Open</x:v>
      </x:c>
      <x:c r="C72" s="79" t="str">
        <x:v>21BE</x:v>
      </x:c>
      <x:c r="D72" s="79" t="str">
        <x:v>{C:7}</x:v>
      </x:c>
      <x:c r="E72" s="79" t="n">
        <x:v>0</x:v>
      </x:c>
      <x:c r="F72" s="79" t="n">
        <x:v>1</x:v>
      </x:c>
      <x:c r="G72" s="79" t="str">
        <x:v>Off/On</x:v>
      </x:c>
      <x:c r="H72" s="79" t="str">
        <x:v>7B0</x:v>
      </x:c>
      <x:c r="I72" s="79" t="str">
        <x:v>PRIUS_GEN3 / ZVW30</x:v>
      </x:c>
      <x:c r="J72" s="79" t="str">
        <x:v>ZVW30 Custom PIDs for Torque (Android App) 12Nov12.xlsx - US</x:v>
      </x:c>
      <x:c r="K72" s="79" t="str">
        <x:v>2012-11-12</x:v>
      </x:c>
      <x:c r="L72" s="79" t="str">
        <x:v>READ-ONLY DIAGNOSTIC CANDIDATE</x:v>
      </x:c>
      <x:c r="M72" s="79" t="str">
        <x:v>CANDIDATE</x:v>
      </x:c>
      <x:c r="N72" s="80" t="str">
        <x:v>Later US source; validate on ZVW30 before firmware use</x:v>
      </x:c>
    </x:row>
    <x:row r="73">
      <x:c r="A73" s="78" t="str">
        <x:v>HV Communication Open (Normal=0,Error=1)</x:v>
      </x:c>
      <x:c r="B73" s="79" t="str">
        <x:v>HVC Open</x:v>
      </x:c>
      <x:c r="C73" s="79" t="str">
        <x:v>21BE</x:v>
      </x:c>
      <x:c r="D73" s="79" t="str">
        <x:v>{C:6}</x:v>
      </x:c>
      <x:c r="E73" s="79" t="n">
        <x:v>0</x:v>
      </x:c>
      <x:c r="F73" s="79" t="n">
        <x:v>1</x:v>
      </x:c>
      <x:c r="G73" s="79" t="str">
        <x:v>Off/On</x:v>
      </x:c>
      <x:c r="H73" s="79" t="str">
        <x:v>7B0</x:v>
      </x:c>
      <x:c r="I73" s="79" t="str">
        <x:v>PRIUS_GEN3 / ZVW30</x:v>
      </x:c>
      <x:c r="J73" s="79" t="str">
        <x:v>ZVW30 Custom PIDs for Torque (Android App) 12Nov12.xlsx - US</x:v>
      </x:c>
      <x:c r="K73" s="79" t="str">
        <x:v>2012-11-12</x:v>
      </x:c>
      <x:c r="L73" s="79" t="str">
        <x:v>READ-ONLY DIAGNOSTIC CANDIDATE</x:v>
      </x:c>
      <x:c r="M73" s="79" t="str">
        <x:v>CANDIDATE</x:v>
      </x:c>
      <x:c r="N73" s="80" t="str">
        <x:v>Later US source; validate on ZVW30 before firmware use</x:v>
      </x:c>
    </x:row>
    <x:row r="74">
      <x:c r="A74" s="78" t="str">
        <x:v>Tail Cancel SW</x:v>
      </x:c>
      <x:c r="B74" s="79" t="str">
        <x:v>Tail Cancel</x:v>
      </x:c>
      <x:c r="C74" s="79" t="str">
        <x:v>2112</x:v>
      </x:c>
      <x:c r="D74" s="79" t="str">
        <x:v>{A:5}</x:v>
      </x:c>
      <x:c r="E74" s="79" t="n">
        <x:v>0</x:v>
      </x:c>
      <x:c r="F74" s="79" t="n">
        <x:v>1</x:v>
      </x:c>
      <x:c r="G74" s="79" t="str">
        <x:v>Off/On</x:v>
      </x:c>
      <x:c r="H74" s="79" t="str">
        <x:v>7C0</x:v>
      </x:c>
      <x:c r="I74" s="79" t="str">
        <x:v>PRIUS_GEN3 / ZVW30</x:v>
      </x:c>
      <x:c r="J74" s="79" t="str">
        <x:v>ZVW30 Custom PIDs for Torque (Android App) 12Nov12.xlsx - US</x:v>
      </x:c>
      <x:c r="K74" s="79" t="str">
        <x:v>2012-11-12</x:v>
      </x:c>
      <x:c r="L74" s="79" t="str">
        <x:v>READ-ONLY DIAGNOSTIC CANDIDATE</x:v>
      </x:c>
      <x:c r="M74" s="79" t="str">
        <x:v>CANDIDATE</x:v>
      </x:c>
      <x:c r="N74" s="80" t="str">
        <x:v>Later US source; validate on ZVW30 before firmware use</x:v>
      </x:c>
    </x:row>
    <x:row r="75">
      <x:c r="A75" s="78" t="str">
        <x:v>P-Seatbelt Buckle SW</x:v>
      </x:c>
      <x:c r="B75" s="79" t="str">
        <x:v>P-Seatbelt</x:v>
      </x:c>
      <x:c r="C75" s="79" t="str">
        <x:v>2112</x:v>
      </x:c>
      <x:c r="D75" s="79" t="str">
        <x:v>{B:7}</x:v>
      </x:c>
      <x:c r="E75" s="79" t="n">
        <x:v>0</x:v>
      </x:c>
      <x:c r="F75" s="79" t="n">
        <x:v>1</x:v>
      </x:c>
      <x:c r="G75" s="79" t="str">
        <x:v>Off/On</x:v>
      </x:c>
      <x:c r="H75" s="79" t="str">
        <x:v>7C0</x:v>
      </x:c>
      <x:c r="I75" s="79" t="str">
        <x:v>PRIUS_GEN3 / ZVW30</x:v>
      </x:c>
      <x:c r="J75" s="79" t="str">
        <x:v>ZVW30 Custom PIDs for Torque (Android App) 12Nov12.xlsx - US</x:v>
      </x:c>
      <x:c r="K75" s="79" t="str">
        <x:v>2012-11-12</x:v>
      </x:c>
      <x:c r="L75" s="79" t="str">
        <x:v>READ-ONLY DIAGNOSTIC CANDIDATE</x:v>
      </x:c>
      <x:c r="M75" s="79" t="str">
        <x:v>CANDIDATE</x:v>
      </x:c>
      <x:c r="N75" s="80" t="str">
        <x:v>Later US source; validate on ZVW30 before firmware use</x:v>
      </x:c>
    </x:row>
    <x:row r="76">
      <x:c r="A76" s="78" t="str">
        <x:v>Check Engine SW</x:v>
      </x:c>
      <x:c r="B76" s="79" t="str">
        <x:v>Pwr SW</x:v>
      </x:c>
      <x:c r="C76" s="79" t="str">
        <x:v>2112</x:v>
      </x:c>
      <x:c r="D76" s="79" t="str">
        <x:v>{B:0}</x:v>
      </x:c>
      <x:c r="E76" s="79" t="n">
        <x:v>0</x:v>
      </x:c>
      <x:c r="F76" s="79" t="n">
        <x:v>1</x:v>
      </x:c>
      <x:c r="G76" s="79" t="str">
        <x:v>Off/On</x:v>
      </x:c>
      <x:c r="H76" s="79" t="str">
        <x:v>7C0</x:v>
      </x:c>
      <x:c r="I76" s="79" t="str">
        <x:v>PRIUS_GEN3 / ZVW30</x:v>
      </x:c>
      <x:c r="J76" s="79" t="str">
        <x:v>ZVW30 Custom PIDs for Torque (Android App) 12Nov12.xlsx - US</x:v>
      </x:c>
      <x:c r="K76" s="79" t="str">
        <x:v>2012-11-12</x:v>
      </x:c>
      <x:c r="L76" s="79" t="str">
        <x:v>READ-ONLY DIAGNOSTIC CANDIDATE</x:v>
      </x:c>
      <x:c r="M76" s="79" t="str">
        <x:v>CANDIDATE</x:v>
      </x:c>
      <x:c r="N76" s="80" t="str">
        <x:v>Later US source; validate on ZVW30 before firmware use</x:v>
      </x:c>
    </x:row>
    <x:row r="77">
      <x:c r="A77" s="78" t="str">
        <x:v>Oil Pressure Switch</x:v>
      </x:c>
      <x:c r="B77" s="79" t="str">
        <x:v>Oil Pres</x:v>
      </x:c>
      <x:c r="C77" s="79" t="str">
        <x:v>2112</x:v>
      </x:c>
      <x:c r="D77" s="79" t="str">
        <x:v>{E:4}</x:v>
      </x:c>
      <x:c r="E77" s="79" t="n">
        <x:v>0</x:v>
      </x:c>
      <x:c r="F77" s="79" t="n">
        <x:v>1</x:v>
      </x:c>
      <x:c r="G77" s="79" t="str">
        <x:v>Off/On</x:v>
      </x:c>
      <x:c r="H77" s="79" t="str">
        <x:v>7C0</x:v>
      </x:c>
      <x:c r="I77" s="79" t="str">
        <x:v>PRIUS_GEN3 / ZVW30</x:v>
      </x:c>
      <x:c r="J77" s="79" t="str">
        <x:v>ZVW30 Custom PIDs for Torque (Android App) 12Nov12.xlsx - US</x:v>
      </x:c>
      <x:c r="K77" s="79" t="str">
        <x:v>2012-11-12</x:v>
      </x:c>
      <x:c r="L77" s="79" t="str">
        <x:v>READ-ONLY DIAGNOSTIC CANDIDATE</x:v>
      </x:c>
      <x:c r="M77" s="79" t="str">
        <x:v>CANDIDATE</x:v>
      </x:c>
      <x:c r="N77" s="80" t="str">
        <x:v>Later US source; validate on ZVW30 before firmware use</x:v>
      </x:c>
    </x:row>
    <x:row r="78">
      <x:c r="A78" s="78" t="str">
        <x:v>+B Voltage Value</x:v>
      </x:c>
      <x:c r="B78" s="79" t="str">
        <x:v>Aux B Volt</x:v>
      </x:c>
      <x:c r="C78" s="79" t="str">
        <x:v>2113</x:v>
      </x:c>
      <x:c r="D78" s="79" t="str">
        <x:v>A / 10</x:v>
      </x:c>
      <x:c r="E78" s="79" t="n">
        <x:v>0</x:v>
      </x:c>
      <x:c r="F78" s="79" t="n">
        <x:v>20</x:v>
      </x:c>
      <x:c r="G78" s="79" t="str">
        <x:v>V</x:v>
      </x:c>
      <x:c r="H78" s="79" t="str">
        <x:v>7C0</x:v>
      </x:c>
      <x:c r="I78" s="79" t="str">
        <x:v>PRIUS_GEN3 / ZVW30</x:v>
      </x:c>
      <x:c r="J78" s="79" t="str">
        <x:v>ZVW30 Custom PIDs for Torque (Android App) 12Nov12.xlsx - US</x:v>
      </x:c>
      <x:c r="K78" s="79" t="str">
        <x:v>2012-11-12</x:v>
      </x:c>
      <x:c r="L78" s="79" t="str">
        <x:v>READ-ONLY DIAGNOSTIC CANDIDATE</x:v>
      </x:c>
      <x:c r="M78" s="79" t="str">
        <x:v>CANDIDATE</x:v>
      </x:c>
      <x:c r="N78" s="80" t="str">
        <x:v>Later US source; validate on ZVW30 before firmware use</x:v>
      </x:c>
    </x:row>
    <x:row r="79">
      <x:c r="A79" s="78" t="str">
        <x:v>Vehicle Speed Meter_7C0</x:v>
      </x:c>
      <x:c r="B79" s="79" t="str">
        <x:v>MPH_7C0</x:v>
      </x:c>
      <x:c r="C79" s="79" t="str">
        <x:v>2121</x:v>
      </x:c>
      <x:c r="D79" s="79" t="str">
        <x:v>A * 15625 / 25146</x:v>
      </x:c>
      <x:c r="E79" s="79" t="n">
        <x:v>0</x:v>
      </x:c>
      <x:c r="F79" s="79" t="n">
        <x:v>124</x:v>
      </x:c>
      <x:c r="G79" s="79" t="str">
        <x:v>mph</x:v>
      </x:c>
      <x:c r="H79" s="79" t="str">
        <x:v>7C0</x:v>
      </x:c>
      <x:c r="I79" s="79" t="str">
        <x:v>PRIUS_GEN3 / ZVW30</x:v>
      </x:c>
      <x:c r="J79" s="79" t="str">
        <x:v>ZVW30 Custom PIDs for Torque (Android App) 12Nov12.xlsx - US</x:v>
      </x:c>
      <x:c r="K79" s="79" t="str">
        <x:v>2012-11-12</x:v>
      </x:c>
      <x:c r="L79" s="79" t="str">
        <x:v>READ-ONLY DIAGNOSTIC CANDIDATE</x:v>
      </x:c>
      <x:c r="M79" s="79" t="str">
        <x:v>CANDIDATE</x:v>
      </x:c>
      <x:c r="N79" s="80" t="str">
        <x:v>Later US source; validate on ZVW30 before firmware use</x:v>
      </x:c>
    </x:row>
    <x:row r="80">
      <x:c r="A80" s="78" t="str">
        <x:v>Coolant Temperature_7C0</x:v>
      </x:c>
      <x:c r="B80" s="79" t="str">
        <x:v>Coolant_7C0</x:v>
      </x:c>
      <x:c r="C80" s="79" t="str">
        <x:v>2123</x:v>
      </x:c>
      <x:c r="D80" s="79" t="str">
        <x:v>A * 9 / 10 + 32</x:v>
      </x:c>
      <x:c r="E80" s="79" t="n">
        <x:v>32</x:v>
      </x:c>
      <x:c r="F80" s="79" t="n">
        <x:v>261.5</x:v>
      </x:c>
      <x:c r="G80" s="79" t="str">
        <x:v>F</x:v>
      </x:c>
      <x:c r="H80" s="79" t="str">
        <x:v>7C0</x:v>
      </x:c>
      <x:c r="I80" s="79" t="str">
        <x:v>PRIUS_GEN3 / ZVW30</x:v>
      </x:c>
      <x:c r="J80" s="79" t="str">
        <x:v>ZVW30 Custom PIDs for Torque (Android App) 12Nov12.xlsx - US</x:v>
      </x:c>
      <x:c r="K80" s="79" t="str">
        <x:v>2012-11-12</x:v>
      </x:c>
      <x:c r="L80" s="79" t="str">
        <x:v>READ-ONLY DIAGNOSTIC CANDIDATE</x:v>
      </x:c>
      <x:c r="M80" s="79" t="str">
        <x:v>CANDIDATE</x:v>
      </x:c>
      <x:c r="N80" s="80" t="str">
        <x:v>Later US source; validate on ZVW30 before firmware use</x:v>
      </x:c>
    </x:row>
    <x:row r="81">
      <x:c r="A81" s="78" t="str">
        <x:v>Fuel Input</x:v>
      </x:c>
      <x:c r="B81" s="79" t="str">
        <x:v>Fuel Level</x:v>
      </x:c>
      <x:c r="C81" s="79" t="str">
        <x:v>2129</x:v>
      </x:c>
      <x:c r="D81" s="79" t="str">
        <x:v>A * 500 / 3785</x:v>
      </x:c>
      <x:c r="E81" s="79" t="n">
        <x:v>0</x:v>
      </x:c>
      <x:c r="F81" s="79" t="n">
        <x:v>13</x:v>
      </x:c>
      <x:c r="G81" s="79" t="str">
        <x:v>US Gallons</x:v>
      </x:c>
      <x:c r="H81" s="79" t="str">
        <x:v>7C0</x:v>
      </x:c>
      <x:c r="I81" s="79" t="str">
        <x:v>PRIUS_GEN3 / ZVW30</x:v>
      </x:c>
      <x:c r="J81" s="79" t="str">
        <x:v>ZVW30 Custom PIDs for Torque (Android App) 12Nov12.xlsx - US</x:v>
      </x:c>
      <x:c r="K81" s="79" t="str">
        <x:v>2012-11-12</x:v>
      </x:c>
      <x:c r="L81" s="79" t="str">
        <x:v>READ-ONLY DIAGNOSTIC CANDIDATE</x:v>
      </x:c>
      <x:c r="M81" s="79" t="str">
        <x:v>CANDIDATE</x:v>
      </x:c>
      <x:c r="N81" s="80" t="str">
        <x:v>Later US source; validate on ZVW30 before firmware use</x:v>
      </x:c>
    </x:row>
    <x:row r="82">
      <x:c r="A82" s="78" t="str">
        <x:v>Distance Since Oil Change for U.S.A. (reset)</x:v>
      </x:c>
      <x:c r="B82" s="79" t="str">
        <x:v>Oil Chg Dist</x:v>
      </x:c>
      <x:c r="C82" s="79" t="str">
        <x:v>2141</x:v>
      </x:c>
      <x:c r="D82" s="79" t="str">
        <x:v>A * 100</x:v>
      </x:c>
      <x:c r="E82" s="79" t="n">
        <x:v>0</x:v>
      </x:c>
      <x:c r="F82" s="79" t="n">
        <x:v>25500</x:v>
      </x:c>
      <x:c r="G82" s="79" t="str">
        <x:v>mile</x:v>
      </x:c>
      <x:c r="H82" s="79" t="str">
        <x:v>7C0</x:v>
      </x:c>
      <x:c r="I82" s="79" t="str">
        <x:v>PRIUS_GEN3 / ZVW30</x:v>
      </x:c>
      <x:c r="J82" s="79" t="str">
        <x:v>ZVW30 Custom PIDs for Torque (Android App) 12Nov12.xlsx - US</x:v>
      </x:c>
      <x:c r="K82" s="79" t="str">
        <x:v>2012-11-12</x:v>
      </x:c>
      <x:c r="L82" s="79" t="str">
        <x:v>READ-ONLY DIAGNOSTIC CANDIDATE</x:v>
      </x:c>
      <x:c r="M82" s="79" t="str">
        <x:v>CANDIDATE</x:v>
      </x:c>
      <x:c r="N82" s="80" t="str">
        <x:v>Later US source; validate on ZVW30 before firmware use</x:v>
      </x:c>
    </x:row>
    <x:row r="83">
      <x:c r="A83" s="78" t="str">
        <x:v>Rheostat value (dark=0,bright=255)</x:v>
      </x:c>
      <x:c r="B83" s="79" t="str">
        <x:v>Rheostat</x:v>
      </x:c>
      <x:c r="C83" s="79" t="str">
        <x:v>2168</x:v>
      </x:c>
      <x:c r="D83" s="79" t="str">
        <x:v>A</x:v>
      </x:c>
      <x:c r="E83" s="79" t="n">
        <x:v>0</x:v>
      </x:c>
      <x:c r="F83" s="79" t="n">
        <x:v>255</x:v>
      </x:c>
      <x:c r="G83" s="79"/>
      <x:c r="H83" s="79" t="str">
        <x:v>7C0</x:v>
      </x:c>
      <x:c r="I83" s="79" t="str">
        <x:v>PRIUS_GEN3 / ZVW30</x:v>
      </x:c>
      <x:c r="J83" s="79" t="str">
        <x:v>ZVW30 Custom PIDs for Torque (Android App) 12Nov12.xlsx - US</x:v>
      </x:c>
      <x:c r="K83" s="79" t="str">
        <x:v>2012-11-12</x:v>
      </x:c>
      <x:c r="L83" s="79" t="str">
        <x:v>READ-ONLY DIAGNOSTIC CANDIDATE</x:v>
      </x:c>
      <x:c r="M83" s="79" t="str">
        <x:v>CANDIDATE</x:v>
      </x:c>
      <x:c r="N83" s="80" t="str">
        <x:v>Later US source; validate on ZVW30 before firmware use</x:v>
      </x:c>
    </x:row>
    <x:row r="84">
      <x:c r="A84" s="78" t="str">
        <x:v>Key Remind Sound (buzzer/Normal, Fast, Slow)</x:v>
      </x:c>
      <x:c r="B84" s="79" t="str">
        <x:v>KeyBuz</x:v>
      </x:c>
      <x:c r="C84" s="79" t="str">
        <x:v>21A1</x:v>
      </x:c>
      <x:c r="D84" s="79" t="str">
        <x:v>A</x:v>
      </x:c>
      <x:c r="E84" s="79" t="n">
        <x:v>0</x:v>
      </x:c>
      <x:c r="F84" s="79" t="n">
        <x:v>255</x:v>
      </x:c>
      <x:c r="G84" s="79"/>
      <x:c r="H84" s="79" t="str">
        <x:v>7C0</x:v>
      </x:c>
      <x:c r="I84" s="79" t="str">
        <x:v>PRIUS_GEN3 / ZVW30</x:v>
      </x:c>
      <x:c r="J84" s="79" t="str">
        <x:v>ZVW30 Custom PIDs for Torque (Android App) 12Nov12.xlsx - US</x:v>
      </x:c>
      <x:c r="K84" s="79" t="str">
        <x:v>2012-11-12</x:v>
      </x:c>
      <x:c r="L84" s="79" t="str">
        <x:v>READ-ONLY DIAGNOSTIC CANDIDATE</x:v>
      </x:c>
      <x:c r="M84" s="79" t="str">
        <x:v>CANDIDATE</x:v>
      </x:c>
      <x:c r="N84" s="80" t="str">
        <x:v>Later US source; validate on ZVW30 before firmware use</x:v>
      </x:c>
    </x:row>
    <x:row r="85">
      <x:c r="A85" s="78" t="str">
        <x:v>Seat Belt Beep Query (Dis A=0,Ena R=32,Ena P=64,Dis D=96,Ena D=128,Dis P=160,192=Dis R,Ena A=160)</x:v>
      </x:c>
      <x:c r="B85" s="79" t="str">
        <x:v>SBB Query</x:v>
      </x:c>
      <x:c r="C85" s="79" t="str">
        <x:v>21A7</x:v>
      </x:c>
      <x:c r="D85" s="79" t="str">
        <x:v>A</x:v>
      </x:c>
      <x:c r="E85" s="79" t="n">
        <x:v>0</x:v>
      </x:c>
      <x:c r="F85" s="79" t="n">
        <x:v>192</x:v>
      </x:c>
      <x:c r="G85" s="79"/>
      <x:c r="H85" s="79" t="str">
        <x:v>7C0</x:v>
      </x:c>
      <x:c r="I85" s="79" t="str">
        <x:v>PRIUS_GEN3 / ZVW30</x:v>
      </x:c>
      <x:c r="J85" s="79" t="str">
        <x:v>ZVW30 Custom PIDs for Torque (Android App) 12Nov12.xlsx - US</x:v>
      </x:c>
      <x:c r="K85" s="79" t="str">
        <x:v>2012-11-12</x:v>
      </x:c>
      <x:c r="L85" s="79" t="str">
        <x:v>READ-ONLY DIAGNOSTIC CANDIDATE</x:v>
      </x:c>
      <x:c r="M85" s="79" t="str">
        <x:v>CANDIDATE</x:v>
      </x:c>
      <x:c r="N85" s="80" t="str">
        <x:v>Later US source; validate on ZVW30 before firmware use</x:v>
      </x:c>
    </x:row>
    <x:row r="86">
      <x:c r="A86" s="78" t="str">
        <x:v>Reverse Beep Query (Ena=0,Dis=64)</x:v>
      </x:c>
      <x:c r="B86" s="79" t="str">
        <x:v>RB Query</x:v>
      </x:c>
      <x:c r="C86" s="79" t="str">
        <x:v>21AC</x:v>
      </x:c>
      <x:c r="D86" s="79" t="str">
        <x:v>A</x:v>
      </x:c>
      <x:c r="E86" s="79" t="n">
        <x:v>0</x:v>
      </x:c>
      <x:c r="F86" s="79" t="n">
        <x:v>64</x:v>
      </x:c>
      <x:c r="G86" s="79"/>
      <x:c r="H86" s="79" t="str">
        <x:v>7C0</x:v>
      </x:c>
      <x:c r="I86" s="79" t="str">
        <x:v>PRIUS_GEN3 / ZVW30</x:v>
      </x:c>
      <x:c r="J86" s="79" t="str">
        <x:v>ZVW30 Custom PIDs for Torque (Android App) 12Nov12.xlsx - US</x:v>
      </x:c>
      <x:c r="K86" s="79" t="str">
        <x:v>2012-11-12</x:v>
      </x:c>
      <x:c r="L86" s="79" t="str">
        <x:v>READ-ONLY DIAGNOSTIC CANDIDATE</x:v>
      </x:c>
      <x:c r="M86" s="79" t="str">
        <x:v>CANDIDATE</x:v>
      </x:c>
      <x:c r="N86" s="80" t="str">
        <x:v>Later US source; validate on ZVW30 before firmware use</x:v>
      </x:c>
    </x:row>
    <x:row r="87">
      <x:c r="A87" s="78" t="str">
        <x:v>Room Temp Sensor</x:v>
      </x:c>
      <x:c r="B87" s="79" t="str">
        <x:v>Room</x:v>
      </x:c>
      <x:c r="C87" s="79" t="str">
        <x:v>2121</x:v>
      </x:c>
      <x:c r="D87" s="79" t="str">
        <x:v>A * 9 / 20 + 20.3</x:v>
      </x:c>
      <x:c r="E87" s="79" t="n">
        <x:v>20.3</x:v>
      </x:c>
      <x:c r="F87" s="79" t="n">
        <x:v>135.05</x:v>
      </x:c>
      <x:c r="G87" s="79" t="str">
        <x:v>F</x:v>
      </x:c>
      <x:c r="H87" s="79" t="str">
        <x:v>7C4</x:v>
      </x:c>
      <x:c r="I87" s="79" t="str">
        <x:v>PRIUS_GEN3 / ZVW30</x:v>
      </x:c>
      <x:c r="J87" s="79" t="str">
        <x:v>ZVW30 Custom PIDs for Torque (Android App) 12Nov12.xlsx - US</x:v>
      </x:c>
      <x:c r="K87" s="79" t="str">
        <x:v>2012-11-12</x:v>
      </x:c>
      <x:c r="L87" s="79" t="str">
        <x:v>READ-ONLY DIAGNOSTIC CANDIDATE</x:v>
      </x:c>
      <x:c r="M87" s="79" t="str">
        <x:v>CANDIDATE</x:v>
      </x:c>
      <x:c r="N87" s="80" t="str">
        <x:v>Later US source; validate on ZVW30 before firmware use</x:v>
      </x:c>
    </x:row>
    <x:row r="88">
      <x:c r="A88" s="78" t="str">
        <x:v>Ambient Temp Sensor</x:v>
      </x:c>
      <x:c r="B88" s="79" t="str">
        <x:v>Ambient</x:v>
      </x:c>
      <x:c r="C88" s="79" t="str">
        <x:v>2122</x:v>
      </x:c>
      <x:c r="D88" s="79" t="str">
        <x:v>A * 160.65 / 255 - 9.94</x:v>
      </x:c>
      <x:c r="E88" s="79" t="n">
        <x:v>-9.94</x:v>
      </x:c>
      <x:c r="F88" s="79" t="n">
        <x:v>150.71</x:v>
      </x:c>
      <x:c r="G88" s="79" t="str">
        <x:v>F</x:v>
      </x:c>
      <x:c r="H88" s="79" t="str">
        <x:v>7C4</x:v>
      </x:c>
      <x:c r="I88" s="79" t="str">
        <x:v>PRIUS_GEN3 / ZVW30</x:v>
      </x:c>
      <x:c r="J88" s="79" t="str">
        <x:v>ZVW30 Custom PIDs for Torque (Android App) 12Nov12.xlsx - US</x:v>
      </x:c>
      <x:c r="K88" s="79" t="str">
        <x:v>2012-11-12</x:v>
      </x:c>
      <x:c r="L88" s="79" t="str">
        <x:v>READ-ONLY DIAGNOSTIC CANDIDATE</x:v>
      </x:c>
      <x:c r="M88" s="79" t="str">
        <x:v>CANDIDATE</x:v>
      </x:c>
      <x:c r="N88" s="80" t="str">
        <x:v>Later US source; validate on ZVW30 before firmware use</x:v>
      </x:c>
    </x:row>
    <x:row r="89">
      <x:c r="A89" s="78" t="str">
        <x:v>Solar Sensor (D side)</x:v>
      </x:c>
      <x:c r="B89" s="79" t="str">
        <x:v>Solar D</x:v>
      </x:c>
      <x:c r="C89" s="79" t="str">
        <x:v>2124</x:v>
      </x:c>
      <x:c r="D89" s="79" t="str">
        <x:v>A</x:v>
      </x:c>
      <x:c r="E89" s="79" t="n">
        <x:v>0</x:v>
      </x:c>
      <x:c r="F89" s="79" t="n">
        <x:v>255</x:v>
      </x:c>
      <x:c r="G89" s="79"/>
      <x:c r="H89" s="79" t="str">
        <x:v>7C4</x:v>
      </x:c>
      <x:c r="I89" s="79" t="str">
        <x:v>PRIUS_GEN3 / ZVW30</x:v>
      </x:c>
      <x:c r="J89" s="79" t="str">
        <x:v>ZVW30 Custom PIDs for Torque (Android App) 12Nov12.xlsx - US</x:v>
      </x:c>
      <x:c r="K89" s="79" t="str">
        <x:v>2012-11-12</x:v>
      </x:c>
      <x:c r="L89" s="79" t="str">
        <x:v>READ-ONLY DIAGNOSTIC CANDIDATE</x:v>
      </x:c>
      <x:c r="M89" s="79" t="str">
        <x:v>CANDIDATE</x:v>
      </x:c>
      <x:c r="N89" s="80" t="str">
        <x:v>Later US source; validate on ZVW30 before firmware use</x:v>
      </x:c>
    </x:row>
    <x:row r="90">
      <x:c r="A90" s="78" t="str">
        <x:v>Engine Coolant Temp_7C4</x:v>
      </x:c>
      <x:c r="B90" s="79" t="str">
        <x:v>Coolant_7C4</x:v>
      </x:c>
      <x:c r="C90" s="79" t="str">
        <x:v>2126</x:v>
      </x:c>
      <x:c r="D90" s="79" t="str">
        <x:v>A * 160.65 / 255 + 34.34</x:v>
      </x:c>
      <x:c r="E90" s="79" t="n">
        <x:v>34.34</x:v>
      </x:c>
      <x:c r="F90" s="79" t="n">
        <x:v>194.99</x:v>
      </x:c>
      <x:c r="G90" s="79" t="str">
        <x:v>F</x:v>
      </x:c>
      <x:c r="H90" s="79" t="str">
        <x:v>7C4</x:v>
      </x:c>
      <x:c r="I90" s="79" t="str">
        <x:v>PRIUS_GEN3 / ZVW30</x:v>
      </x:c>
      <x:c r="J90" s="79" t="str">
        <x:v>ZVW30 Custom PIDs for Torque (Android App) 12Nov12.xlsx - US</x:v>
      </x:c>
      <x:c r="K90" s="79" t="str">
        <x:v>2012-11-12</x:v>
      </x:c>
      <x:c r="L90" s="79" t="str">
        <x:v>READ-ONLY DIAGNOSTIC CANDIDATE</x:v>
      </x:c>
      <x:c r="M90" s="79" t="str">
        <x:v>CANDIDATE</x:v>
      </x:c>
      <x:c r="N90" s="80" t="str">
        <x:v>Later US source; validate on ZVW30 before firmware use</x:v>
      </x:c>
    </x:row>
    <x:row r="91">
      <x:c r="A91" s="78" t="str">
        <x:v>Set Temperature (D side)</x:v>
      </x:c>
      <x:c r="B91" s="79" t="str">
        <x:v>Set t D</x:v>
      </x:c>
      <x:c r="C91" s="79" t="str">
        <x:v>2129</x:v>
      </x:c>
      <x:c r="D91" s="79" t="str">
        <x:v>A * 9 / 10 + 63.5</x:v>
      </x:c>
      <x:c r="E91" s="79" t="n">
        <x:v>63.5</x:v>
      </x:c>
      <x:c r="F91" s="79" t="n">
        <x:v>90.5</x:v>
      </x:c>
      <x:c r="G91" s="79" t="str">
        <x:v>F</x:v>
      </x:c>
      <x:c r="H91" s="79" t="str">
        <x:v>7C4</x:v>
      </x:c>
      <x:c r="I91" s="79" t="str">
        <x:v>PRIUS_GEN3 / ZVW30</x:v>
      </x:c>
      <x:c r="J91" s="79" t="str">
        <x:v>ZVW30 Custom PIDs for Torque (Android App) 12Nov12.xlsx - US</x:v>
      </x:c>
      <x:c r="K91" s="79" t="str">
        <x:v>2012-11-12</x:v>
      </x:c>
      <x:c r="L91" s="79" t="str">
        <x:v>READ-ONLY DIAGNOSTIC CANDIDATE</x:v>
      </x:c>
      <x:c r="M91" s="79" t="str">
        <x:v>CANDIDATE</x:v>
      </x:c>
      <x:c r="N91" s="80" t="str">
        <x:v>Later US source; validate on ZVW30 before firmware use</x:v>
      </x:c>
    </x:row>
    <x:row r="92">
      <x:c r="A92" s="78" t="str">
        <x:v>Blower Motor Speed Level</x:v>
      </x:c>
      <x:c r="B92" s="79" t="str">
        <x:v>Blower Level</x:v>
      </x:c>
      <x:c r="C92" s="79" t="str">
        <x:v>213C</x:v>
      </x:c>
      <x:c r="D92" s="79" t="str">
        <x:v>A</x:v>
      </x:c>
      <x:c r="E92" s="79" t="n">
        <x:v>0</x:v>
      </x:c>
      <x:c r="F92" s="79" t="n">
        <x:v>31</x:v>
      </x:c>
      <x:c r="G92" s="79"/>
      <x:c r="H92" s="79" t="str">
        <x:v>7C4</x:v>
      </x:c>
      <x:c r="I92" s="79" t="str">
        <x:v>PRIUS_GEN3 / ZVW30</x:v>
      </x:c>
      <x:c r="J92" s="79" t="str">
        <x:v>ZVW30 Custom PIDs for Torque (Android App) 12Nov12.xlsx - US</x:v>
      </x:c>
      <x:c r="K92" s="79" t="str">
        <x:v>2012-11-12</x:v>
      </x:c>
      <x:c r="L92" s="79" t="str">
        <x:v>READ-ONLY DIAGNOSTIC CANDIDATE</x:v>
      </x:c>
      <x:c r="M92" s="79" t="str">
        <x:v>CANDIDATE</x:v>
      </x:c>
      <x:c r="N92" s="80" t="str">
        <x:v>Later US source; validate on ZVW30 before firmware use</x:v>
      </x:c>
    </x:row>
    <x:row r="93">
      <x:c r="A93" s="78" t="str">
        <x:v>Adjusted Ambient Temp</x:v>
      </x:c>
      <x:c r="B93" s="79" t="str">
        <x:v>AdjAmbient</x:v>
      </x:c>
      <x:c r="C93" s="79" t="str">
        <x:v>213D</x:v>
      </x:c>
      <x:c r="D93" s="79" t="str">
        <x:v>A * 146.88 / 255 - 23.44</x:v>
      </x:c>
      <x:c r="E93" s="79" t="n">
        <x:v>-23.44</x:v>
      </x:c>
      <x:c r="F93" s="79" t="n">
        <x:v>123.44</x:v>
      </x:c>
      <x:c r="G93" s="79" t="str">
        <x:v>F</x:v>
      </x:c>
      <x:c r="H93" s="79" t="str">
        <x:v>7C4</x:v>
      </x:c>
      <x:c r="I93" s="79" t="str">
        <x:v>PRIUS_GEN3 / ZVW30</x:v>
      </x:c>
      <x:c r="J93" s="79" t="str">
        <x:v>ZVW30 Custom PIDs for Torque (Android App) 12Nov12.xlsx - US</x:v>
      </x:c>
      <x:c r="K93" s="79" t="str">
        <x:v>2012-11-12</x:v>
      </x:c>
      <x:c r="L93" s="79" t="str">
        <x:v>READ-ONLY DIAGNOSTIC CANDIDATE</x:v>
      </x:c>
      <x:c r="M93" s="79" t="str">
        <x:v>CANDIDATE</x:v>
      </x:c>
      <x:c r="N93" s="80" t="str">
        <x:v>Later US source; validate on ZVW30 before firmware use</x:v>
      </x:c>
    </x:row>
    <x:row r="94">
      <x:c r="A94" s="78" t="str">
        <x:v>Air Mix Servo Targ Pulse (D)</x:v>
      </x:c>
      <x:c r="B94" s="79" t="str">
        <x:v>A/M STP D</x:v>
      </x:c>
      <x:c r="C94" s="79" t="str">
        <x:v>2141</x:v>
      </x:c>
      <x:c r="D94" s="79" t="str">
        <x:v>A</x:v>
      </x:c>
      <x:c r="E94" s="79" t="n">
        <x:v>0</x:v>
      </x:c>
      <x:c r="F94" s="79" t="n">
        <x:v>255</x:v>
      </x:c>
      <x:c r="G94" s="79"/>
      <x:c r="H94" s="79" t="str">
        <x:v>7C4</x:v>
      </x:c>
      <x:c r="I94" s="79" t="str">
        <x:v>PRIUS_GEN3 / ZVW30</x:v>
      </x:c>
      <x:c r="J94" s="79" t="str">
        <x:v>ZVW30 Custom PIDs for Torque (Android App) 12Nov12.xlsx - US</x:v>
      </x:c>
      <x:c r="K94" s="79" t="str">
        <x:v>2012-11-12</x:v>
      </x:c>
      <x:c r="L94" s="79" t="str">
        <x:v>READ-ONLY DIAGNOSTIC CANDIDATE</x:v>
      </x:c>
      <x:c r="M94" s="79" t="str">
        <x:v>CANDIDATE</x:v>
      </x:c>
      <x:c r="N94" s="80" t="str">
        <x:v>Later US source; validate on ZVW30 before firmware use</x:v>
      </x:c>
    </x:row>
    <x:row r="95">
      <x:c r="A95" s="78" t="str">
        <x:v>Air Mix Servo Actual Pulse (D)</x:v>
      </x:c>
      <x:c r="B95" s="79" t="str">
        <x:v>A/M SAP D</x:v>
      </x:c>
      <x:c r="C95" s="79" t="str">
        <x:v>2141</x:v>
      </x:c>
      <x:c r="D95" s="79" t="str">
        <x:v>B</x:v>
      </x:c>
      <x:c r="E95" s="79" t="n">
        <x:v>0</x:v>
      </x:c>
      <x:c r="F95" s="79" t="n">
        <x:v>255</x:v>
      </x:c>
      <x:c r="G95" s="79"/>
      <x:c r="H95" s="79" t="str">
        <x:v>7C4</x:v>
      </x:c>
      <x:c r="I95" s="79" t="str">
        <x:v>PRIUS_GEN3 / ZVW30</x:v>
      </x:c>
      <x:c r="J95" s="79" t="str">
        <x:v>ZVW30 Custom PIDs for Torque (Android App) 12Nov12.xlsx - US</x:v>
      </x:c>
      <x:c r="K95" s="79" t="str">
        <x:v>2012-11-12</x:v>
      </x:c>
      <x:c r="L95" s="79" t="str">
        <x:v>READ-ONLY DIAGNOSTIC CANDIDATE</x:v>
      </x:c>
      <x:c r="M95" s="79" t="str">
        <x:v>CANDIDATE</x:v>
      </x:c>
      <x:c r="N95" s="80" t="str">
        <x:v>Later US source; validate on ZVW30 before firmware use</x:v>
      </x:c>
    </x:row>
    <x:row r="96">
      <x:c r="A96" s="78" t="str">
        <x:v>Air Outlet Servo Pulse (D)</x:v>
      </x:c>
      <x:c r="B96" s="79" t="str">
        <x:v>A/O SP D</x:v>
      </x:c>
      <x:c r="C96" s="79" t="str">
        <x:v>2143</x:v>
      </x:c>
      <x:c r="D96" s="79" t="str">
        <x:v>A</x:v>
      </x:c>
      <x:c r="E96" s="79" t="n">
        <x:v>0</x:v>
      </x:c>
      <x:c r="F96" s="79" t="n">
        <x:v>255</x:v>
      </x:c>
      <x:c r="G96" s="79"/>
      <x:c r="H96" s="79" t="str">
        <x:v>7C4</x:v>
      </x:c>
      <x:c r="I96" s="79" t="str">
        <x:v>PRIUS_GEN3 / ZVW30</x:v>
      </x:c>
      <x:c r="J96" s="79" t="str">
        <x:v>ZVW30 Custom PIDs for Torque (Android App) 12Nov12.xlsx - US</x:v>
      </x:c>
      <x:c r="K96" s="79" t="str">
        <x:v>2012-11-12</x:v>
      </x:c>
      <x:c r="L96" s="79" t="str">
        <x:v>READ-ONLY DIAGNOSTIC CANDIDATE</x:v>
      </x:c>
      <x:c r="M96" s="79" t="str">
        <x:v>CANDIDATE</x:v>
      </x:c>
      <x:c r="N96" s="80" t="str">
        <x:v>Later US source; validate on ZVW30 before firmware use</x:v>
      </x:c>
    </x:row>
    <x:row r="97">
      <x:c r="A97" s="78" t="str">
        <x:v>Air Outlet Servo Actu Pulse (D)</x:v>
      </x:c>
      <x:c r="B97" s="79" t="str">
        <x:v>A/O SAP D</x:v>
      </x:c>
      <x:c r="C97" s="79" t="str">
        <x:v>2143</x:v>
      </x:c>
      <x:c r="D97" s="79" t="str">
        <x:v>B</x:v>
      </x:c>
      <x:c r="E97" s="79" t="n">
        <x:v>0</x:v>
      </x:c>
      <x:c r="F97" s="79" t="n">
        <x:v>255</x:v>
      </x:c>
      <x:c r="G97" s="79"/>
      <x:c r="H97" s="79" t="str">
        <x:v>7C4</x:v>
      </x:c>
      <x:c r="I97" s="79" t="str">
        <x:v>PRIUS_GEN3 / ZVW30</x:v>
      </x:c>
      <x:c r="J97" s="79" t="str">
        <x:v>ZVW30 Custom PIDs for Torque (Android App) 12Nov12.xlsx - US</x:v>
      </x:c>
      <x:c r="K97" s="79" t="str">
        <x:v>2012-11-12</x:v>
      </x:c>
      <x:c r="L97" s="79" t="str">
        <x:v>READ-ONLY DIAGNOSTIC CANDIDATE</x:v>
      </x:c>
      <x:c r="M97" s="79" t="str">
        <x:v>CANDIDATE</x:v>
      </x:c>
      <x:c r="N97" s="80" t="str">
        <x:v>Later US source; validate on ZVW30 before firmware use</x:v>
      </x:c>
    </x:row>
    <x:row r="98">
      <x:c r="A98" s="78" t="str">
        <x:v>Air Inlet Damper Targ Pulse</x:v>
      </x:c>
      <x:c r="B98" s="79" t="str">
        <x:v>A/I DTP</x:v>
      </x:c>
      <x:c r="C98" s="79" t="str">
        <x:v>2144</x:v>
      </x:c>
      <x:c r="D98" s="79" t="str">
        <x:v>A</x:v>
      </x:c>
      <x:c r="E98" s="79" t="n">
        <x:v>0</x:v>
      </x:c>
      <x:c r="F98" s="79" t="n">
        <x:v>255</x:v>
      </x:c>
      <x:c r="G98" s="79"/>
      <x:c r="H98" s="79" t="str">
        <x:v>7C4</x:v>
      </x:c>
      <x:c r="I98" s="79" t="str">
        <x:v>PRIUS_GEN3 / ZVW30</x:v>
      </x:c>
      <x:c r="J98" s="79" t="str">
        <x:v>ZVW30 Custom PIDs for Torque (Android App) 12Nov12.xlsx - US</x:v>
      </x:c>
      <x:c r="K98" s="79" t="str">
        <x:v>2012-11-12</x:v>
      </x:c>
      <x:c r="L98" s="79" t="str">
        <x:v>READ-ONLY DIAGNOSTIC CANDIDATE</x:v>
      </x:c>
      <x:c r="M98" s="79" t="str">
        <x:v>CANDIDATE</x:v>
      </x:c>
      <x:c r="N98" s="80" t="str">
        <x:v>Later US source; validate on ZVW30 before firmware use</x:v>
      </x:c>
    </x:row>
    <x:row r="99">
      <x:c r="A99" s="78" t="str">
        <x:v>Air Inlet Damper Actual Pulse</x:v>
      </x:c>
      <x:c r="B99" s="79" t="str">
        <x:v>A/I DAP</x:v>
      </x:c>
      <x:c r="C99" s="79" t="str">
        <x:v>2144</x:v>
      </x:c>
      <x:c r="D99" s="79" t="str">
        <x:v>B</x:v>
      </x:c>
      <x:c r="E99" s="79" t="n">
        <x:v>0</x:v>
      </x:c>
      <x:c r="F99" s="79" t="n">
        <x:v>255</x:v>
      </x:c>
      <x:c r="G99" s="79"/>
      <x:c r="H99" s="79" t="str">
        <x:v>7C4</x:v>
      </x:c>
      <x:c r="I99" s="79" t="str">
        <x:v>PRIUS_GEN3 / ZVW30</x:v>
      </x:c>
      <x:c r="J99" s="79" t="str">
        <x:v>ZVW30 Custom PIDs for Torque (Android App) 12Nov12.xlsx - US</x:v>
      </x:c>
      <x:c r="K99" s="79" t="str">
        <x:v>2012-11-12</x:v>
      </x:c>
      <x:c r="L99" s="79" t="str">
        <x:v>READ-ONLY DIAGNOSTIC CANDIDATE</x:v>
      </x:c>
      <x:c r="M99" s="79" t="str">
        <x:v>CANDIDATE</x:v>
      </x:c>
      <x:c r="N99" s="80" t="str">
        <x:v>Later US source; validate on ZVW30 before firmware use</x:v>
      </x:c>
    </x:row>
    <x:row r="100">
      <x:c r="A100" s="78" t="str">
        <x:v>Compressor Speed</x:v>
      </x:c>
      <x:c r="B100" s="79" t="str">
        <x:v>Comp Spd</x:v>
      </x:c>
      <x:c r="C100" s="79" t="str">
        <x:v>2149</x:v>
      </x:c>
      <x:c r="D100" s="79" t="str">
        <x:v>A * 256 + B</x:v>
      </x:c>
      <x:c r="E100" s="79" t="n">
        <x:v>0</x:v>
      </x:c>
      <x:c r="F100" s="79" t="n">
        <x:v>10000</x:v>
      </x:c>
      <x:c r="G100" s="79" t="str">
        <x:v>RPM</x:v>
      </x:c>
      <x:c r="H100" s="79" t="str">
        <x:v>7C4</x:v>
      </x:c>
      <x:c r="I100" s="79" t="str">
        <x:v>PRIUS_GEN3 / ZVW30</x:v>
      </x:c>
      <x:c r="J100" s="79" t="str">
        <x:v>ZVW30 Custom PIDs for Torque (Android App) 12Nov12.xlsx - US</x:v>
      </x:c>
      <x:c r="K100" s="79" t="str">
        <x:v>2012-11-12</x:v>
      </x:c>
      <x:c r="L100" s="79" t="str">
        <x:v>READ-ONLY DIAGNOSTIC CANDIDATE</x:v>
      </x:c>
      <x:c r="M100" s="79" t="str">
        <x:v>CANDIDATE</x:v>
      </x:c>
      <x:c r="N100" s="80" t="str">
        <x:v>Later US source; validate on ZVW30 before firmware use</x:v>
      </x:c>
    </x:row>
    <x:row r="101">
      <x:c r="A101" s="78" t="str">
        <x:v>Compressor Target Speed</x:v>
      </x:c>
      <x:c r="B101" s="79" t="str">
        <x:v>Comp T Spd</x:v>
      </x:c>
      <x:c r="C101" s="79" t="str">
        <x:v>214A</x:v>
      </x:c>
      <x:c r="D101" s="79" t="str">
        <x:v>A * 256 + B</x:v>
      </x:c>
      <x:c r="E101" s="79" t="n">
        <x:v>0</x:v>
      </x:c>
      <x:c r="F101" s="79" t="n">
        <x:v>10000</x:v>
      </x:c>
      <x:c r="G101" s="79" t="str">
        <x:v>RPM</x:v>
      </x:c>
      <x:c r="H101" s="79" t="str">
        <x:v>7C4</x:v>
      </x:c>
      <x:c r="I101" s="79" t="str">
        <x:v>PRIUS_GEN3 / ZVW30</x:v>
      </x:c>
      <x:c r="J101" s="79" t="str">
        <x:v>ZVW30 Custom PIDs for Torque (Android App) 12Nov12.xlsx - US</x:v>
      </x:c>
      <x:c r="K101" s="79" t="str">
        <x:v>2012-11-12</x:v>
      </x:c>
      <x:c r="L101" s="79" t="str">
        <x:v>READ-ONLY DIAGNOSTIC CANDIDATE</x:v>
      </x:c>
      <x:c r="M101" s="79" t="str">
        <x:v>CANDIDATE</x:v>
      </x:c>
      <x:c r="N101" s="80" t="str">
        <x:v>Later US source; validate on ZVW30 before firmware use</x:v>
      </x:c>
    </x:row>
    <x:row r="102">
      <x:c r="A102" s="78" t="str">
        <x:v>Evaporator Fin Thermistor</x:v>
      </x:c>
      <x:c r="B102" s="79" t="str">
        <x:v>Evap Fin</x:v>
      </x:c>
      <x:c r="C102" s="79" t="str">
        <x:v>214B</x:v>
      </x:c>
      <x:c r="D102" s="79" t="str">
        <x:v>A * 160.65 / 255 - 21.46</x:v>
      </x:c>
      <x:c r="E102" s="79" t="n">
        <x:v>-21.46</x:v>
      </x:c>
      <x:c r="F102" s="79" t="n">
        <x:v>139.19</x:v>
      </x:c>
      <x:c r="G102" s="79" t="str">
        <x:v>F</x:v>
      </x:c>
      <x:c r="H102" s="79" t="str">
        <x:v>7C4</x:v>
      </x:c>
      <x:c r="I102" s="79" t="str">
        <x:v>PRIUS_GEN3 / ZVW30</x:v>
      </x:c>
      <x:c r="J102" s="79" t="str">
        <x:v>ZVW30 Custom PIDs for Torque (Android App) 12Nov12.xlsx - US</x:v>
      </x:c>
      <x:c r="K102" s="79" t="str">
        <x:v>2012-11-12</x:v>
      </x:c>
      <x:c r="L102" s="79" t="str">
        <x:v>READ-ONLY DIAGNOSTIC CANDIDATE</x:v>
      </x:c>
      <x:c r="M102" s="79" t="str">
        <x:v>CANDIDATE</x:v>
      </x:c>
      <x:c r="N102" s="80" t="str">
        <x:v>Later US source; validate on ZVW30 before firmware use</x:v>
      </x:c>
    </x:row>
    <x:row r="103">
      <x:c r="A103" s="78" t="str">
        <x:v>Evaporator Target Temp</x:v>
      </x:c>
      <x:c r="B103" s="79" t="str">
        <x:v>Evap Tgt</x:v>
      </x:c>
      <x:c r="C103" s="79" t="str">
        <x:v>214C</x:v>
      </x:c>
      <x:c r="D103" s="79" t="str">
        <x:v>(A * 256 + B) * 9 / 500 - 557.82</x:v>
      </x:c>
      <x:c r="E103" s="79" t="n">
        <x:v>-21.46</x:v>
      </x:c>
      <x:c r="F103" s="79" t="n">
        <x:v>139.19</x:v>
      </x:c>
      <x:c r="G103" s="79" t="str">
        <x:v>F</x:v>
      </x:c>
      <x:c r="H103" s="79" t="str">
        <x:v>7C4</x:v>
      </x:c>
      <x:c r="I103" s="79" t="str">
        <x:v>PRIUS_GEN3 / ZVW30</x:v>
      </x:c>
      <x:c r="J103" s="79" t="str">
        <x:v>ZVW30 Custom PIDs for Torque (Android App) 12Nov12.xlsx - US</x:v>
      </x:c>
      <x:c r="K103" s="79" t="str">
        <x:v>2012-11-12</x:v>
      </x:c>
      <x:c r="L103" s="79" t="str">
        <x:v>READ-ONLY DIAGNOSTIC CANDIDATE</x:v>
      </x:c>
      <x:c r="M103" s="79" t="str">
        <x:v>CANDIDATE</x:v>
      </x:c>
      <x:c r="N103" s="80" t="str">
        <x:v>Later US source; validate on ZVW30 before firmware use</x:v>
      </x:c>
    </x:row>
    <x:row r="104">
      <x:c r="A104" s="78" t="str">
        <x:v>Regulator Pressure Sensor</x:v>
      </x:c>
      <x:c r="B104" s="79" t="str">
        <x:v>Reg Pres</x:v>
      </x:c>
      <x:c r="C104" s="79" t="str">
        <x:v>2153</x:v>
      </x:c>
      <x:c r="D104" s="79" t="str">
        <x:v>(A * 3.75105 / 255 - 0.45668) * 145.0377438972831</x:v>
      </x:c>
      <x:c r="E104" s="79" t="n">
        <x:v>-66.24</x:v>
      </x:c>
      <x:c r="F104" s="79" t="n">
        <x:v>477.81</x:v>
      </x:c>
      <x:c r="G104" s="79" t="str">
        <x:v>PSIG</x:v>
      </x:c>
      <x:c r="H104" s="79" t="str">
        <x:v>7C4</x:v>
      </x:c>
      <x:c r="I104" s="79" t="str">
        <x:v>PRIUS_GEN3 / ZVW30</x:v>
      </x:c>
      <x:c r="J104" s="79" t="str">
        <x:v>ZVW30 Custom PIDs for Torque (Android App) 12Nov12.xlsx - US</x:v>
      </x:c>
      <x:c r="K104" s="79" t="str">
        <x:v>2012-11-12</x:v>
      </x:c>
      <x:c r="L104" s="79" t="str">
        <x:v>READ-ONLY DIAGNOSTIC CANDIDATE</x:v>
      </x:c>
      <x:c r="M104" s="79" t="str">
        <x:v>CANDIDATE</x:v>
      </x:c>
      <x:c r="N104" s="80" t="str">
        <x:v>Later US source; validate on ZVW30 before firmware use</x:v>
      </x:c>
    </x:row>
    <x:row r="105">
      <x:c r="A105" s="78" t="str">
        <x:v>Calculated Load_7E0</x:v>
      </x:c>
      <x:c r="B105" s="79" t="str">
        <x:v>CLoad_7E0</x:v>
      </x:c>
      <x:c r="C105" s="79" t="str">
        <x:v>2101</x:v>
      </x:c>
      <x:c r="D105" s="79" t="str">
        <x:v>A * 20 / 51</x:v>
      </x:c>
      <x:c r="E105" s="79" t="n">
        <x:v>0</x:v>
      </x:c>
      <x:c r="F105" s="79" t="n">
        <x:v>100</x:v>
      </x:c>
      <x:c r="G105" s="79" t="str">
        <x:v>%</x:v>
      </x:c>
      <x:c r="H105" s="79" t="str">
        <x:v>7E0</x:v>
      </x:c>
      <x:c r="I105" s="79" t="str">
        <x:v>PRIUS_GEN3 / ZVW30</x:v>
      </x:c>
      <x:c r="J105" s="79" t="str">
        <x:v>ZVW30 Custom PIDs for Torque (Android App) 12Nov12.xlsx - US</x:v>
      </x:c>
      <x:c r="K105" s="79" t="str">
        <x:v>2012-11-12</x:v>
      </x:c>
      <x:c r="L105" s="79" t="str">
        <x:v>READ-ONLY DIAGNOSTIC CANDIDATE</x:v>
      </x:c>
      <x:c r="M105" s="79" t="str">
        <x:v>CANDIDATE</x:v>
      </x:c>
      <x:c r="N105" s="80" t="str">
        <x:v>Later US source; validate on ZVW30 before firmware use</x:v>
      </x:c>
    </x:row>
    <x:row r="106">
      <x:c r="A106" s="78" t="str">
        <x:v>Vehicle Load</x:v>
      </x:c>
      <x:c r="B106" s="79" t="str">
        <x:v>Veh Load</x:v>
      </x:c>
      <x:c r="C106" s="79" t="str">
        <x:v>2101</x:v>
      </x:c>
      <x:c r="D106" s="79" t="str">
        <x:v>(B * 256 + C) * 100 / 65535</x:v>
      </x:c>
      <x:c r="E106" s="79" t="n">
        <x:v>0</x:v>
      </x:c>
      <x:c r="F106" s="79" t="n">
        <x:v>100</x:v>
      </x:c>
      <x:c r="G106" s="79" t="str">
        <x:v>%</x:v>
      </x:c>
      <x:c r="H106" s="79" t="str">
        <x:v>7E0</x:v>
      </x:c>
      <x:c r="I106" s="79" t="str">
        <x:v>PRIUS_GEN3 / ZVW30</x:v>
      </x:c>
      <x:c r="J106" s="79" t="str">
        <x:v>ZVW30 Custom PIDs for Torque (Android App) 12Nov12.xlsx - US</x:v>
      </x:c>
      <x:c r="K106" s="79" t="str">
        <x:v>2012-11-12</x:v>
      </x:c>
      <x:c r="L106" s="79" t="str">
        <x:v>READ-ONLY DIAGNOSTIC CANDIDATE</x:v>
      </x:c>
      <x:c r="M106" s="79" t="str">
        <x:v>CANDIDATE</x:v>
      </x:c>
      <x:c r="N106" s="80" t="str">
        <x:v>Later US source; validate on ZVW30 before firmware use</x:v>
      </x:c>
    </x:row>
    <x:row r="107">
      <x:c r="A107" s="78" t="str">
        <x:v>Mass Air Flow</x:v>
      </x:c>
      <x:c r="B107" s="79" t="str">
        <x:v>MAF</x:v>
      </x:c>
      <x:c r="C107" s="79" t="str">
        <x:v>2101</x:v>
      </x:c>
      <x:c r="D107" s="79" t="str">
        <x:v>(D * 256 + E) / 100</x:v>
      </x:c>
      <x:c r="E107" s="79" t="n">
        <x:v>0</x:v>
      </x:c>
      <x:c r="F107" s="79" t="n">
        <x:v>271</x:v>
      </x:c>
      <x:c r="G107" s="79" t="str">
        <x:v>gm/sec</x:v>
      </x:c>
      <x:c r="H107" s="79" t="str">
        <x:v>7E0</x:v>
      </x:c>
      <x:c r="I107" s="79" t="str">
        <x:v>PRIUS_GEN3 / ZVW30</x:v>
      </x:c>
      <x:c r="J107" s="79" t="str">
        <x:v>ZVW30 Custom PIDs for Torque (Android App) 12Nov12.xlsx - US</x:v>
      </x:c>
      <x:c r="K107" s="79" t="str">
        <x:v>2012-11-12</x:v>
      </x:c>
      <x:c r="L107" s="79" t="str">
        <x:v>READ-ONLY DIAGNOSTIC CANDIDATE</x:v>
      </x:c>
      <x:c r="M107" s="79" t="str">
        <x:v>CANDIDATE</x:v>
      </x:c>
      <x:c r="N107" s="80" t="str">
        <x:v>Later US source; validate on ZVW30 before firmware use</x:v>
      </x:c>
    </x:row>
    <x:row r="108">
      <x:c r="A108" s="78" t="str">
        <x:v>Manifold Air Pressure_7E0</x:v>
      </x:c>
      <x:c r="B108" s="79" t="str">
        <x:v>MAP_7E0</x:v>
      </x:c>
      <x:c r="C108" s="79" t="str">
        <x:v>2101</x:v>
      </x:c>
      <x:c r="D108" s="79" t="str">
        <x:v>F * 1913 / 255</x:v>
      </x:c>
      <x:c r="E108" s="79" t="n">
        <x:v>0</x:v>
      </x:c>
      <x:c r="F108" s="79" t="n">
        <x:v>1913</x:v>
      </x:c>
      <x:c r="G108" s="79" t="str">
        <x:v>mmHg</x:v>
      </x:c>
      <x:c r="H108" s="79" t="str">
        <x:v>7E0</x:v>
      </x:c>
      <x:c r="I108" s="79" t="str">
        <x:v>PRIUS_GEN3 / ZVW30</x:v>
      </x:c>
      <x:c r="J108" s="79" t="str">
        <x:v>ZVW30 Custom PIDs for Torque (Android App) 12Nov12.xlsx - US</x:v>
      </x:c>
      <x:c r="K108" s="79" t="str">
        <x:v>2012-11-12</x:v>
      </x:c>
      <x:c r="L108" s="79" t="str">
        <x:v>READ-ONLY DIAGNOSTIC CANDIDATE</x:v>
      </x:c>
      <x:c r="M108" s="79" t="str">
        <x:v>CANDIDATE</x:v>
      </x:c>
      <x:c r="N108" s="80" t="str">
        <x:v>Later US source; validate on ZVW30 before firmware use</x:v>
      </x:c>
    </x:row>
    <x:row r="109">
      <x:c r="A109" s="78" t="str">
        <x:v>Intake Air Temperature_7E0</x:v>
      </x:c>
      <x:c r="B109" s="79" t="str">
        <x:v>IAT_7E0</x:v>
      </x:c>
      <x:c r="C109" s="79" t="str">
        <x:v>2101</x:v>
      </x:c>
      <x:c r="D109" s="79" t="str">
        <x:v>G * 9 / 5 - 40</x:v>
      </x:c>
      <x:c r="E109" s="79" t="n">
        <x:v>-40</x:v>
      </x:c>
      <x:c r="F109" s="79" t="n">
        <x:v>140</x:v>
      </x:c>
      <x:c r="G109" s="79" t="str">
        <x:v>F</x:v>
      </x:c>
      <x:c r="H109" s="79" t="str">
        <x:v>7E0</x:v>
      </x:c>
      <x:c r="I109" s="79" t="str">
        <x:v>PRIUS_GEN3 / ZVW30</x:v>
      </x:c>
      <x:c r="J109" s="79" t="str">
        <x:v>ZVW30 Custom PIDs for Torque (Android App) 12Nov12.xlsx - US</x:v>
      </x:c>
      <x:c r="K109" s="79" t="str">
        <x:v>2012-11-12</x:v>
      </x:c>
      <x:c r="L109" s="79" t="str">
        <x:v>READ-ONLY DIAGNOSTIC CANDIDATE</x:v>
      </x:c>
      <x:c r="M109" s="79" t="str">
        <x:v>CANDIDATE</x:v>
      </x:c>
      <x:c r="N109" s="80" t="str">
        <x:v>Later US source; validate on ZVW30 before firmware use</x:v>
      </x:c>
    </x:row>
    <x:row r="110">
      <x:c r="A110" s="78" t="str">
        <x:v>Atmosphere Pressure_7E0</x:v>
      </x:c>
      <x:c r="B110" s="79" t="str">
        <x:v>AtmPres_7E0</x:v>
      </x:c>
      <x:c r="C110" s="79" t="str">
        <x:v>2101</x:v>
      </x:c>
      <x:c r="D110" s="79" t="str">
        <x:v>H * 1913 / 255</x:v>
      </x:c>
      <x:c r="E110" s="79" t="n">
        <x:v>0</x:v>
      </x:c>
      <x:c r="F110" s="79" t="n">
        <x:v>1913</x:v>
      </x:c>
      <x:c r="G110" s="79" t="str">
        <x:v>mmHg</x:v>
      </x:c>
      <x:c r="H110" s="79" t="str">
        <x:v>7E0</x:v>
      </x:c>
      <x:c r="I110" s="79" t="str">
        <x:v>PRIUS_GEN3 / ZVW30</x:v>
      </x:c>
      <x:c r="J110" s="79" t="str">
        <x:v>ZVW30 Custom PIDs for Torque (Android App) 12Nov12.xlsx - US</x:v>
      </x:c>
      <x:c r="K110" s="79" t="str">
        <x:v>2012-11-12</x:v>
      </x:c>
      <x:c r="L110" s="79" t="str">
        <x:v>READ-ONLY DIAGNOSTIC CANDIDATE</x:v>
      </x:c>
      <x:c r="M110" s="79" t="str">
        <x:v>CANDIDATE</x:v>
      </x:c>
      <x:c r="N110" s="80" t="str">
        <x:v>Later US source; validate on ZVW30 before firmware use</x:v>
      </x:c>
    </x:row>
    <x:row r="111">
      <x:c r="A111" s="78" t="str">
        <x:v>Coolant Temperature_7E0</x:v>
      </x:c>
      <x:c r="B111" s="79" t="str">
        <x:v>Coolant_7E0</x:v>
      </x:c>
      <x:c r="C111" s="79" t="str">
        <x:v>2101</x:v>
      </x:c>
      <x:c r="D111" s="79" t="str">
        <x:v>I * 9 / 5 - 40</x:v>
      </x:c>
      <x:c r="E111" s="79" t="n">
        <x:v>-40</x:v>
      </x:c>
      <x:c r="F111" s="79" t="n">
        <x:v>250</x:v>
      </x:c>
      <x:c r="G111" s="79" t="str">
        <x:v>F</x:v>
      </x:c>
      <x:c r="H111" s="79" t="str">
        <x:v>7E0</x:v>
      </x:c>
      <x:c r="I111" s="79" t="str">
        <x:v>PRIUS_GEN3 / ZVW30</x:v>
      </x:c>
      <x:c r="J111" s="79" t="str">
        <x:v>ZVW30 Custom PIDs for Torque (Android App) 12Nov12.xlsx - US</x:v>
      </x:c>
      <x:c r="K111" s="79" t="str">
        <x:v>2012-11-12</x:v>
      </x:c>
      <x:c r="L111" s="79" t="str">
        <x:v>READ-ONLY DIAGNOSTIC CANDIDATE</x:v>
      </x:c>
      <x:c r="M111" s="79" t="str">
        <x:v>CANDIDATE</x:v>
      </x:c>
      <x:c r="N111" s="80" t="str">
        <x:v>Later US source; validate on ZVW30 before firmware use</x:v>
      </x:c>
    </x:row>
    <x:row r="112">
      <x:c r="A112" s="78" t="str">
        <x:v>Engine Speed_7E0</x:v>
      </x:c>
      <x:c r="B112" s="79" t="str">
        <x:v>RPM_7E0</x:v>
      </x:c>
      <x:c r="C112" s="79" t="str">
        <x:v>2101</x:v>
      </x:c>
      <x:c r="D112" s="79" t="str">
        <x:v>(J * 256 + K) / 4</x:v>
      </x:c>
      <x:c r="E112" s="79" t="n">
        <x:v>0</x:v>
      </x:c>
      <x:c r="F112" s="79" t="n">
        <x:v>6000</x:v>
      </x:c>
      <x:c r="G112" s="79" t="str">
        <x:v>RPM</x:v>
      </x:c>
      <x:c r="H112" s="79" t="str">
        <x:v>7E0</x:v>
      </x:c>
      <x:c r="I112" s="79" t="str">
        <x:v>PRIUS_GEN3 / ZVW30</x:v>
      </x:c>
      <x:c r="J112" s="79" t="str">
        <x:v>ZVW30 Custom PIDs for Torque (Android App) 12Nov12.xlsx - US</x:v>
      </x:c>
      <x:c r="K112" s="79" t="str">
        <x:v>2012-11-12</x:v>
      </x:c>
      <x:c r="L112" s="79" t="str">
        <x:v>READ-ONLY DIAGNOSTIC CANDIDATE</x:v>
      </x:c>
      <x:c r="M112" s="79" t="str">
        <x:v>CANDIDATE</x:v>
      </x:c>
      <x:c r="N112" s="80" t="str">
        <x:v>Later US source; validate on ZVW30 before firmware use</x:v>
      </x:c>
    </x:row>
    <x:row r="113">
      <x:c r="A113" s="78" t="str">
        <x:v>Vehicle Speed_7E0</x:v>
      </x:c>
      <x:c r="B113" s="79" t="str">
        <x:v>MPH_7E0</x:v>
      </x:c>
      <x:c r="C113" s="79" t="str">
        <x:v>2101</x:v>
      </x:c>
      <x:c r="D113" s="79" t="str">
        <x:v>L * 15625 / 25146</x:v>
      </x:c>
      <x:c r="E113" s="79" t="n">
        <x:v>0</x:v>
      </x:c>
      <x:c r="F113" s="79" t="n">
        <x:v>100</x:v>
      </x:c>
      <x:c r="G113" s="79" t="str">
        <x:v>mph</x:v>
      </x:c>
      <x:c r="H113" s="79" t="str">
        <x:v>7E0</x:v>
      </x:c>
      <x:c r="I113" s="79" t="str">
        <x:v>PRIUS_GEN3 / ZVW30</x:v>
      </x:c>
      <x:c r="J113" s="79" t="str">
        <x:v>ZVW30 Custom PIDs for Torque (Android App) 12Nov12.xlsx - US</x:v>
      </x:c>
      <x:c r="K113" s="79" t="str">
        <x:v>2012-11-12</x:v>
      </x:c>
      <x:c r="L113" s="79" t="str">
        <x:v>READ-ONLY DIAGNOSTIC CANDIDATE</x:v>
      </x:c>
      <x:c r="M113" s="79" t="str">
        <x:v>CANDIDATE</x:v>
      </x:c>
      <x:c r="N113" s="80" t="str">
        <x:v>Later US source; validate on ZVW30 before firmware use</x:v>
      </x:c>
    </x:row>
    <x:row r="114">
      <x:c r="A114" s="78" t="str">
        <x:v>Engine Run Time (Time since Ign-On)</x:v>
      </x:c>
      <x:c r="B114" s="79" t="str">
        <x:v>Ign Time</x:v>
      </x:c>
      <x:c r="C114" s="79" t="str">
        <x:v>2101</x:v>
      </x:c>
      <x:c r="D114" s="79" t="str">
        <x:v>M * 256 + N</x:v>
      </x:c>
      <x:c r="E114" s="79" t="n">
        <x:v>0</x:v>
      </x:c>
      <x:c r="F114" s="79" t="n">
        <x:v>65535</x:v>
      </x:c>
      <x:c r="G114" s="79" t="str">
        <x:v>sec.</x:v>
      </x:c>
      <x:c r="H114" s="79" t="str">
        <x:v>7E0</x:v>
      </x:c>
      <x:c r="I114" s="79" t="str">
        <x:v>PRIUS_GEN3 / ZVW30</x:v>
      </x:c>
      <x:c r="J114" s="79" t="str">
        <x:v>ZVW30 Custom PIDs for Torque (Android App) 12Nov12.xlsx - US</x:v>
      </x:c>
      <x:c r="K114" s="79" t="str">
        <x:v>2012-11-12</x:v>
      </x:c>
      <x:c r="L114" s="79" t="str">
        <x:v>READ-ONLY DIAGNOSTIC CANDIDATE</x:v>
      </x:c>
      <x:c r="M114" s="79" t="str">
        <x:v>CANDIDATE</x:v>
      </x:c>
      <x:c r="N114" s="80" t="str">
        <x:v>Later US source; validate on ZVW30 before firmware use</x:v>
      </x:c>
    </x:row>
    <x:row r="115">
      <x:c r="A115" s="78" t="str">
        <x:v>Fuel System Status #1 (OL=1,CL=2,OLDrive=4,OLFault=8,CLFault=16)</x:v>
      </x:c>
      <x:c r="B115" s="79" t="str">
        <x:v>FSS1</x:v>
      </x:c>
      <x:c r="C115" s="79" t="str">
        <x:v>2103</x:v>
      </x:c>
      <x:c r="D115" s="79" t="str">
        <x:v>A</x:v>
      </x:c>
      <x:c r="E115" s="79" t="n">
        <x:v>1</x:v>
      </x:c>
      <x:c r="F115" s="79" t="n">
        <x:v>16</x:v>
      </x:c>
      <x:c r="G115" s="79"/>
      <x:c r="H115" s="79" t="str">
        <x:v>7E0</x:v>
      </x:c>
      <x:c r="I115" s="79" t="str">
        <x:v>PRIUS_GEN3 / ZVW30</x:v>
      </x:c>
      <x:c r="J115" s="79" t="str">
        <x:v>ZVW30 Custom PIDs for Torque (Android App) 12Nov12.xlsx - US</x:v>
      </x:c>
      <x:c r="K115" s="79" t="str">
        <x:v>2012-11-12</x:v>
      </x:c>
      <x:c r="L115" s="79" t="str">
        <x:v>READ-ONLY DIAGNOSTIC CANDIDATE</x:v>
      </x:c>
      <x:c r="M115" s="79" t="str">
        <x:v>CANDIDATE</x:v>
      </x:c>
      <x:c r="N115" s="80" t="str">
        <x:v>Later US source; validate on ZVW30 before firmware use</x:v>
      </x:c>
    </x:row>
    <x:row r="116">
      <x:c r="A116" s="78" t="str">
        <x:v>Short FT #1</x:v>
      </x:c>
      <x:c r="B116" s="79" t="str">
        <x:v>Short FT1</x:v>
      </x:c>
      <x:c r="C116" s="79" t="str">
        <x:v>2103</x:v>
      </x:c>
      <x:c r="D116" s="79" t="str">
        <x:v>C * 199.2 / 255 - 100</x:v>
      </x:c>
      <x:c r="E116" s="79" t="n">
        <x:v>-100</x:v>
      </x:c>
      <x:c r="F116" s="79" t="n">
        <x:v>99.2</x:v>
      </x:c>
      <x:c r="G116" s="79" t="str">
        <x:v>%</x:v>
      </x:c>
      <x:c r="H116" s="79" t="str">
        <x:v>7E0</x:v>
      </x:c>
      <x:c r="I116" s="79" t="str">
        <x:v>PRIUS_GEN3 / ZVW30</x:v>
      </x:c>
      <x:c r="J116" s="79" t="str">
        <x:v>ZVW30 Custom PIDs for Torque (Android App) 12Nov12.xlsx - US</x:v>
      </x:c>
      <x:c r="K116" s="79" t="str">
        <x:v>2012-11-12</x:v>
      </x:c>
      <x:c r="L116" s="79" t="str">
        <x:v>READ-ONLY DIAGNOSTIC CANDIDATE</x:v>
      </x:c>
      <x:c r="M116" s="79" t="str">
        <x:v>CANDIDATE</x:v>
      </x:c>
      <x:c r="N116" s="80" t="str">
        <x:v>Later US source; validate on ZVW30 before firmware use</x:v>
      </x:c>
    </x:row>
    <x:row r="117">
      <x:c r="A117" s="78" t="str">
        <x:v>Long FT #1</x:v>
      </x:c>
      <x:c r="B117" s="79" t="str">
        <x:v>Long FT1</x:v>
      </x:c>
      <x:c r="C117" s="79" t="str">
        <x:v>2103</x:v>
      </x:c>
      <x:c r="D117" s="79" t="str">
        <x:v>D * 199.2 / 255 - 100</x:v>
      </x:c>
      <x:c r="E117" s="79" t="n">
        <x:v>-100</x:v>
      </x:c>
      <x:c r="F117" s="79" t="n">
        <x:v>99.2</x:v>
      </x:c>
      <x:c r="G117" s="79" t="str">
        <x:v>%</x:v>
      </x:c>
      <x:c r="H117" s="79" t="str">
        <x:v>7E0</x:v>
      </x:c>
      <x:c r="I117" s="79" t="str">
        <x:v>PRIUS_GEN3 / ZVW30</x:v>
      </x:c>
      <x:c r="J117" s="79" t="str">
        <x:v>ZVW30 Custom PIDs for Torque (Android App) 12Nov12.xlsx - US</x:v>
      </x:c>
      <x:c r="K117" s="79" t="str">
        <x:v>2012-11-12</x:v>
      </x:c>
      <x:c r="L117" s="79" t="str">
        <x:v>READ-ONLY DIAGNOSTIC CANDIDATE</x:v>
      </x:c>
      <x:c r="M117" s="79" t="str">
        <x:v>CANDIDATE</x:v>
      </x:c>
      <x:c r="N117" s="80" t="str">
        <x:v>Later US source; validate on ZVW30 before firmware use</x:v>
      </x:c>
    </x:row>
    <x:row r="118">
      <x:c r="A118" s="78" t="str">
        <x:v>IGN Advance</x:v>
      </x:c>
      <x:c r="B118" s="79" t="str">
        <x:v>IGN</x:v>
      </x:c>
      <x:c r="C118" s="79" t="str">
        <x:v>2103</x:v>
      </x:c>
      <x:c r="D118" s="79" t="str">
        <x:v>E / 2 - 64</x:v>
      </x:c>
      <x:c r="E118" s="79" t="n">
        <x:v>-64</x:v>
      </x:c>
      <x:c r="F118" s="79" t="n">
        <x:v>63.5</x:v>
      </x:c>
      <x:c r="G118" s="79" t="str">
        <x:v>deg</x:v>
      </x:c>
      <x:c r="H118" s="79" t="str">
        <x:v>7E0</x:v>
      </x:c>
      <x:c r="I118" s="79" t="str">
        <x:v>PRIUS_GEN3 / ZVW30</x:v>
      </x:c>
      <x:c r="J118" s="79" t="str">
        <x:v>ZVW30 Custom PIDs for Torque (Android App) 12Nov12.xlsx - US</x:v>
      </x:c>
      <x:c r="K118" s="79" t="str">
        <x:v>2012-11-12</x:v>
      </x:c>
      <x:c r="L118" s="79" t="str">
        <x:v>READ-ONLY DIAGNOSTIC CANDIDATE</x:v>
      </x:c>
      <x:c r="M118" s="79" t="str">
        <x:v>CANDIDATE</x:v>
      </x:c>
      <x:c r="N118" s="80" t="str">
        <x:v>Later US source; validate on ZVW30 before firmware use</x:v>
      </x:c>
    </x:row>
    <x:row r="119">
      <x:c r="A119" s="78" t="str">
        <x:v>Target Air-Fuel Ratio</x:v>
      </x:c>
      <x:c r="B119" s="79" t="str">
        <x:v>TAFR</x:v>
      </x:c>
      <x:c r="C119" s="79" t="str">
        <x:v>2104</x:v>
      </x:c>
      <x:c r="D119" s="79" t="str">
        <x:v>(A * 256 + B) * 1.99 / 65535</x:v>
      </x:c>
      <x:c r="E119" s="79" t="n">
        <x:v>0</x:v>
      </x:c>
      <x:c r="F119" s="79" t="n">
        <x:v>1.99</x:v>
      </x:c>
      <x:c r="G119" s="79"/>
      <x:c r="H119" s="79" t="str">
        <x:v>7E0</x:v>
      </x:c>
      <x:c r="I119" s="79" t="str">
        <x:v>PRIUS_GEN3 / ZVW30</x:v>
      </x:c>
      <x:c r="J119" s="79" t="str">
        <x:v>ZVW30 Custom PIDs for Torque (Android App) 12Nov12.xlsx - US</x:v>
      </x:c>
      <x:c r="K119" s="79" t="str">
        <x:v>2012-11-12</x:v>
      </x:c>
      <x:c r="L119" s="79" t="str">
        <x:v>READ-ONLY DIAGNOSTIC CANDIDATE</x:v>
      </x:c>
      <x:c r="M119" s="79" t="str">
        <x:v>CANDIDATE</x:v>
      </x:c>
      <x:c r="N119" s="80" t="str">
        <x:v>Later US source; validate on ZVW30 before firmware use</x:v>
      </x:c>
    </x:row>
    <x:row r="120">
      <x:c r="A120" s="78" t="str">
        <x:v>AF Lambda B1S1</x:v>
      </x:c>
      <x:c r="B120" s="79" t="str">
        <x:v>AFL B1S1</x:v>
      </x:c>
      <x:c r="C120" s="79" t="str">
        <x:v>2104</x:v>
      </x:c>
      <x:c r="D120" s="79" t="str">
        <x:v>(C * 256 + D) * 1.99 / 65535</x:v>
      </x:c>
      <x:c r="E120" s="79" t="n">
        <x:v>0</x:v>
      </x:c>
      <x:c r="F120" s="79" t="n">
        <x:v>1.99</x:v>
      </x:c>
      <x:c r="G120" s="79"/>
      <x:c r="H120" s="79" t="str">
        <x:v>7E0</x:v>
      </x:c>
      <x:c r="I120" s="79" t="str">
        <x:v>PRIUS_GEN3 / ZVW30</x:v>
      </x:c>
      <x:c r="J120" s="79" t="str">
        <x:v>ZVW30 Custom PIDs for Torque (Android App) 12Nov12.xlsx - US</x:v>
      </x:c>
      <x:c r="K120" s="79" t="str">
        <x:v>2012-11-12</x:v>
      </x:c>
      <x:c r="L120" s="79" t="str">
        <x:v>READ-ONLY DIAGNOSTIC CANDIDATE</x:v>
      </x:c>
      <x:c r="M120" s="79" t="str">
        <x:v>CANDIDATE</x:v>
      </x:c>
      <x:c r="N120" s="80" t="str">
        <x:v>Later US source; validate on ZVW30 before firmware use</x:v>
      </x:c>
    </x:row>
    <x:row r="121">
      <x:c r="A121" s="78" t="str">
        <x:v>AFS Voltage B1S1</x:v>
      </x:c>
      <x:c r="B121" s="79" t="str">
        <x:v>AFSV B1S1</x:v>
      </x:c>
      <x:c r="C121" s="79" t="str">
        <x:v>2104</x:v>
      </x:c>
      <x:c r="D121" s="79" t="str">
        <x:v>(E * 256 + F) * 7.99 / 65535</x:v>
      </x:c>
      <x:c r="E121" s="79" t="n">
        <x:v>0</x:v>
      </x:c>
      <x:c r="F121" s="79" t="n">
        <x:v>7.99</x:v>
      </x:c>
      <x:c r="G121" s="79" t="str">
        <x:v>V</x:v>
      </x:c>
      <x:c r="H121" s="79" t="str">
        <x:v>7E0</x:v>
      </x:c>
      <x:c r="I121" s="79" t="str">
        <x:v>PRIUS_GEN3 / ZVW30</x:v>
      </x:c>
      <x:c r="J121" s="79" t="str">
        <x:v>ZVW30 Custom PIDs for Torque (Android App) 12Nov12.xlsx - US</x:v>
      </x:c>
      <x:c r="K121" s="79" t="str">
        <x:v>2012-11-12</x:v>
      </x:c>
      <x:c r="L121" s="79" t="str">
        <x:v>READ-ONLY DIAGNOSTIC CANDIDATE</x:v>
      </x:c>
      <x:c r="M121" s="79" t="str">
        <x:v>CANDIDATE</x:v>
      </x:c>
      <x:c r="N121" s="80" t="str">
        <x:v>Later US source; validate on ZVW30 before firmware use</x:v>
      </x:c>
    </x:row>
    <x:row r="122">
      <x:c r="A122" s="78" t="str">
        <x:v>MIL</x:v>
      </x:c>
      <x:c r="B122" s="79" t="str">
        <x:v>MIL</x:v>
      </x:c>
      <x:c r="C122" s="79" t="str">
        <x:v>2106</x:v>
      </x:c>
      <x:c r="D122" s="79" t="str">
        <x:v>{A:7}</x:v>
      </x:c>
      <x:c r="E122" s="79" t="n">
        <x:v>0</x:v>
      </x:c>
      <x:c r="F122" s="79" t="n">
        <x:v>1</x:v>
      </x:c>
      <x:c r="G122" s="79" t="str">
        <x:v>Off/On</x:v>
      </x:c>
      <x:c r="H122" s="79" t="str">
        <x:v>7E0</x:v>
      </x:c>
      <x:c r="I122" s="79" t="str">
        <x:v>PRIUS_GEN3 / ZVW30</x:v>
      </x:c>
      <x:c r="J122" s="79" t="str">
        <x:v>ZVW30 Custom PIDs for Torque (Android App) 12Nov12.xlsx - US</x:v>
      </x:c>
      <x:c r="K122" s="79" t="str">
        <x:v>2012-11-12</x:v>
      </x:c>
      <x:c r="L122" s="79" t="str">
        <x:v>READ-ONLY DIAGNOSTIC CANDIDATE</x:v>
      </x:c>
      <x:c r="M122" s="79" t="str">
        <x:v>CANDIDATE</x:v>
      </x:c>
      <x:c r="N122" s="80" t="str">
        <x:v>Later US source; validate on ZVW30 before firmware use</x:v>
      </x:c>
    </x:row>
    <x:row r="123">
      <x:c r="A123" s="78" t="str">
        <x:v>Communication with HV</x:v>
      </x:c>
      <x:c r="B123" s="79" t="str">
        <x:v>HV Comm</x:v>
      </x:c>
      <x:c r="C123" s="79" t="str">
        <x:v>2124</x:v>
      </x:c>
      <x:c r="D123" s="79" t="str">
        <x:v>{A:5}</x:v>
      </x:c>
      <x:c r="E123" s="79" t="n">
        <x:v>0</x:v>
      </x:c>
      <x:c r="F123" s="79" t="n">
        <x:v>1</x:v>
      </x:c>
      <x:c r="G123" s="79" t="str">
        <x:v>Off/On</x:v>
      </x:c>
      <x:c r="H123" s="79" t="str">
        <x:v>7E0</x:v>
      </x:c>
      <x:c r="I123" s="79" t="str">
        <x:v>PRIUS_GEN3 / ZVW30</x:v>
      </x:c>
      <x:c r="J123" s="79" t="str">
        <x:v>ZVW30 Custom PIDs for Torque (Android App) 12Nov12.xlsx - US</x:v>
      </x:c>
      <x:c r="K123" s="79" t="str">
        <x:v>2012-11-12</x:v>
      </x:c>
      <x:c r="L123" s="79" t="str">
        <x:v>READ-ONLY DIAGNOSTIC CANDIDATE</x:v>
      </x:c>
      <x:c r="M123" s="79" t="str">
        <x:v>CANDIDATE</x:v>
      </x:c>
      <x:c r="N123" s="80" t="str">
        <x:v>Later US source; validate on ZVW30 before firmware use</x:v>
      </x:c>
    </x:row>
    <x:row r="124">
      <x:c r="A124" s="78" t="str">
        <x:v>Communication with Brake</x:v>
      </x:c>
      <x:c r="B124" s="79" t="str">
        <x:v>Brk Comm</x:v>
      </x:c>
      <x:c r="C124" s="79" t="str">
        <x:v>2124</x:v>
      </x:c>
      <x:c r="D124" s="79" t="str">
        <x:v>{A:3}</x:v>
      </x:c>
      <x:c r="E124" s="79" t="n">
        <x:v>0</x:v>
      </x:c>
      <x:c r="F124" s="79" t="n">
        <x:v>1</x:v>
      </x:c>
      <x:c r="G124" s="79" t="str">
        <x:v>Off/On</x:v>
      </x:c>
      <x:c r="H124" s="79" t="str">
        <x:v>7E0</x:v>
      </x:c>
      <x:c r="I124" s="79" t="str">
        <x:v>PRIUS_GEN3 / ZVW30</x:v>
      </x:c>
      <x:c r="J124" s="79" t="str">
        <x:v>ZVW30 Custom PIDs for Torque (Android App) 12Nov12.xlsx - US</x:v>
      </x:c>
      <x:c r="K124" s="79" t="str">
        <x:v>2012-11-12</x:v>
      </x:c>
      <x:c r="L124" s="79" t="str">
        <x:v>READ-ONLY DIAGNOSTIC CANDIDATE</x:v>
      </x:c>
      <x:c r="M124" s="79" t="str">
        <x:v>CANDIDATE</x:v>
      </x:c>
      <x:c r="N124" s="80" t="str">
        <x:v>Later US source; validate on ZVW30 before firmware use</x:v>
      </x:c>
    </x:row>
    <x:row r="125">
      <x:c r="A125" s="78" t="str">
        <x:v>Comm with Air Conditioner</x:v>
      </x:c>
      <x:c r="B125" s="79" t="str">
        <x:v>AC Comm</x:v>
      </x:c>
      <x:c r="C125" s="79" t="str">
        <x:v>2124</x:v>
      </x:c>
      <x:c r="D125" s="79" t="str">
        <x:v>{A:2}</x:v>
      </x:c>
      <x:c r="E125" s="79" t="n">
        <x:v>0</x:v>
      </x:c>
      <x:c r="F125" s="79" t="n">
        <x:v>1</x:v>
      </x:c>
      <x:c r="G125" s="79" t="str">
        <x:v>Off/On</x:v>
      </x:c>
      <x:c r="H125" s="79" t="str">
        <x:v>7E0</x:v>
      </x:c>
      <x:c r="I125" s="79" t="str">
        <x:v>PRIUS_GEN3 / ZVW30</x:v>
      </x:c>
      <x:c r="J125" s="79" t="str">
        <x:v>ZVW30 Custom PIDs for Torque (Android App) 12Nov12.xlsx - US</x:v>
      </x:c>
      <x:c r="K125" s="79" t="str">
        <x:v>2012-11-12</x:v>
      </x:c>
      <x:c r="L125" s="79" t="str">
        <x:v>READ-ONLY DIAGNOSTIC CANDIDATE</x:v>
      </x:c>
      <x:c r="M125" s="79" t="str">
        <x:v>CANDIDATE</x:v>
      </x:c>
      <x:c r="N125" s="80" t="str">
        <x:v>Later US source; validate on ZVW30 before firmware use</x:v>
      </x:c>
    </x:row>
    <x:row r="126">
      <x:c r="A126" s="78" t="str">
        <x:v>Initial Engine Coolant Temp</x:v>
      </x:c>
      <x:c r="B126" s="79" t="str">
        <x:v>Init ECT</x:v>
      </x:c>
      <x:c r="C126" s="79" t="str">
        <x:v>2137</x:v>
      </x:c>
      <x:c r="D126" s="79" t="str">
        <x:v>A * 286.8 / 255 - 40</x:v>
      </x:c>
      <x:c r="E126" s="79" t="n">
        <x:v>-40</x:v>
      </x:c>
      <x:c r="F126" s="79" t="n">
        <x:v>246.8</x:v>
      </x:c>
      <x:c r="G126" s="79" t="str">
        <x:v>F</x:v>
      </x:c>
      <x:c r="H126" s="79" t="str">
        <x:v>7E0</x:v>
      </x:c>
      <x:c r="I126" s="79" t="str">
        <x:v>PRIUS_GEN3 / ZVW30</x:v>
      </x:c>
      <x:c r="J126" s="79" t="str">
        <x:v>ZVW30 Custom PIDs for Torque (Android App) 12Nov12.xlsx - US</x:v>
      </x:c>
      <x:c r="K126" s="79" t="str">
        <x:v>2012-11-12</x:v>
      </x:c>
      <x:c r="L126" s="79" t="str">
        <x:v>READ-ONLY DIAGNOSTIC CANDIDATE</x:v>
      </x:c>
      <x:c r="M126" s="79" t="str">
        <x:v>CANDIDATE</x:v>
      </x:c>
      <x:c r="N126" s="80" t="str">
        <x:v>Later US source; validate on ZVW30 before firmware use</x:v>
      </x:c>
    </x:row>
    <x:row r="127">
      <x:c r="A127" s="78" t="str">
        <x:v>Initial Intake Air Temp</x:v>
      </x:c>
      <x:c r="B127" s="79" t="str">
        <x:v>Init IAT</x:v>
      </x:c>
      <x:c r="C127" s="79" t="str">
        <x:v>2137</x:v>
      </x:c>
      <x:c r="D127" s="79" t="str">
        <x:v>B * 286.8 / 255 - 40</x:v>
      </x:c>
      <x:c r="E127" s="79" t="n">
        <x:v>-40</x:v>
      </x:c>
      <x:c r="F127" s="79" t="n">
        <x:v>246.8</x:v>
      </x:c>
      <x:c r="G127" s="79" t="str">
        <x:v>F</x:v>
      </x:c>
      <x:c r="H127" s="79" t="str">
        <x:v>7E0</x:v>
      </x:c>
      <x:c r="I127" s="79" t="str">
        <x:v>PRIUS_GEN3 / ZVW30</x:v>
      </x:c>
      <x:c r="J127" s="79" t="str">
        <x:v>ZVW30 Custom PIDs for Torque (Android App) 12Nov12.xlsx - US</x:v>
      </x:c>
      <x:c r="K127" s="79" t="str">
        <x:v>2012-11-12</x:v>
      </x:c>
      <x:c r="L127" s="79" t="str">
        <x:v>READ-ONLY DIAGNOSTIC CANDIDATE</x:v>
      </x:c>
      <x:c r="M127" s="79" t="str">
        <x:v>CANDIDATE</x:v>
      </x:c>
      <x:c r="N127" s="80" t="str">
        <x:v>Later US source; validate on ZVW30 before firmware use</x:v>
      </x:c>
    </x:row>
    <x:row r="128">
      <x:c r="A128" s="78" t="str">
        <x:v>Injection volume (Cylinder 1) for 10 times</x:v>
      </x:c>
      <x:c r="B128" s="79" t="str">
        <x:v>Inj Vol</x:v>
      </x:c>
      <x:c r="C128" s="79" t="str">
        <x:v>213C</x:v>
      </x:c>
      <x:c r="D128" s="79" t="str">
        <x:v>(A * 256 + B) * 0.0692173044706726 / 65535</x:v>
      </x:c>
      <x:c r="E128" s="79" t="n">
        <x:v>0</x:v>
      </x:c>
      <x:c r="F128" s="79" t="n">
        <x:v>0.069217304470673</x:v>
      </x:c>
      <x:c r="G128" s="79" t="str">
        <x:v>fl oz</x:v>
      </x:c>
      <x:c r="H128" s="79" t="str">
        <x:v>7E0</x:v>
      </x:c>
      <x:c r="I128" s="79" t="str">
        <x:v>PRIUS_GEN3 / ZVW30</x:v>
      </x:c>
      <x:c r="J128" s="79" t="str">
        <x:v>ZVW30 Custom PIDs for Torque (Android App) 12Nov12.xlsx - US</x:v>
      </x:c>
      <x:c r="K128" s="79" t="str">
        <x:v>2012-11-12</x:v>
      </x:c>
      <x:c r="L128" s="79" t="str">
        <x:v>READ-ONLY DIAGNOSTIC CANDIDATE</x:v>
      </x:c>
      <x:c r="M128" s="79" t="str">
        <x:v>CANDIDATE</x:v>
      </x:c>
      <x:c r="N128" s="80" t="str">
        <x:v>Later US source; validate on ZVW30 before firmware use</x:v>
      </x:c>
    </x:row>
    <x:row r="129">
      <x:c r="A129" s="78" t="str">
        <x:v>Injection duration for cylinder 1</x:v>
      </x:c>
      <x:c r="B129" s="79" t="str">
        <x:v>Inj Dur</x:v>
      </x:c>
      <x:c r="C129" s="79" t="str">
        <x:v>213C</x:v>
      </x:c>
      <x:c r="D129" s="79" t="str">
        <x:v>C * 256 + D</x:v>
      </x:c>
      <x:c r="E129" s="79" t="n">
        <x:v>0</x:v>
      </x:c>
      <x:c r="F129" s="79" t="n">
        <x:v>65535</x:v>
      </x:c>
      <x:c r="G129" s="79" t="str">
        <x:v>micro sec.</x:v>
      </x:c>
      <x:c r="H129" s="79" t="str">
        <x:v>7E0</x:v>
      </x:c>
      <x:c r="I129" s="79" t="str">
        <x:v>PRIUS_GEN3 / ZVW30</x:v>
      </x:c>
      <x:c r="J129" s="79" t="str">
        <x:v>ZVW30 Custom PIDs for Torque (Android App) 12Nov12.xlsx - US</x:v>
      </x:c>
      <x:c r="K129" s="79" t="str">
        <x:v>2012-11-12</x:v>
      </x:c>
      <x:c r="L129" s="79" t="str">
        <x:v>READ-ONLY DIAGNOSTIC CANDIDATE</x:v>
      </x:c>
      <x:c r="M129" s="79" t="str">
        <x:v>CANDIDATE</x:v>
      </x:c>
      <x:c r="N129" s="80" t="str">
        <x:v>Later US source; validate on ZVW30 before firmware use</x:v>
      </x:c>
    </x:row>
    <x:row r="130">
      <x:c r="A130" s="78" t="str">
        <x:v>Total FT #1</x:v>
      </x:c>
      <x:c r="B130" s="79" t="str">
        <x:v>Total FT1</x:v>
      </x:c>
      <x:c r="C130" s="79" t="str">
        <x:v>213C</x:v>
      </x:c>
      <x:c r="D130" s="79" t="str">
        <x:v>E * 0.996 / 255 - 0.5</x:v>
      </x:c>
      <x:c r="E130" s="79" t="n">
        <x:v>-0.5</x:v>
      </x:c>
      <x:c r="F130" s="79" t="n">
        <x:v>0.496</x:v>
      </x:c>
      <x:c r="G130" s="79"/>
      <x:c r="H130" s="79" t="str">
        <x:v>7E0</x:v>
      </x:c>
      <x:c r="I130" s="79" t="str">
        <x:v>PRIUS_GEN3 / ZVW30</x:v>
      </x:c>
      <x:c r="J130" s="79" t="str">
        <x:v>ZVW30 Custom PIDs for Torque (Android App) 12Nov12.xlsx - US</x:v>
      </x:c>
      <x:c r="K130" s="79" t="str">
        <x:v>2012-11-12</x:v>
      </x:c>
      <x:c r="L130" s="79" t="str">
        <x:v>READ-ONLY DIAGNOSTIC CANDIDATE</x:v>
      </x:c>
      <x:c r="M130" s="79" t="str">
        <x:v>CANDIDATE</x:v>
      </x:c>
      <x:c r="N130" s="80" t="str">
        <x:v>Later US source; validate on ZVW30 before firmware use</x:v>
      </x:c>
    </x:row>
    <x:row r="131">
      <x:c r="A131" s="78" t="str">
        <x:v>VVT Aim Angle #1</x:v>
      </x:c>
      <x:c r="B131" s="79" t="str">
        <x:v>VVTAA1</x:v>
      </x:c>
      <x:c r="C131" s="79" t="str">
        <x:v>2144</x:v>
      </x:c>
      <x:c r="D131" s="79" t="str">
        <x:v>(A * 256 + B) * 399.9 / 65535</x:v>
      </x:c>
      <x:c r="E131" s="79" t="n">
        <x:v>0</x:v>
      </x:c>
      <x:c r="F131" s="79" t="n">
        <x:v>100</x:v>
      </x:c>
      <x:c r="G131" s="79" t="str">
        <x:v>%</x:v>
      </x:c>
      <x:c r="H131" s="79" t="str">
        <x:v>7E0</x:v>
      </x:c>
      <x:c r="I131" s="79" t="str">
        <x:v>PRIUS_GEN3 / ZVW30</x:v>
      </x:c>
      <x:c r="J131" s="79" t="str">
        <x:v>ZVW30 Custom PIDs for Torque (Android App) 12Nov12.xlsx - US</x:v>
      </x:c>
      <x:c r="K131" s="79" t="str">
        <x:v>2012-11-12</x:v>
      </x:c>
      <x:c r="L131" s="79" t="str">
        <x:v>READ-ONLY DIAGNOSTIC CANDIDATE</x:v>
      </x:c>
      <x:c r="M131" s="79" t="str">
        <x:v>CANDIDATE</x:v>
      </x:c>
      <x:c r="N131" s="80" t="str">
        <x:v>Later US source; validate on ZVW30 before firmware use</x:v>
      </x:c>
    </x:row>
    <x:row r="132">
      <x:c r="A132" s="78" t="str">
        <x:v>VVT OCV Duty #1</x:v>
      </x:c>
      <x:c r="B132" s="79" t="str">
        <x:v>VVTOCVD1</x:v>
      </x:c>
      <x:c r="C132" s="79" t="str">
        <x:v>2144</x:v>
      </x:c>
      <x:c r="D132" s="79" t="str">
        <x:v>(C * 256 + D) * 399.9 / 65535</x:v>
      </x:c>
      <x:c r="E132" s="79" t="n">
        <x:v>0</x:v>
      </x:c>
      <x:c r="F132" s="79" t="n">
        <x:v>100</x:v>
      </x:c>
      <x:c r="G132" s="79" t="str">
        <x:v>%</x:v>
      </x:c>
      <x:c r="H132" s="79" t="str">
        <x:v>7E0</x:v>
      </x:c>
      <x:c r="I132" s="79" t="str">
        <x:v>PRIUS_GEN3 / ZVW30</x:v>
      </x:c>
      <x:c r="J132" s="79" t="str">
        <x:v>ZVW30 Custom PIDs for Torque (Android App) 12Nov12.xlsx - US</x:v>
      </x:c>
      <x:c r="K132" s="79" t="str">
        <x:v>2012-11-12</x:v>
      </x:c>
      <x:c r="L132" s="79" t="str">
        <x:v>READ-ONLY DIAGNOSTIC CANDIDATE</x:v>
      </x:c>
      <x:c r="M132" s="79" t="str">
        <x:v>CANDIDATE</x:v>
      </x:c>
      <x:c r="N132" s="80" t="str">
        <x:v>Later US source; validate on ZVW30 before firmware use</x:v>
      </x:c>
    </x:row>
    <x:row r="133">
      <x:c r="A133" s="78" t="str">
        <x:v>VVT Change Angle #1</x:v>
      </x:c>
      <x:c r="B133" s="79" t="str">
        <x:v>VVTCA1</x:v>
      </x:c>
      <x:c r="C133" s="79" t="str">
        <x:v>2144</x:v>
      </x:c>
      <x:c r="D133" s="79" t="str">
        <x:v>(E * 256 + F) * 639.9 / 65535</x:v>
      </x:c>
      <x:c r="E133" s="79" t="n">
        <x:v>0</x:v>
      </x:c>
      <x:c r="F133" s="79" t="n">
        <x:v>639.9</x:v>
      </x:c>
      <x:c r="G133" s="79" t="str">
        <x:v>DegFR</x:v>
      </x:c>
      <x:c r="H133" s="79" t="str">
        <x:v>7E0</x:v>
      </x:c>
      <x:c r="I133" s="79" t="str">
        <x:v>PRIUS_GEN3 / ZVW30</x:v>
      </x:c>
      <x:c r="J133" s="79" t="str">
        <x:v>ZVW30 Custom PIDs for Torque (Android App) 12Nov12.xlsx - US</x:v>
      </x:c>
      <x:c r="K133" s="79" t="str">
        <x:v>2012-11-12</x:v>
      </x:c>
      <x:c r="L133" s="79" t="str">
        <x:v>READ-ONLY DIAGNOSTIC CANDIDATE</x:v>
      </x:c>
      <x:c r="M133" s="79" t="str">
        <x:v>CANDIDATE</x:v>
      </x:c>
      <x:c r="N133" s="80" t="str">
        <x:v>Later US source; validate on ZVW30 before firmware use</x:v>
      </x:c>
    </x:row>
    <x:row r="134">
      <x:c r="A134" s="78" t="str">
        <x:v>Misfire RPM</x:v>
      </x:c>
      <x:c r="B134" s="79" t="str">
        <x:v>MisfireRPM</x:v>
      </x:c>
      <x:c r="C134" s="79" t="str">
        <x:v>2145</x:v>
      </x:c>
      <x:c r="D134" s="79" t="str">
        <x:v>B * 25</x:v>
      </x:c>
      <x:c r="E134" s="79" t="n">
        <x:v>0</x:v>
      </x:c>
      <x:c r="F134" s="79" t="n">
        <x:v>6375</x:v>
      </x:c>
      <x:c r="G134" s="79" t="str">
        <x:v>RPM</x:v>
      </x:c>
      <x:c r="H134" s="79" t="str">
        <x:v>7E0</x:v>
      </x:c>
      <x:c r="I134" s="79" t="str">
        <x:v>PRIUS_GEN3 / ZVW30</x:v>
      </x:c>
      <x:c r="J134" s="79" t="str">
        <x:v>ZVW30 Custom PIDs for Torque (Android App) 12Nov12.xlsx - US</x:v>
      </x:c>
      <x:c r="K134" s="79" t="str">
        <x:v>2012-11-12</x:v>
      </x:c>
      <x:c r="L134" s="79" t="str">
        <x:v>READ-ONLY DIAGNOSTIC CANDIDATE</x:v>
      </x:c>
      <x:c r="M134" s="79" t="str">
        <x:v>CANDIDATE</x:v>
      </x:c>
      <x:c r="N134" s="80" t="str">
        <x:v>Later US source; validate on ZVW30 before firmware use</x:v>
      </x:c>
    </x:row>
    <x:row r="135">
      <x:c r="A135" s="78" t="str">
        <x:v>Misfire Load</x:v>
      </x:c>
      <x:c r="B135" s="79" t="str">
        <x:v>MisfireLoad</x:v>
      </x:c>
      <x:c r="C135" s="79" t="str">
        <x:v>2145</x:v>
      </x:c>
      <x:c r="D135" s="79" t="str">
        <x:v>C * 3.98 / 255</x:v>
      </x:c>
      <x:c r="E135" s="79" t="n">
        <x:v>0</x:v>
      </x:c>
      <x:c r="F135" s="79" t="n">
        <x:v>3.98</x:v>
      </x:c>
      <x:c r="G135" s="79" t="str">
        <x:v>g/rev</x:v>
      </x:c>
      <x:c r="H135" s="79" t="str">
        <x:v>7E0</x:v>
      </x:c>
      <x:c r="I135" s="79" t="str">
        <x:v>PRIUS_GEN3 / ZVW30</x:v>
      </x:c>
      <x:c r="J135" s="79" t="str">
        <x:v>ZVW30 Custom PIDs for Torque (Android App) 12Nov12.xlsx - US</x:v>
      </x:c>
      <x:c r="K135" s="79" t="str">
        <x:v>2012-11-12</x:v>
      </x:c>
      <x:c r="L135" s="79" t="str">
        <x:v>READ-ONLY DIAGNOSTIC CANDIDATE</x:v>
      </x:c>
      <x:c r="M135" s="79" t="str">
        <x:v>CANDIDATE</x:v>
      </x:c>
      <x:c r="N135" s="80" t="str">
        <x:v>Later US source; validate on ZVW30 before firmware use</x:v>
      </x:c>
    </x:row>
    <x:row r="136">
      <x:c r="A136" s="78" t="str">
        <x:v>Cylinder #1 Misfire Count</x:v>
      </x:c>
      <x:c r="B136" s="79" t="str">
        <x:v>MisfireCnt#1</x:v>
      </x:c>
      <x:c r="C136" s="79" t="str">
        <x:v>2145</x:v>
      </x:c>
      <x:c r="D136" s="79" t="str">
        <x:v>D</x:v>
      </x:c>
      <x:c r="E136" s="79" t="n">
        <x:v>0</x:v>
      </x:c>
      <x:c r="F136" s="79" t="n">
        <x:v>255</x:v>
      </x:c>
      <x:c r="G136" s="79"/>
      <x:c r="H136" s="79" t="str">
        <x:v>7E0</x:v>
      </x:c>
      <x:c r="I136" s="79" t="str">
        <x:v>PRIUS_GEN3 / ZVW30</x:v>
      </x:c>
      <x:c r="J136" s="79" t="str">
        <x:v>ZVW30 Custom PIDs for Torque (Android App) 12Nov12.xlsx - US</x:v>
      </x:c>
      <x:c r="K136" s="79" t="str">
        <x:v>2012-11-12</x:v>
      </x:c>
      <x:c r="L136" s="79" t="str">
        <x:v>READ-ONLY DIAGNOSTIC CANDIDATE</x:v>
      </x:c>
      <x:c r="M136" s="79" t="str">
        <x:v>CANDIDATE</x:v>
      </x:c>
      <x:c r="N136" s="80" t="str">
        <x:v>Later US source; validate on ZVW30 before firmware use</x:v>
      </x:c>
    </x:row>
    <x:row r="137">
      <x:c r="A137" s="78" t="str">
        <x:v>Cylinder #2 Misfire Count</x:v>
      </x:c>
      <x:c r="B137" s="79" t="str">
        <x:v>MisfireCnt#2</x:v>
      </x:c>
      <x:c r="C137" s="79" t="str">
        <x:v>2145</x:v>
      </x:c>
      <x:c r="D137" s="79" t="str">
        <x:v>E</x:v>
      </x:c>
      <x:c r="E137" s="79" t="n">
        <x:v>0</x:v>
      </x:c>
      <x:c r="F137" s="79" t="n">
        <x:v>255</x:v>
      </x:c>
      <x:c r="G137" s="79"/>
      <x:c r="H137" s="79" t="str">
        <x:v>7E0</x:v>
      </x:c>
      <x:c r="I137" s="79" t="str">
        <x:v>PRIUS_GEN3 / ZVW30</x:v>
      </x:c>
      <x:c r="J137" s="79" t="str">
        <x:v>ZVW30 Custom PIDs for Torque (Android App) 12Nov12.xlsx - US</x:v>
      </x:c>
      <x:c r="K137" s="79" t="str">
        <x:v>2012-11-12</x:v>
      </x:c>
      <x:c r="L137" s="79" t="str">
        <x:v>READ-ONLY DIAGNOSTIC CANDIDATE</x:v>
      </x:c>
      <x:c r="M137" s="79" t="str">
        <x:v>CANDIDATE</x:v>
      </x:c>
      <x:c r="N137" s="80" t="str">
        <x:v>Later US source; validate on ZVW30 before firmware use</x:v>
      </x:c>
    </x:row>
    <x:row r="138">
      <x:c r="A138" s="78" t="str">
        <x:v>Cylinder #3 Misfire Count</x:v>
      </x:c>
      <x:c r="B138" s="79" t="str">
        <x:v>MisfireCnt#3</x:v>
      </x:c>
      <x:c r="C138" s="79" t="str">
        <x:v>2145</x:v>
      </x:c>
      <x:c r="D138" s="79" t="str">
        <x:v>F</x:v>
      </x:c>
      <x:c r="E138" s="79" t="n">
        <x:v>0</x:v>
      </x:c>
      <x:c r="F138" s="79" t="n">
        <x:v>255</x:v>
      </x:c>
      <x:c r="G138" s="79"/>
      <x:c r="H138" s="79" t="str">
        <x:v>7E0</x:v>
      </x:c>
      <x:c r="I138" s="79" t="str">
        <x:v>PRIUS_GEN3 / ZVW30</x:v>
      </x:c>
      <x:c r="J138" s="79" t="str">
        <x:v>ZVW30 Custom PIDs for Torque (Android App) 12Nov12.xlsx - US</x:v>
      </x:c>
      <x:c r="K138" s="79" t="str">
        <x:v>2012-11-12</x:v>
      </x:c>
      <x:c r="L138" s="79" t="str">
        <x:v>READ-ONLY DIAGNOSTIC CANDIDATE</x:v>
      </x:c>
      <x:c r="M138" s="79" t="str">
        <x:v>CANDIDATE</x:v>
      </x:c>
      <x:c r="N138" s="80" t="str">
        <x:v>Later US source; validate on ZVW30 before firmware use</x:v>
      </x:c>
    </x:row>
    <x:row r="139">
      <x:c r="A139" s="78" t="str">
        <x:v>Cylinder #4 Misfire Count</x:v>
      </x:c>
      <x:c r="B139" s="79" t="str">
        <x:v>MisfireCnt#4</x:v>
      </x:c>
      <x:c r="C139" s="79" t="str">
        <x:v>2145</x:v>
      </x:c>
      <x:c r="D139" s="79" t="str">
        <x:v>G</x:v>
      </x:c>
      <x:c r="E139" s="79" t="n">
        <x:v>0</x:v>
      </x:c>
      <x:c r="F139" s="79" t="n">
        <x:v>255</x:v>
      </x:c>
      <x:c r="G139" s="79"/>
      <x:c r="H139" s="79" t="str">
        <x:v>7E0</x:v>
      </x:c>
      <x:c r="I139" s="79" t="str">
        <x:v>PRIUS_GEN3 / ZVW30</x:v>
      </x:c>
      <x:c r="J139" s="79" t="str">
        <x:v>ZVW30 Custom PIDs for Torque (Android App) 12Nov12.xlsx - US</x:v>
      </x:c>
      <x:c r="K139" s="79" t="str">
        <x:v>2012-11-12</x:v>
      </x:c>
      <x:c r="L139" s="79" t="str">
        <x:v>READ-ONLY DIAGNOSTIC CANDIDATE</x:v>
      </x:c>
      <x:c r="M139" s="79" t="str">
        <x:v>CANDIDATE</x:v>
      </x:c>
      <x:c r="N139" s="80" t="str">
        <x:v>Later US source; validate on ZVW30 before firmware use</x:v>
      </x:c>
    </x:row>
    <x:row r="140">
      <x:c r="A140" s="78" t="str">
        <x:v>All Cylinders Misfire Count</x:v>
      </x:c>
      <x:c r="B140" s="79" t="str">
        <x:v>MisfireCntAll</x:v>
      </x:c>
      <x:c r="C140" s="79" t="str">
        <x:v>2145</x:v>
      </x:c>
      <x:c r="D140" s="79" t="str">
        <x:v>H</x:v>
      </x:c>
      <x:c r="E140" s="79" t="n">
        <x:v>0</x:v>
      </x:c>
      <x:c r="F140" s="79" t="n">
        <x:v>255</x:v>
      </x:c>
      <x:c r="G140" s="79"/>
      <x:c r="H140" s="79" t="str">
        <x:v>7E0</x:v>
      </x:c>
      <x:c r="I140" s="79" t="str">
        <x:v>PRIUS_GEN3 / ZVW30</x:v>
      </x:c>
      <x:c r="J140" s="79" t="str">
        <x:v>ZVW30 Custom PIDs for Torque (Android App) 12Nov12.xlsx - US</x:v>
      </x:c>
      <x:c r="K140" s="79" t="str">
        <x:v>2012-11-12</x:v>
      </x:c>
      <x:c r="L140" s="79" t="str">
        <x:v>READ-ONLY DIAGNOSTIC CANDIDATE</x:v>
      </x:c>
      <x:c r="M140" s="79" t="str">
        <x:v>CANDIDATE</x:v>
      </x:c>
      <x:c r="N140" s="80" t="str">
        <x:v>Later US source; validate on ZVW30 before firmware use</x:v>
      </x:c>
    </x:row>
    <x:row r="141">
      <x:c r="A141" s="78" t="str">
        <x:v>Ignition Trig. Count</x:v>
      </x:c>
      <x:c r="B141" s="79" t="str">
        <x:v>IgnTrigCnt</x:v>
      </x:c>
      <x:c r="C141" s="79" t="str">
        <x:v>2145</x:v>
      </x:c>
      <x:c r="D141" s="79" t="str">
        <x:v>I * 256 + J</x:v>
      </x:c>
      <x:c r="E141" s="79" t="n">
        <x:v>0</x:v>
      </x:c>
      <x:c r="F141" s="79" t="n">
        <x:v>65535</x:v>
      </x:c>
      <x:c r="G141" s="79"/>
      <x:c r="H141" s="79" t="str">
        <x:v>7E0</x:v>
      </x:c>
      <x:c r="I141" s="79" t="str">
        <x:v>PRIUS_GEN3 / ZVW30</x:v>
      </x:c>
      <x:c r="J141" s="79" t="str">
        <x:v>ZVW30 Custom PIDs for Torque (Android App) 12Nov12.xlsx - US</x:v>
      </x:c>
      <x:c r="K141" s="79" t="str">
        <x:v>2012-11-12</x:v>
      </x:c>
      <x:c r="L141" s="79" t="str">
        <x:v>READ-ONLY DIAGNOSTIC CANDIDATE</x:v>
      </x:c>
      <x:c r="M141" s="79" t="str">
        <x:v>CANDIDATE</x:v>
      </x:c>
      <x:c r="N141" s="80" t="str">
        <x:v>Later US source; validate on ZVW30 before firmware use</x:v>
      </x:c>
    </x:row>
    <x:row r="142">
      <x:c r="A142" s="78" t="str">
        <x:v>EGR Step Position</x:v>
      </x:c>
      <x:c r="B142" s="79" t="str">
        <x:v>EGR Step</x:v>
      </x:c>
      <x:c r="C142" s="79" t="str">
        <x:v>2147</x:v>
      </x:c>
      <x:c r="D142" s="79" t="str">
        <x:v>A</x:v>
      </x:c>
      <x:c r="E142" s="79" t="n">
        <x:v>0</x:v>
      </x:c>
      <x:c r="F142" s="79" t="n">
        <x:v>120</x:v>
      </x:c>
      <x:c r="G142" s="79" t="str">
        <x:v>step</x:v>
      </x:c>
      <x:c r="H142" s="79" t="str">
        <x:v>7E0</x:v>
      </x:c>
      <x:c r="I142" s="79" t="str">
        <x:v>PRIUS_GEN3 / ZVW30</x:v>
      </x:c>
      <x:c r="J142" s="79" t="str">
        <x:v>ZVW30 Custom PIDs for Torque (Android App) 12Nov12.xlsx - US</x:v>
      </x:c>
      <x:c r="K142" s="79" t="str">
        <x:v>2012-11-12</x:v>
      </x:c>
      <x:c r="L142" s="79" t="str">
        <x:v>READ-ONLY DIAGNOSTIC CANDIDATE</x:v>
      </x:c>
      <x:c r="M142" s="79" t="str">
        <x:v>CANDIDATE</x:v>
      </x:c>
      <x:c r="N142" s="80" t="str">
        <x:v>Later US source; validate on ZVW30 before firmware use</x:v>
      </x:c>
    </x:row>
    <x:row r="143">
      <x:c r="A143" s="78" t="str">
        <x:v>Requested Engine Torque</x:v>
      </x:c>
      <x:c r="B143" s="79" t="str">
        <x:v>ReqEngTorq</x:v>
      </x:c>
      <x:c r="C143" s="79" t="str">
        <x:v>2149</x:v>
      </x:c>
      <x:c r="D143" s="79" t="str">
        <x:v>(A * 256 + B) / 4 * 1.341022089595</x:v>
      </x:c>
      <x:c r="E143" s="79" t="n">
        <x:v>0</x:v>
      </x:c>
      <x:c r="F143" s="79" t="n">
        <x:v>98</x:v>
      </x:c>
      <x:c r="G143" s="79" t="str">
        <x:v>HP</x:v>
      </x:c>
      <x:c r="H143" s="79" t="str">
        <x:v>7E0</x:v>
      </x:c>
      <x:c r="I143" s="79" t="str">
        <x:v>PRIUS_GEN3 / ZVW30</x:v>
      </x:c>
      <x:c r="J143" s="79" t="str">
        <x:v>ZVW30 Custom PIDs for Torque (Android App) 12Nov12.xlsx - US</x:v>
      </x:c>
      <x:c r="K143" s="79" t="str">
        <x:v>2012-11-12</x:v>
      </x:c>
      <x:c r="L143" s="79" t="str">
        <x:v>READ-ONLY DIAGNOSTIC CANDIDATE</x:v>
      </x:c>
      <x:c r="M143" s="79" t="str">
        <x:v>CANDIDATE</x:v>
      </x:c>
      <x:c r="N143" s="80" t="str">
        <x:v>Later US source; validate on ZVW30 before firmware use</x:v>
      </x:c>
    </x:row>
    <x:row r="144">
      <x:c r="A144" s="78" t="str">
        <x:v>HV Target Engine Speed</x:v>
      </x:c>
      <x:c r="B144" s="79" t="str">
        <x:v>TgtEngSpd</x:v>
      </x:c>
      <x:c r="C144" s="79" t="str">
        <x:v>2149</x:v>
      </x:c>
      <x:c r="D144" s="79" t="str">
        <x:v>C * 25</x:v>
      </x:c>
      <x:c r="E144" s="79" t="n">
        <x:v>0</x:v>
      </x:c>
      <x:c r="F144" s="79" t="n">
        <x:v>5200</x:v>
      </x:c>
      <x:c r="G144" s="79" t="str">
        <x:v>RPM</x:v>
      </x:c>
      <x:c r="H144" s="79" t="str">
        <x:v>7E0</x:v>
      </x:c>
      <x:c r="I144" s="79" t="str">
        <x:v>PRIUS_GEN3 / ZVW30</x:v>
      </x:c>
      <x:c r="J144" s="79" t="str">
        <x:v>ZVW30 Custom PIDs for Torque (Android App) 12Nov12.xlsx - US</x:v>
      </x:c>
      <x:c r="K144" s="79" t="str">
        <x:v>2012-11-12</x:v>
      </x:c>
      <x:c r="L144" s="79" t="str">
        <x:v>READ-ONLY DIAGNOSTIC CANDIDATE</x:v>
      </x:c>
      <x:c r="M144" s="79" t="str">
        <x:v>CANDIDATE</x:v>
      </x:c>
      <x:c r="N144" s="80" t="str">
        <x:v>Later US source; validate on ZVW30 before firmware use</x:v>
      </x:c>
    </x:row>
    <x:row r="145">
      <x:c r="A145" s="78" t="str">
        <x:v>Actual Engine Torque</x:v>
      </x:c>
      <x:c r="B145" s="79" t="str">
        <x:v>ActEngTorq</x:v>
      </x:c>
      <x:c r="C145" s="79" t="str">
        <x:v>2149</x:v>
      </x:c>
      <x:c r="D145" s="79" t="str">
        <x:v>((D * 256 + E) - 32768) * 0.7375621</x:v>
      </x:c>
      <x:c r="E145" s="79" t="n">
        <x:v>0</x:v>
      </x:c>
      <x:c r="F145" s="79" t="n">
        <x:v>110</x:v>
      </x:c>
      <x:c r="G145" s="79" t="str">
        <x:v>ft·lb</x:v>
      </x:c>
      <x:c r="H145" s="79" t="str">
        <x:v>7E0</x:v>
      </x:c>
      <x:c r="I145" s="79" t="str">
        <x:v>PRIUS_GEN3 / ZVW30</x:v>
      </x:c>
      <x:c r="J145" s="79" t="str">
        <x:v>ZVW30 Custom PIDs for Torque (Android App) 12Nov12.xlsx - US</x:v>
      </x:c>
      <x:c r="K145" s="79" t="str">
        <x:v>2012-11-12</x:v>
      </x:c>
      <x:c r="L145" s="79" t="str">
        <x:v>READ-ONLY DIAGNOSTIC CANDIDATE</x:v>
      </x:c>
      <x:c r="M145" s="79" t="str">
        <x:v>CANDIDATE</x:v>
      </x:c>
      <x:c r="N145" s="80" t="str">
        <x:v>Later US source; validate on ZVW30 before firmware use</x:v>
      </x:c>
    </x:row>
    <x:row r="146">
      <x:c r="A146" s="78" t="str">
        <x:v>Engine Run Time (Up to 255 sec. only)</x:v>
      </x:c>
      <x:c r="B146" s="79" t="str">
        <x:v>ign sec</x:v>
      </x:c>
      <x:c r="C146" s="79" t="str">
        <x:v>2149</x:v>
      </x:c>
      <x:c r="D146" s="79" t="str">
        <x:v>F</x:v>
      </x:c>
      <x:c r="E146" s="79" t="n">
        <x:v>0</x:v>
      </x:c>
      <x:c r="F146" s="79" t="n">
        <x:v>255</x:v>
      </x:c>
      <x:c r="G146" s="79" t="str">
        <x:v>sec.</x:v>
      </x:c>
      <x:c r="H146" s="79" t="str">
        <x:v>7E0</x:v>
      </x:c>
      <x:c r="I146" s="79" t="str">
        <x:v>PRIUS_GEN3 / ZVW30</x:v>
      </x:c>
      <x:c r="J146" s="79" t="str">
        <x:v>ZVW30 Custom PIDs for Torque (Android App) 12Nov12.xlsx - US</x:v>
      </x:c>
      <x:c r="K146" s="79" t="str">
        <x:v>2012-11-12</x:v>
      </x:c>
      <x:c r="L146" s="79" t="str">
        <x:v>READ-ONLY DIAGNOSTIC CANDIDATE</x:v>
      </x:c>
      <x:c r="M146" s="79" t="str">
        <x:v>CANDIDATE</x:v>
      </x:c>
      <x:c r="N146" s="80" t="str">
        <x:v>Later US source; validate on ZVW30 before firmware use</x:v>
      </x:c>
    </x:row>
    <x:row r="147">
      <x:c r="A147" s="78" t="str">
        <x:v>Request Engine Run Time</x:v>
      </x:c>
      <x:c r="B147" s="79" t="str">
        <x:v>ReqEngRun</x:v>
      </x:c>
      <x:c r="C147" s="79" t="str">
        <x:v>2149</x:v>
      </x:c>
      <x:c r="D147" s="79" t="str">
        <x:v>G / 10</x:v>
      </x:c>
      <x:c r="E147" s="79" t="n">
        <x:v>0</x:v>
      </x:c>
      <x:c r="F147" s="79" t="n">
        <x:v>25.5</x:v>
      </x:c>
      <x:c r="G147" s="79" t="str">
        <x:v>sec.</x:v>
      </x:c>
      <x:c r="H147" s="79" t="str">
        <x:v>7E0</x:v>
      </x:c>
      <x:c r="I147" s="79" t="str">
        <x:v>PRIUS_GEN3 / ZVW30</x:v>
      </x:c>
      <x:c r="J147" s="79" t="str">
        <x:v>ZVW30 Custom PIDs for Torque (Android App) 12Nov12.xlsx - US</x:v>
      </x:c>
      <x:c r="K147" s="79" t="str">
        <x:v>2012-11-12</x:v>
      </x:c>
      <x:c r="L147" s="79" t="str">
        <x:v>READ-ONLY DIAGNOSTIC CANDIDATE</x:v>
      </x:c>
      <x:c r="M147" s="79" t="str">
        <x:v>CANDIDATE</x:v>
      </x:c>
      <x:c r="N147" s="80" t="str">
        <x:v>Later US source; validate on ZVW30 before firmware use</x:v>
      </x:c>
    </x:row>
    <x:row r="148">
      <x:c r="A148" s="78" t="str">
        <x:v>Judge Time Engine Ignition</x:v>
      </x:c>
      <x:c r="B148" s="79" t="str">
        <x:v>JTEI</x:v>
      </x:c>
      <x:c r="C148" s="79" t="str">
        <x:v>2149</x:v>
      </x:c>
      <x:c r="D148" s="79" t="str">
        <x:v>H / 10</x:v>
      </x:c>
      <x:c r="E148" s="79" t="n">
        <x:v>0</x:v>
      </x:c>
      <x:c r="F148" s="79" t="n">
        <x:v>25.5</x:v>
      </x:c>
      <x:c r="G148" s="79" t="str">
        <x:v>sec.</x:v>
      </x:c>
      <x:c r="H148" s="79" t="str">
        <x:v>7E0</x:v>
      </x:c>
      <x:c r="I148" s="79" t="str">
        <x:v>PRIUS_GEN3 / ZVW30</x:v>
      </x:c>
      <x:c r="J148" s="79" t="str">
        <x:v>ZVW30 Custom PIDs for Torque (Android App) 12Nov12.xlsx - US</x:v>
      </x:c>
      <x:c r="K148" s="79" t="str">
        <x:v>2012-11-12</x:v>
      </x:c>
      <x:c r="L148" s="79" t="str">
        <x:v>READ-ONLY DIAGNOSTIC CANDIDATE</x:v>
      </x:c>
      <x:c r="M148" s="79" t="str">
        <x:v>CANDIDATE</x:v>
      </x:c>
      <x:c r="N148" s="80" t="str">
        <x:v>Later US source; validate on ZVW30 before firmware use</x:v>
      </x:c>
    </x:row>
    <x:row r="149">
      <x:c r="A149" s="78" t="str">
        <x:v>Judge Time Engine Output</x:v>
      </x:c>
      <x:c r="B149" s="79" t="str">
        <x:v>JTEO</x:v>
      </x:c>
      <x:c r="C149" s="79" t="str">
        <x:v>2149</x:v>
      </x:c>
      <x:c r="D149" s="79" t="str">
        <x:v>I / 10</x:v>
      </x:c>
      <x:c r="E149" s="79" t="n">
        <x:v>0</x:v>
      </x:c>
      <x:c r="F149" s="79" t="n">
        <x:v>25.5</x:v>
      </x:c>
      <x:c r="G149" s="79" t="str">
        <x:v>sec.</x:v>
      </x:c>
      <x:c r="H149" s="79" t="str">
        <x:v>7E0</x:v>
      </x:c>
      <x:c r="I149" s="79" t="str">
        <x:v>PRIUS_GEN3 / ZVW30</x:v>
      </x:c>
      <x:c r="J149" s="79" t="str">
        <x:v>ZVW30 Custom PIDs for Torque (Android App) 12Nov12.xlsx - US</x:v>
      </x:c>
      <x:c r="K149" s="79" t="str">
        <x:v>2012-11-12</x:v>
      </x:c>
      <x:c r="L149" s="79" t="str">
        <x:v>READ-ONLY DIAGNOSTIC CANDIDATE</x:v>
      </x:c>
      <x:c r="M149" s="79" t="str">
        <x:v>CANDIDATE</x:v>
      </x:c>
      <x:c r="N149" s="80" t="str">
        <x:v>Later US source; validate on ZVW30 before firmware use</x:v>
      </x:c>
    </x:row>
    <x:row r="150">
      <x:c r="A150" s="78" t="str">
        <x:v>ISC Learning Value</x:v>
      </x:c>
      <x:c r="B150" s="79" t="str">
        <x:v>ISCLV</x:v>
      </x:c>
      <x:c r="C150" s="79" t="str">
        <x:v>2149</x:v>
      </x:c>
      <x:c r="D150" s="79" t="str">
        <x:v>(J * 256 + K) * 79.998 / 65535</x:v>
      </x:c>
      <x:c r="E150" s="79" t="n">
        <x:v>0</x:v>
      </x:c>
      <x:c r="F150" s="79" t="n">
        <x:v>79.998</x:v>
      </x:c>
      <x:c r="G150" s="79" t="str">
        <x:v>L/s</x:v>
      </x:c>
      <x:c r="H150" s="79" t="str">
        <x:v>7E0</x:v>
      </x:c>
      <x:c r="I150" s="79" t="str">
        <x:v>PRIUS_GEN3 / ZVW30</x:v>
      </x:c>
      <x:c r="J150" s="79" t="str">
        <x:v>ZVW30 Custom PIDs for Torque (Android App) 12Nov12.xlsx - US</x:v>
      </x:c>
      <x:c r="K150" s="79" t="str">
        <x:v>2012-11-12</x:v>
      </x:c>
      <x:c r="L150" s="79" t="str">
        <x:v>READ-ONLY DIAGNOSTIC CANDIDATE</x:v>
      </x:c>
      <x:c r="M150" s="79" t="str">
        <x:v>CANDIDATE</x:v>
      </x:c>
      <x:c r="N150" s="80" t="str">
        <x:v>Later US source; validate on ZVW30 before firmware use</x:v>
      </x:c>
    </x:row>
    <x:row r="151">
      <x:c r="A151" s="78" t="str">
        <x:v>Engine Independent Control</x:v>
      </x:c>
      <x:c r="B151" s="79" t="str">
        <x:v>EngIC</x:v>
      </x:c>
      <x:c r="C151" s="79" t="str">
        <x:v>2149</x:v>
      </x:c>
      <x:c r="D151" s="79" t="str">
        <x:v>{L:7}</x:v>
      </x:c>
      <x:c r="E151" s="79" t="n">
        <x:v>0</x:v>
      </x:c>
      <x:c r="F151" s="79" t="n">
        <x:v>1</x:v>
      </x:c>
      <x:c r="G151" s="79" t="str">
        <x:v>Off/On</x:v>
      </x:c>
      <x:c r="H151" s="79" t="str">
        <x:v>7E0</x:v>
      </x:c>
      <x:c r="I151" s="79" t="str">
        <x:v>PRIUS_GEN3 / ZVW30</x:v>
      </x:c>
      <x:c r="J151" s="79" t="str">
        <x:v>ZVW30 Custom PIDs for Torque (Android App) 12Nov12.xlsx - US</x:v>
      </x:c>
      <x:c r="K151" s="79" t="str">
        <x:v>2012-11-12</x:v>
      </x:c>
      <x:c r="L151" s="79" t="str">
        <x:v>READ-ONLY DIAGNOSTIC CANDIDATE</x:v>
      </x:c>
      <x:c r="M151" s="79" t="str">
        <x:v>CANDIDATE</x:v>
      </x:c>
      <x:c r="N151" s="80" t="str">
        <x:v>Later US source; validate on ZVW30 before firmware use</x:v>
      </x:c>
    </x:row>
    <x:row r="152">
      <x:c r="A152" s="78" t="str">
        <x:v>Request Warm-up</x:v>
      </x:c>
      <x:c r="B152" s="79" t="str">
        <x:v>WarmUp</x:v>
      </x:c>
      <x:c r="C152" s="79" t="str">
        <x:v>2149</x:v>
      </x:c>
      <x:c r="D152" s="79" t="str">
        <x:v>{L:6}</x:v>
      </x:c>
      <x:c r="E152" s="79" t="n">
        <x:v>0</x:v>
      </x:c>
      <x:c r="F152" s="79" t="n">
        <x:v>1</x:v>
      </x:c>
      <x:c r="G152" s="79" t="str">
        <x:v>Off/On</x:v>
      </x:c>
      <x:c r="H152" s="79" t="str">
        <x:v>7E0</x:v>
      </x:c>
      <x:c r="I152" s="79" t="str">
        <x:v>PRIUS_GEN3 / ZVW30</x:v>
      </x:c>
      <x:c r="J152" s="79" t="str">
        <x:v>ZVW30 Custom PIDs for Torque (Android App) 12Nov12.xlsx - US</x:v>
      </x:c>
      <x:c r="K152" s="79" t="str">
        <x:v>2012-11-12</x:v>
      </x:c>
      <x:c r="L152" s="79" t="str">
        <x:v>READ-ONLY DIAGNOSTIC CANDIDATE</x:v>
      </x:c>
      <x:c r="M152" s="79" t="str">
        <x:v>CANDIDATE</x:v>
      </x:c>
      <x:c r="N152" s="80" t="str">
        <x:v>Later US source; validate on ZVW30 before firmware use</x:v>
      </x:c>
    </x:row>
    <x:row r="153">
      <x:c r="A153" s="78" t="str">
        <x:v>Racing Operation</x:v>
      </x:c>
      <x:c r="B153" s="79" t="str">
        <x:v>Racing</x:v>
      </x:c>
      <x:c r="C153" s="79" t="str">
        <x:v>2149</x:v>
      </x:c>
      <x:c r="D153" s="79" t="str">
        <x:v>{L:5}</x:v>
      </x:c>
      <x:c r="E153" s="79" t="n">
        <x:v>0</x:v>
      </x:c>
      <x:c r="F153" s="79" t="n">
        <x:v>1</x:v>
      </x:c>
      <x:c r="G153" s="79" t="str">
        <x:v>Off/On</x:v>
      </x:c>
      <x:c r="H153" s="79" t="str">
        <x:v>7E0</x:v>
      </x:c>
      <x:c r="I153" s="79" t="str">
        <x:v>PRIUS_GEN3 / ZVW30</x:v>
      </x:c>
      <x:c r="J153" s="79" t="str">
        <x:v>ZVW30 Custom PIDs for Torque (Android App) 12Nov12.xlsx - US</x:v>
      </x:c>
      <x:c r="K153" s="79" t="str">
        <x:v>2012-11-12</x:v>
      </x:c>
      <x:c r="L153" s="79" t="str">
        <x:v>READ-ONLY DIAGNOSTIC CANDIDATE</x:v>
      </x:c>
      <x:c r="M153" s="79" t="str">
        <x:v>CANDIDATE</x:v>
      </x:c>
      <x:c r="N153" s="80" t="str">
        <x:v>Later US source; validate on ZVW30 before firmware use</x:v>
      </x:c>
    </x:row>
    <x:row r="154">
      <x:c r="A154" s="78" t="str">
        <x:v>Engine Independent</x:v>
      </x:c>
      <x:c r="B154" s="79" t="str">
        <x:v>EngI</x:v>
      </x:c>
      <x:c r="C154" s="79" t="str">
        <x:v>2149</x:v>
      </x:c>
      <x:c r="D154" s="79" t="str">
        <x:v>{L:4}</x:v>
      </x:c>
      <x:c r="E154" s="79" t="n">
        <x:v>0</x:v>
      </x:c>
      <x:c r="F154" s="79" t="n">
        <x:v>1</x:v>
      </x:c>
      <x:c r="G154" s="79" t="str">
        <x:v>Off/On</x:v>
      </x:c>
      <x:c r="H154" s="79" t="str">
        <x:v>7E0</x:v>
      </x:c>
      <x:c r="I154" s="79" t="str">
        <x:v>PRIUS_GEN3 / ZVW30</x:v>
      </x:c>
      <x:c r="J154" s="79" t="str">
        <x:v>ZVW30 Custom PIDs for Torque (Android App) 12Nov12.xlsx - US</x:v>
      </x:c>
      <x:c r="K154" s="79" t="str">
        <x:v>2012-11-12</x:v>
      </x:c>
      <x:c r="L154" s="79" t="str">
        <x:v>READ-ONLY DIAGNOSTIC CANDIDATE</x:v>
      </x:c>
      <x:c r="M154" s="79" t="str">
        <x:v>CANDIDATE</x:v>
      </x:c>
      <x:c r="N154" s="80" t="str">
        <x:v>Later US source; validate on ZVW30 before firmware use</x:v>
      </x:c>
    </x:row>
    <x:row r="155">
      <x:c r="A155" s="78" t="str">
        <x:v>F/C for Engine Stop Req</x:v>
      </x:c>
      <x:c r="B155" s="79" t="str">
        <x:v>FCEngStp</x:v>
      </x:c>
      <x:c r="C155" s="79" t="str">
        <x:v>2149</x:v>
      </x:c>
      <x:c r="D155" s="79" t="str">
        <x:v>{L:3}</x:v>
      </x:c>
      <x:c r="E155" s="79" t="n">
        <x:v>0</x:v>
      </x:c>
      <x:c r="F155" s="79" t="n">
        <x:v>1</x:v>
      </x:c>
      <x:c r="G155" s="79" t="str">
        <x:v>Off/On</x:v>
      </x:c>
      <x:c r="H155" s="79" t="str">
        <x:v>7E0</x:v>
      </x:c>
      <x:c r="I155" s="79" t="str">
        <x:v>PRIUS_GEN3 / ZVW30</x:v>
      </x:c>
      <x:c r="J155" s="79" t="str">
        <x:v>ZVW30 Custom PIDs for Torque (Android App) 12Nov12.xlsx - US</x:v>
      </x:c>
      <x:c r="K155" s="79" t="str">
        <x:v>2012-11-12</x:v>
      </x:c>
      <x:c r="L155" s="79" t="str">
        <x:v>READ-ONLY DIAGNOSTIC CANDIDATE</x:v>
      </x:c>
      <x:c r="M155" s="79" t="str">
        <x:v>CANDIDATE</x:v>
      </x:c>
      <x:c r="N155" s="80" t="str">
        <x:v>Later US source; validate on ZVW30 before firmware use</x:v>
      </x:c>
    </x:row>
    <x:row r="156">
      <x:c r="A156" s="78" t="str">
        <x:v>ISC Learning</x:v>
      </x:c>
      <x:c r="B156" s="79" t="str">
        <x:v>ISCL</x:v>
      </x:c>
      <x:c r="C156" s="79" t="str">
        <x:v>2149</x:v>
      </x:c>
      <x:c r="D156" s="79" t="str">
        <x:v>{L:2}</x:v>
      </x:c>
      <x:c r="E156" s="79" t="n">
        <x:v>0</x:v>
      </x:c>
      <x:c r="F156" s="79" t="n">
        <x:v>1</x:v>
      </x:c>
      <x:c r="G156" s="79" t="str">
        <x:v>Off/On</x:v>
      </x:c>
      <x:c r="H156" s="79" t="str">
        <x:v>7E0</x:v>
      </x:c>
      <x:c r="I156" s="79" t="str">
        <x:v>PRIUS_GEN3 / ZVW30</x:v>
      </x:c>
      <x:c r="J156" s="79" t="str">
        <x:v>ZVW30 Custom PIDs for Torque (Android App) 12Nov12.xlsx - US</x:v>
      </x:c>
      <x:c r="K156" s="79" t="str">
        <x:v>2012-11-12</x:v>
      </x:c>
      <x:c r="L156" s="79" t="str">
        <x:v>READ-ONLY DIAGNOSTIC CANDIDATE</x:v>
      </x:c>
      <x:c r="M156" s="79" t="str">
        <x:v>CANDIDATE</x:v>
      </x:c>
      <x:c r="N156" s="80" t="str">
        <x:v>Later US source; validate on ZVW30 before firmware use</x:v>
      </x:c>
    </x:row>
    <x:row r="157">
      <x:c r="A157" s="78" t="str">
        <x:v>Engine Speed of Cyl #1 (51199 rpm: Active Test not performed)</x:v>
      </x:c>
      <x:c r="B157" s="79" t="str">
        <x:v>RPM#1</x:v>
      </x:c>
      <x:c r="C157" s="79" t="str">
        <x:v>2154</x:v>
      </x:c>
      <x:c r="D157" s="79" t="str">
        <x:v>(A * 256 + B) * 51199 / 65535</x:v>
      </x:c>
      <x:c r="E157" s="79" t="n">
        <x:v>0</x:v>
      </x:c>
      <x:c r="F157" s="79" t="n">
        <x:v>51199</x:v>
      </x:c>
      <x:c r="G157" s="79" t="str">
        <x:v>RPM</x:v>
      </x:c>
      <x:c r="H157" s="79" t="str">
        <x:v>7E0</x:v>
      </x:c>
      <x:c r="I157" s="79" t="str">
        <x:v>PRIUS_GEN3 / ZVW30</x:v>
      </x:c>
      <x:c r="J157" s="79" t="str">
        <x:v>ZVW30 Custom PIDs for Torque (Android App) 12Nov12.xlsx - US</x:v>
      </x:c>
      <x:c r="K157" s="79" t="str">
        <x:v>2012-11-12</x:v>
      </x:c>
      <x:c r="L157" s="79" t="str">
        <x:v>READ-ONLY DIAGNOSTIC CANDIDATE</x:v>
      </x:c>
      <x:c r="M157" s="79" t="str">
        <x:v>CANDIDATE</x:v>
      </x:c>
      <x:c r="N157" s="80" t="str">
        <x:v>Later US source; validate on ZVW30 before firmware use</x:v>
      </x:c>
    </x:row>
    <x:row r="158">
      <x:c r="A158" s="78" t="str">
        <x:v>Engine Speed of Cyl #2 (51199 rpm: Active Test not performed)</x:v>
      </x:c>
      <x:c r="B158" s="79" t="str">
        <x:v>RPM#2</x:v>
      </x:c>
      <x:c r="C158" s="79" t="str">
        <x:v>2154</x:v>
      </x:c>
      <x:c r="D158" s="79" t="str">
        <x:v>(C * 256 + D) * 51199 / 65535</x:v>
      </x:c>
      <x:c r="E158" s="79" t="n">
        <x:v>0</x:v>
      </x:c>
      <x:c r="F158" s="79" t="n">
        <x:v>51199</x:v>
      </x:c>
      <x:c r="G158" s="79" t="str">
        <x:v>RPM</x:v>
      </x:c>
      <x:c r="H158" s="79" t="str">
        <x:v>7E0</x:v>
      </x:c>
      <x:c r="I158" s="79" t="str">
        <x:v>PRIUS_GEN3 / ZVW30</x:v>
      </x:c>
      <x:c r="J158" s="79" t="str">
        <x:v>ZVW30 Custom PIDs for Torque (Android App) 12Nov12.xlsx - US</x:v>
      </x:c>
      <x:c r="K158" s="79" t="str">
        <x:v>2012-11-12</x:v>
      </x:c>
      <x:c r="L158" s="79" t="str">
        <x:v>READ-ONLY DIAGNOSTIC CANDIDATE</x:v>
      </x:c>
      <x:c r="M158" s="79" t="str">
        <x:v>CANDIDATE</x:v>
      </x:c>
      <x:c r="N158" s="80" t="str">
        <x:v>Later US source; validate on ZVW30 before firmware use</x:v>
      </x:c>
    </x:row>
    <x:row r="159">
      <x:c r="A159" s="78" t="str">
        <x:v>Engine Speed of Cyl #3 (51199 rpm: Active Test not performed)</x:v>
      </x:c>
      <x:c r="B159" s="79" t="str">
        <x:v>RPM#3</x:v>
      </x:c>
      <x:c r="C159" s="79" t="str">
        <x:v>2154</x:v>
      </x:c>
      <x:c r="D159" s="79" t="str">
        <x:v>(E * 256 + F) * 51199 / 65535</x:v>
      </x:c>
      <x:c r="E159" s="79" t="n">
        <x:v>0</x:v>
      </x:c>
      <x:c r="F159" s="79" t="n">
        <x:v>51199</x:v>
      </x:c>
      <x:c r="G159" s="79" t="str">
        <x:v>RPM</x:v>
      </x:c>
      <x:c r="H159" s="79" t="str">
        <x:v>7E0</x:v>
      </x:c>
      <x:c r="I159" s="79" t="str">
        <x:v>PRIUS_GEN3 / ZVW30</x:v>
      </x:c>
      <x:c r="J159" s="79" t="str">
        <x:v>ZVW30 Custom PIDs for Torque (Android App) 12Nov12.xlsx - US</x:v>
      </x:c>
      <x:c r="K159" s="79" t="str">
        <x:v>2012-11-12</x:v>
      </x:c>
      <x:c r="L159" s="79" t="str">
        <x:v>READ-ONLY DIAGNOSTIC CANDIDATE</x:v>
      </x:c>
      <x:c r="M159" s="79" t="str">
        <x:v>CANDIDATE</x:v>
      </x:c>
      <x:c r="N159" s="80" t="str">
        <x:v>Later US source; validate on ZVW30 before firmware use</x:v>
      </x:c>
    </x:row>
    <x:row r="160">
      <x:c r="A160" s="78" t="str">
        <x:v>Engine Speed of Cyl #4 (51199 rpm: Active Test not performed)</x:v>
      </x:c>
      <x:c r="B160" s="79" t="str">
        <x:v>RPM#4</x:v>
      </x:c>
      <x:c r="C160" s="79" t="str">
        <x:v>2154</x:v>
      </x:c>
      <x:c r="D160" s="79" t="str">
        <x:v>(G * 256 + H) * 51199 / 65535</x:v>
      </x:c>
      <x:c r="E160" s="79" t="n">
        <x:v>0</x:v>
      </x:c>
      <x:c r="F160" s="79" t="n">
        <x:v>51199</x:v>
      </x:c>
      <x:c r="G160" s="79" t="str">
        <x:v>RPM</x:v>
      </x:c>
      <x:c r="H160" s="79" t="str">
        <x:v>7E0</x:v>
      </x:c>
      <x:c r="I160" s="79" t="str">
        <x:v>PRIUS_GEN3 / ZVW30</x:v>
      </x:c>
      <x:c r="J160" s="79" t="str">
        <x:v>ZVW30 Custom PIDs for Torque (Android App) 12Nov12.xlsx - US</x:v>
      </x:c>
      <x:c r="K160" s="79" t="str">
        <x:v>2012-11-12</x:v>
      </x:c>
      <x:c r="L160" s="79" t="str">
        <x:v>READ-ONLY DIAGNOSTIC CANDIDATE</x:v>
      </x:c>
      <x:c r="M160" s="79" t="str">
        <x:v>CANDIDATE</x:v>
      </x:c>
      <x:c r="N160" s="80" t="str">
        <x:v>Later US source; validate on ZVW30 before firmware use</x:v>
      </x:c>
    </x:row>
    <x:row r="161">
      <x:c r="A161" s="78" t="str">
        <x:v>Av Engine Speed of All Cyl (51199 rpm: Active Test not performed)</x:v>
      </x:c>
      <x:c r="B161" s="79" t="str">
        <x:v>RPMavg</x:v>
      </x:c>
      <x:c r="C161" s="79" t="str">
        <x:v>2154</x:v>
      </x:c>
      <x:c r="D161" s="79" t="str">
        <x:v>(I * 256 + J) * 51199 / 65535</x:v>
      </x:c>
      <x:c r="E161" s="79" t="n">
        <x:v>0</x:v>
      </x:c>
      <x:c r="F161" s="79" t="n">
        <x:v>51199</x:v>
      </x:c>
      <x:c r="G161" s="79" t="str">
        <x:v>RPM</x:v>
      </x:c>
      <x:c r="H161" s="79" t="str">
        <x:v>7E0</x:v>
      </x:c>
      <x:c r="I161" s="79" t="str">
        <x:v>PRIUS_GEN3 / ZVW30</x:v>
      </x:c>
      <x:c r="J161" s="79" t="str">
        <x:v>ZVW30 Custom PIDs for Torque (Android App) 12Nov12.xlsx - US</x:v>
      </x:c>
      <x:c r="K161" s="79" t="str">
        <x:v>2012-11-12</x:v>
      </x:c>
      <x:c r="L161" s="79" t="str">
        <x:v>READ-ONLY DIAGNOSTIC CANDIDATE</x:v>
      </x:c>
      <x:c r="M161" s="79" t="str">
        <x:v>CANDIDATE</x:v>
      </x:c>
      <x:c r="N161" s="80" t="str">
        <x:v>Later US source; validate on ZVW30 before firmware use</x:v>
      </x:c>
    </x:row>
    <x:row r="162">
      <x:c r="A162" s="78" t="str">
        <x:v>Model Code_7E0</x:v>
      </x:c>
      <x:c r="B162" s="79" t="str">
        <x:v>MCode_7E0</x:v>
      </x:c>
      <x:c r="C162" s="79" t="str">
        <x:v>21C1</x:v>
      </x:c>
      <x:c r="D162" s="79" t="str">
        <x:v>ABCDEFG</x:v>
      </x:c>
      <x:c r="E162" s="79" t="n">
        <x:v>0</x:v>
      </x:c>
      <x:c r="F162" s="79" t="n">
        <x:v>0</x:v>
      </x:c>
      <x:c r="G162" s="79"/>
      <x:c r="H162" s="79" t="str">
        <x:v>7E0</x:v>
      </x:c>
      <x:c r="I162" s="79" t="str">
        <x:v>PRIUS_GEN3 / ZVW30</x:v>
      </x:c>
      <x:c r="J162" s="79" t="str">
        <x:v>ZVW30 Custom PIDs for Torque (Android App) 12Nov12.xlsx - US</x:v>
      </x:c>
      <x:c r="K162" s="79" t="str">
        <x:v>2012-11-12</x:v>
      </x:c>
      <x:c r="L162" s="79" t="str">
        <x:v>READ-ONLY DIAGNOSTIC CANDIDATE</x:v>
      </x:c>
      <x:c r="M162" s="79" t="str">
        <x:v>CANDIDATE</x:v>
      </x:c>
      <x:c r="N162" s="80" t="str">
        <x:v>Later US source; validate on ZVW30 before firmware use</x:v>
      </x:c>
    </x:row>
    <x:row r="163">
      <x:c r="A163" s="78" t="str">
        <x:v>Engine Type</x:v>
      </x:c>
      <x:c r="B163" s="79" t="str">
        <x:v>Eng Type</x:v>
      </x:c>
      <x:c r="C163" s="79" t="str">
        <x:v>21C1</x:v>
      </x:c>
      <x:c r="D163" s="79" t="str">
        <x:v>HIJKLM</x:v>
      </x:c>
      <x:c r="E163" s="79" t="n">
        <x:v>0</x:v>
      </x:c>
      <x:c r="F163" s="79" t="n">
        <x:v>0</x:v>
      </x:c>
      <x:c r="G163" s="79"/>
      <x:c r="H163" s="79" t="str">
        <x:v>7E0</x:v>
      </x:c>
      <x:c r="I163" s="79" t="str">
        <x:v>PRIUS_GEN3 / ZVW30</x:v>
      </x:c>
      <x:c r="J163" s="79" t="str">
        <x:v>ZVW30 Custom PIDs for Torque (Android App) 12Nov12.xlsx - US</x:v>
      </x:c>
      <x:c r="K163" s="79" t="str">
        <x:v>2012-11-12</x:v>
      </x:c>
      <x:c r="L163" s="79" t="str">
        <x:v>READ-ONLY DIAGNOSTIC CANDIDATE</x:v>
      </x:c>
      <x:c r="M163" s="79" t="str">
        <x:v>CANDIDATE</x:v>
      </x:c>
      <x:c r="N163" s="80" t="str">
        <x:v>Later US source; validate on ZVW30 before firmware use</x:v>
      </x:c>
    </x:row>
    <x:row r="164">
      <x:c r="A164" s="78" t="str">
        <x:v>Cylinder Number</x:v>
      </x:c>
      <x:c r="B164" s="79" t="str">
        <x:v>Cyl#</x:v>
      </x:c>
      <x:c r="C164" s="79" t="str">
        <x:v>21C1</x:v>
      </x:c>
      <x:c r="D164" s="79" t="str">
        <x:v>N</x:v>
      </x:c>
      <x:c r="E164" s="79" t="n">
        <x:v>4</x:v>
      </x:c>
      <x:c r="F164" s="79" t="n">
        <x:v>4</x:v>
      </x:c>
      <x:c r="G164" s="79"/>
      <x:c r="H164" s="79" t="str">
        <x:v>7E0</x:v>
      </x:c>
      <x:c r="I164" s="79" t="str">
        <x:v>PRIUS_GEN3 / ZVW30</x:v>
      </x:c>
      <x:c r="J164" s="79" t="str">
        <x:v>ZVW30 Custom PIDs for Torque (Android App) 12Nov12.xlsx - US</x:v>
      </x:c>
      <x:c r="K164" s="79" t="str">
        <x:v>2012-11-12</x:v>
      </x:c>
      <x:c r="L164" s="79" t="str">
        <x:v>READ-ONLY DIAGNOSTIC CANDIDATE</x:v>
      </x:c>
      <x:c r="M164" s="79" t="str">
        <x:v>CANDIDATE</x:v>
      </x:c>
      <x:c r="N164" s="80" t="str">
        <x:v>Later US source; validate on ZVW30 before firmware use</x:v>
      </x:c>
    </x:row>
    <x:row r="165">
      <x:c r="A165" s="78" t="str">
        <x:v>Destination</x:v>
      </x:c>
      <x:c r="B165" s="79" t="str">
        <x:v>dest</x:v>
      </x:c>
      <x:c r="C165" s="79" t="str">
        <x:v>21C1</x:v>
      </x:c>
      <x:c r="D165" s="79" t="str">
        <x:v>P</x:v>
      </x:c>
      <x:c r="E165" s="79" t="n">
        <x:v>0</x:v>
      </x:c>
      <x:c r="F165" s="79" t="n">
        <x:v>255</x:v>
      </x:c>
      <x:c r="G165" s="79"/>
      <x:c r="H165" s="79" t="str">
        <x:v>7E0</x:v>
      </x:c>
      <x:c r="I165" s="79" t="str">
        <x:v>PRIUS_GEN3 / ZVW30</x:v>
      </x:c>
      <x:c r="J165" s="79" t="str">
        <x:v>ZVW30 Custom PIDs for Torque (Android App) 12Nov12.xlsx - US</x:v>
      </x:c>
      <x:c r="K165" s="79" t="str">
        <x:v>2012-11-12</x:v>
      </x:c>
      <x:c r="L165" s="79" t="str">
        <x:v>READ-ONLY DIAGNOSTIC CANDIDATE</x:v>
      </x:c>
      <x:c r="M165" s="79" t="str">
        <x:v>CANDIDATE</x:v>
      </x:c>
      <x:c r="N165" s="80" t="str">
        <x:v>Later US source; validate on ZVW30 before firmware use</x:v>
      </x:c>
    </x:row>
    <x:row r="166">
      <x:c r="A166" s="78" t="str">
        <x:v>Model Year</x:v>
      </x:c>
      <x:c r="B166" s="79" t="str">
        <x:v>Model Yr</x:v>
      </x:c>
      <x:c r="C166" s="79" t="str">
        <x:v>21C1</x:v>
      </x:c>
      <x:c r="D166" s="79" t="str">
        <x:v>Q + 1900</x:v>
      </x:c>
      <x:c r="E166" s="79" t="n">
        <x:v>1900</x:v>
      </x:c>
      <x:c r="F166" s="79" t="n">
        <x:v>2155</x:v>
      </x:c>
      <x:c r="G166" s="79"/>
      <x:c r="H166" s="79" t="str">
        <x:v>7E0</x:v>
      </x:c>
      <x:c r="I166" s="79" t="str">
        <x:v>PRIUS_GEN3 / ZVW30</x:v>
      </x:c>
      <x:c r="J166" s="79" t="str">
        <x:v>ZVW30 Custom PIDs for Torque (Android App) 12Nov12.xlsx - US</x:v>
      </x:c>
      <x:c r="K166" s="79" t="str">
        <x:v>2012-11-12</x:v>
      </x:c>
      <x:c r="L166" s="79" t="str">
        <x:v>READ-ONLY DIAGNOSTIC CANDIDATE</x:v>
      </x:c>
      <x:c r="M166" s="79" t="str">
        <x:v>CANDIDATE</x:v>
      </x:c>
      <x:c r="N166" s="80" t="str">
        <x:v>Later US source; validate on ZVW30 before firmware use</x:v>
      </x:c>
    </x:row>
    <x:row r="167">
      <x:c r="A167" s="78" t="str">
        <x:v>System Identification</x:v>
      </x:c>
      <x:c r="B167" s="79" t="str">
        <x:v>Sys ID</x:v>
      </x:c>
      <x:c r="C167" s="79" t="str">
        <x:v>21C1</x:v>
      </x:c>
      <x:c r="D167" s="79" t="str">
        <x:v>R</x:v>
      </x:c>
      <x:c r="E167" s="79" t="n">
        <x:v>0</x:v>
      </x:c>
      <x:c r="F167" s="79" t="n">
        <x:v>0</x:v>
      </x:c>
      <x:c r="G167" s="79"/>
      <x:c r="H167" s="79" t="str">
        <x:v>7E0</x:v>
      </x:c>
      <x:c r="I167" s="79" t="str">
        <x:v>PRIUS_GEN3 / ZVW30</x:v>
      </x:c>
      <x:c r="J167" s="79" t="str">
        <x:v>ZVW30 Custom PIDs for Torque (Android App) 12Nov12.xlsx - US</x:v>
      </x:c>
      <x:c r="K167" s="79" t="str">
        <x:v>2012-11-12</x:v>
      </x:c>
      <x:c r="L167" s="79" t="str">
        <x:v>READ-ONLY DIAGNOSTIC CANDIDATE</x:v>
      </x:c>
      <x:c r="M167" s="79" t="str">
        <x:v>CANDIDATE</x:v>
      </x:c>
      <x:c r="N167" s="80" t="str">
        <x:v>Later US source; validate on ZVW30 before firmware use</x:v>
      </x:c>
    </x:row>
    <x:row r="168">
      <x:c r="A168" s="78" t="str">
        <x:v>State of Charge</x:v>
      </x:c>
      <x:c r="B168" s="79" t="str">
        <x:v>SoC</x:v>
      </x:c>
      <x:c r="C168" s="79" t="str">
        <x:v>015B</x:v>
      </x:c>
      <x:c r="D168" s="79" t="str">
        <x:v>A * 20 / 51</x:v>
      </x:c>
      <x:c r="E168" s="79" t="n">
        <x:v>30</x:v>
      </x:c>
      <x:c r="F168" s="79" t="n">
        <x:v>90</x:v>
      </x:c>
      <x:c r="G168" s="79" t="str">
        <x:v>%</x:v>
      </x:c>
      <x:c r="H168" s="79" t="str">
        <x:v>7E2</x:v>
      </x:c>
      <x:c r="I168" s="79" t="str">
        <x:v>PRIUS_GEN3 / ZVW30</x:v>
      </x:c>
      <x:c r="J168" s="79" t="str">
        <x:v>ZVW30 Custom PIDs for Torque (Android App) 12Nov12.xlsx - US</x:v>
      </x:c>
      <x:c r="K168" s="79" t="str">
        <x:v>2012-11-12</x:v>
      </x:c>
      <x:c r="L168" s="79" t="str">
        <x:v>READ-ONLY DIAGNOSTIC CANDIDATE</x:v>
      </x:c>
      <x:c r="M168" s="79" t="str">
        <x:v>CANDIDATE</x:v>
      </x:c>
      <x:c r="N168" s="80" t="str">
        <x:v>Later US source; validate on ZVW30 before firmware use</x:v>
      </x:c>
    </x:row>
    <x:row r="169">
      <x:c r="A169" s="78" t="str">
        <x:v>Calculated Load_7E2</x:v>
      </x:c>
      <x:c r="B169" s="79" t="str">
        <x:v>CLoad_7E2</x:v>
      </x:c>
      <x:c r="C169" s="79" t="str">
        <x:v>2101</x:v>
      </x:c>
      <x:c r="D169" s="79" t="str">
        <x:v>A * 20 / 51</x:v>
      </x:c>
      <x:c r="E169" s="79" t="n">
        <x:v>0</x:v>
      </x:c>
      <x:c r="F169" s="79" t="n">
        <x:v>100</x:v>
      </x:c>
      <x:c r="G169" s="79" t="str">
        <x:v>%</x:v>
      </x:c>
      <x:c r="H169" s="79" t="str">
        <x:v>7E2</x:v>
      </x:c>
      <x:c r="I169" s="79" t="str">
        <x:v>PRIUS_GEN3 / ZVW30</x:v>
      </x:c>
      <x:c r="J169" s="79" t="str">
        <x:v>ZVW30 Custom PIDs for Torque (Android App) 12Nov12.xlsx - US</x:v>
      </x:c>
      <x:c r="K169" s="79" t="str">
        <x:v>2012-11-12</x:v>
      </x:c>
      <x:c r="L169" s="79" t="str">
        <x:v>READ-ONLY DIAGNOSTIC CANDIDATE</x:v>
      </x:c>
      <x:c r="M169" s="79" t="str">
        <x:v>CANDIDATE</x:v>
      </x:c>
      <x:c r="N169" s="80" t="str">
        <x:v>Later US source; validate on ZVW30 before firmware use</x:v>
      </x:c>
    </x:row>
    <x:row r="170">
      <x:c r="A170" s="78" t="str">
        <x:v>Manifold Air Pressure_7E2</x:v>
      </x:c>
      <x:c r="B170" s="79" t="str">
        <x:v>MAP_7E2</x:v>
      </x:c>
      <x:c r="C170" s="79" t="str">
        <x:v>2101</x:v>
      </x:c>
      <x:c r="D170" s="79" t="str">
        <x:v>B * 1913 / 255</x:v>
      </x:c>
      <x:c r="E170" s="79" t="n">
        <x:v>0</x:v>
      </x:c>
      <x:c r="F170" s="79" t="n">
        <x:v>1913</x:v>
      </x:c>
      <x:c r="G170" s="79" t="str">
        <x:v>mmHg</x:v>
      </x:c>
      <x:c r="H170" s="79" t="str">
        <x:v>7E2</x:v>
      </x:c>
      <x:c r="I170" s="79" t="str">
        <x:v>PRIUS_GEN3 / ZVW30</x:v>
      </x:c>
      <x:c r="J170" s="79" t="str">
        <x:v>ZVW30 Custom PIDs for Torque (Android App) 12Nov12.xlsx - US</x:v>
      </x:c>
      <x:c r="K170" s="79" t="str">
        <x:v>2012-11-12</x:v>
      </x:c>
      <x:c r="L170" s="79" t="str">
        <x:v>READ-ONLY DIAGNOSTIC CANDIDATE</x:v>
      </x:c>
      <x:c r="M170" s="79" t="str">
        <x:v>CANDIDATE</x:v>
      </x:c>
      <x:c r="N170" s="80" t="str">
        <x:v>Later US source; validate on ZVW30 before firmware use</x:v>
      </x:c>
    </x:row>
    <x:row r="171">
      <x:c r="A171" s="78" t="str">
        <x:v>Intake Air Temperature_7E2</x:v>
      </x:c>
      <x:c r="B171" s="79" t="str">
        <x:v>IAT_7E2</x:v>
      </x:c>
      <x:c r="C171" s="79" t="str">
        <x:v>2101</x:v>
      </x:c>
      <x:c r="D171" s="79" t="str">
        <x:v>C * 9 / 5 - 40</x:v>
      </x:c>
      <x:c r="E171" s="79" t="n">
        <x:v>-40</x:v>
      </x:c>
      <x:c r="F171" s="79" t="n">
        <x:v>140</x:v>
      </x:c>
      <x:c r="G171" s="79" t="str">
        <x:v>F</x:v>
      </x:c>
      <x:c r="H171" s="79" t="str">
        <x:v>7E2</x:v>
      </x:c>
      <x:c r="I171" s="79" t="str">
        <x:v>PRIUS_GEN3 / ZVW30</x:v>
      </x:c>
      <x:c r="J171" s="79" t="str">
        <x:v>ZVW30 Custom PIDs for Torque (Android App) 12Nov12.xlsx - US</x:v>
      </x:c>
      <x:c r="K171" s="79" t="str">
        <x:v>2012-11-12</x:v>
      </x:c>
      <x:c r="L171" s="79" t="str">
        <x:v>READ-ONLY DIAGNOSTIC CANDIDATE</x:v>
      </x:c>
      <x:c r="M171" s="79" t="str">
        <x:v>CANDIDATE</x:v>
      </x:c>
      <x:c r="N171" s="80" t="str">
        <x:v>Later US source; validate on ZVW30 before firmware use</x:v>
      </x:c>
    </x:row>
    <x:row r="172">
      <x:c r="A172" s="78" t="str">
        <x:v>Ambient temperature</x:v>
      </x:c>
      <x:c r="B172" s="79" t="str">
        <x:v>ambient</x:v>
      </x:c>
      <x:c r="C172" s="79" t="str">
        <x:v>2101</x:v>
      </x:c>
      <x:c r="D172" s="79" t="str">
        <x:v>D * 9 / 5 - 40</x:v>
      </x:c>
      <x:c r="E172" s="79" t="n">
        <x:v>-40</x:v>
      </x:c>
      <x:c r="F172" s="79" t="n">
        <x:v>140</x:v>
      </x:c>
      <x:c r="G172" s="79" t="str">
        <x:v>F</x:v>
      </x:c>
      <x:c r="H172" s="79" t="str">
        <x:v>7E2</x:v>
      </x:c>
      <x:c r="I172" s="79" t="str">
        <x:v>PRIUS_GEN3 / ZVW30</x:v>
      </x:c>
      <x:c r="J172" s="79" t="str">
        <x:v>ZVW30 Custom PIDs for Torque (Android App) 12Nov12.xlsx - US</x:v>
      </x:c>
      <x:c r="K172" s="79" t="str">
        <x:v>2012-11-12</x:v>
      </x:c>
      <x:c r="L172" s="79" t="str">
        <x:v>READ-ONLY DIAGNOSTIC CANDIDATE</x:v>
      </x:c>
      <x:c r="M172" s="79" t="str">
        <x:v>CANDIDATE</x:v>
      </x:c>
      <x:c r="N172" s="80" t="str">
        <x:v>Later US source; validate on ZVW30 before firmware use</x:v>
      </x:c>
    </x:row>
    <x:row r="173">
      <x:c r="A173" s="78" t="str">
        <x:v>Atmosphere Pressure_7E2</x:v>
      </x:c>
      <x:c r="B173" s="79" t="str">
        <x:v>AtmPres_7E2</x:v>
      </x:c>
      <x:c r="C173" s="79" t="str">
        <x:v>2101</x:v>
      </x:c>
      <x:c r="D173" s="79" t="str">
        <x:v>E * 1913 / 255</x:v>
      </x:c>
      <x:c r="E173" s="79" t="n">
        <x:v>0</x:v>
      </x:c>
      <x:c r="F173" s="79" t="n">
        <x:v>1913</x:v>
      </x:c>
      <x:c r="G173" s="79" t="str">
        <x:v>mmHg</x:v>
      </x:c>
      <x:c r="H173" s="79" t="str">
        <x:v>7E2</x:v>
      </x:c>
      <x:c r="I173" s="79" t="str">
        <x:v>PRIUS_GEN3 / ZVW30</x:v>
      </x:c>
      <x:c r="J173" s="79" t="str">
        <x:v>ZVW30 Custom PIDs for Torque (Android App) 12Nov12.xlsx - US</x:v>
      </x:c>
      <x:c r="K173" s="79" t="str">
        <x:v>2012-11-12</x:v>
      </x:c>
      <x:c r="L173" s="79" t="str">
        <x:v>READ-ONLY DIAGNOSTIC CANDIDATE</x:v>
      </x:c>
      <x:c r="M173" s="79" t="str">
        <x:v>CANDIDATE</x:v>
      </x:c>
      <x:c r="N173" s="80" t="str">
        <x:v>Later US source; validate on ZVW30 before firmware use</x:v>
      </x:c>
    </x:row>
    <x:row r="174">
      <x:c r="A174" s="78" t="str">
        <x:v>Engine Coolant Temperature_7E2</x:v>
      </x:c>
      <x:c r="B174" s="79" t="str">
        <x:v>Coolant_7E2</x:v>
      </x:c>
      <x:c r="C174" s="79" t="str">
        <x:v>2101</x:v>
      </x:c>
      <x:c r="D174" s="79" t="str">
        <x:v>F * 9 / 5 - 40</x:v>
      </x:c>
      <x:c r="E174" s="79" t="n">
        <x:v>-40</x:v>
      </x:c>
      <x:c r="F174" s="79" t="n">
        <x:v>250</x:v>
      </x:c>
      <x:c r="G174" s="79" t="str">
        <x:v>F</x:v>
      </x:c>
      <x:c r="H174" s="79" t="str">
        <x:v>7E2</x:v>
      </x:c>
      <x:c r="I174" s="79" t="str">
        <x:v>PRIUS_GEN3 / ZVW30</x:v>
      </x:c>
      <x:c r="J174" s="79" t="str">
        <x:v>ZVW30 Custom PIDs for Torque (Android App) 12Nov12.xlsx - US</x:v>
      </x:c>
      <x:c r="K174" s="79" t="str">
        <x:v>2012-11-12</x:v>
      </x:c>
      <x:c r="L174" s="79" t="str">
        <x:v>READ-ONLY DIAGNOSTIC CANDIDATE</x:v>
      </x:c>
      <x:c r="M174" s="79" t="str">
        <x:v>CANDIDATE</x:v>
      </x:c>
      <x:c r="N174" s="80" t="str">
        <x:v>Later US source; validate on ZVW30 before firmware use</x:v>
      </x:c>
    </x:row>
    <x:row r="175">
      <x:c r="A175" s="78" t="str">
        <x:v>Engine Speed_7E2</x:v>
      </x:c>
      <x:c r="B175" s="79" t="str">
        <x:v>RPM_7E2</x:v>
      </x:c>
      <x:c r="C175" s="79" t="str">
        <x:v>2101</x:v>
      </x:c>
      <x:c r="D175" s="79" t="str">
        <x:v>(G * 256 + H) / 4</x:v>
      </x:c>
      <x:c r="E175" s="79" t="n">
        <x:v>0</x:v>
      </x:c>
      <x:c r="F175" s="79" t="n">
        <x:v>6000</x:v>
      </x:c>
      <x:c r="G175" s="79" t="str">
        <x:v>RPM</x:v>
      </x:c>
      <x:c r="H175" s="79" t="str">
        <x:v>7E2</x:v>
      </x:c>
      <x:c r="I175" s="79" t="str">
        <x:v>PRIUS_GEN3 / ZVW30</x:v>
      </x:c>
      <x:c r="J175" s="79" t="str">
        <x:v>ZVW30 Custom PIDs for Torque (Android App) 12Nov12.xlsx - US</x:v>
      </x:c>
      <x:c r="K175" s="79" t="str">
        <x:v>2012-11-12</x:v>
      </x:c>
      <x:c r="L175" s="79" t="str">
        <x:v>READ-ONLY DIAGNOSTIC CANDIDATE</x:v>
      </x:c>
      <x:c r="M175" s="79" t="str">
        <x:v>CANDIDATE</x:v>
      </x:c>
      <x:c r="N175" s="80" t="str">
        <x:v>Later US source; validate on ZVW30 before firmware use</x:v>
      </x:c>
    </x:row>
    <x:row r="176">
      <x:c r="A176" s="78" t="str">
        <x:v>Vehicle Speed_7E2</x:v>
      </x:c>
      <x:c r="B176" s="79" t="str">
        <x:v>MPH_7E2</x:v>
      </x:c>
      <x:c r="C176" s="79" t="str">
        <x:v>2101</x:v>
      </x:c>
      <x:c r="D176" s="79" t="str">
        <x:v>I * 15625 / 25146</x:v>
      </x:c>
      <x:c r="E176" s="79" t="n">
        <x:v>0</x:v>
      </x:c>
      <x:c r="F176" s="79" t="n">
        <x:v>100</x:v>
      </x:c>
      <x:c r="G176" s="79" t="str">
        <x:v>mph</x:v>
      </x:c>
      <x:c r="H176" s="79" t="str">
        <x:v>7E2</x:v>
      </x:c>
      <x:c r="I176" s="79" t="str">
        <x:v>PRIUS_GEN3 / ZVW30</x:v>
      </x:c>
      <x:c r="J176" s="79" t="str">
        <x:v>ZVW30 Custom PIDs for Torque (Android App) 12Nov12.xlsx - US</x:v>
      </x:c>
      <x:c r="K176" s="79" t="str">
        <x:v>2012-11-12</x:v>
      </x:c>
      <x:c r="L176" s="79" t="str">
        <x:v>READ-ONLY DIAGNOSTIC CANDIDATE</x:v>
      </x:c>
      <x:c r="M176" s="79" t="str">
        <x:v>CANDIDATE</x:v>
      </x:c>
      <x:c r="N176" s="80" t="str">
        <x:v>Later US source; validate on ZVW30 before firmware use</x:v>
      </x:c>
    </x:row>
    <x:row r="177">
      <x:c r="A177" s="78" t="str">
        <x:v>Engine run time</x:v>
      </x:c>
      <x:c r="B177" s="79" t="str">
        <x:v>ign time</x:v>
      </x:c>
      <x:c r="C177" s="79" t="str">
        <x:v>2101</x:v>
      </x:c>
      <x:c r="D177" s="79" t="str">
        <x:v>J * 256 + K</x:v>
      </x:c>
      <x:c r="E177" s="79" t="n">
        <x:v>0</x:v>
      </x:c>
      <x:c r="F177" s="79" t="n">
        <x:v>65535</x:v>
      </x:c>
      <x:c r="G177" s="79" t="str">
        <x:v>sec.</x:v>
      </x:c>
      <x:c r="H177" s="79" t="str">
        <x:v>7E2</x:v>
      </x:c>
      <x:c r="I177" s="79" t="str">
        <x:v>PRIUS_GEN3 / ZVW30</x:v>
      </x:c>
      <x:c r="J177" s="79" t="str">
        <x:v>ZVW30 Custom PIDs for Torque (Android App) 12Nov12.xlsx - US</x:v>
      </x:c>
      <x:c r="K177" s="79" t="str">
        <x:v>2012-11-12</x:v>
      </x:c>
      <x:c r="L177" s="79" t="str">
        <x:v>READ-ONLY DIAGNOSTIC CANDIDATE</x:v>
      </x:c>
      <x:c r="M177" s="79" t="str">
        <x:v>CANDIDATE</x:v>
      </x:c>
      <x:c r="N177" s="80" t="str">
        <x:v>Later US source; validate on ZVW30 before firmware use</x:v>
      </x:c>
    </x:row>
    <x:row r="178">
      <x:c r="A178" s="78" t="str">
        <x:v>Throttle Position</x:v>
      </x:c>
      <x:c r="B178" s="79" t="str">
        <x:v>Throttle</x:v>
      </x:c>
      <x:c r="C178" s="79" t="str">
        <x:v>2101</x:v>
      </x:c>
      <x:c r="D178" s="79" t="str">
        <x:v>L * 20 / 51</x:v>
      </x:c>
      <x:c r="E178" s="79" t="n">
        <x:v>0</x:v>
      </x:c>
      <x:c r="F178" s="79" t="n">
        <x:v>100</x:v>
      </x:c>
      <x:c r="G178" s="79" t="str">
        <x:v>%</x:v>
      </x:c>
      <x:c r="H178" s="79" t="str">
        <x:v>7E2</x:v>
      </x:c>
      <x:c r="I178" s="79" t="str">
        <x:v>PRIUS_GEN3 / ZVW30</x:v>
      </x:c>
      <x:c r="J178" s="79" t="str">
        <x:v>ZVW30 Custom PIDs for Torque (Android App) 12Nov12.xlsx - US</x:v>
      </x:c>
      <x:c r="K178" s="79" t="str">
        <x:v>2012-11-12</x:v>
      </x:c>
      <x:c r="L178" s="79" t="str">
        <x:v>READ-ONLY DIAGNOSTIC CANDIDATE</x:v>
      </x:c>
      <x:c r="M178" s="79" t="str">
        <x:v>CANDIDATE</x:v>
      </x:c>
      <x:c r="N178" s="80" t="str">
        <x:v>Later US source; validate on ZVW30 before firmware use</x:v>
      </x:c>
    </x:row>
    <x:row r="179">
      <x:c r="A179" s="78" t="str">
        <x:v>Accel Pedal Pos #1</x:v>
      </x:c>
      <x:c r="B179" s="79" t="str">
        <x:v>AP1</x:v>
      </x:c>
      <x:c r="C179" s="79" t="str">
        <x:v>2101</x:v>
      </x:c>
      <x:c r="D179" s="79" t="str">
        <x:v>M * 20 / 51</x:v>
      </x:c>
      <x:c r="E179" s="79" t="n">
        <x:v>0</x:v>
      </x:c>
      <x:c r="F179" s="79" t="n">
        <x:v>100</x:v>
      </x:c>
      <x:c r="G179" s="79" t="str">
        <x:v>%</x:v>
      </x:c>
      <x:c r="H179" s="79" t="str">
        <x:v>7E2</x:v>
      </x:c>
      <x:c r="I179" s="79" t="str">
        <x:v>PRIUS_GEN3 / ZVW30</x:v>
      </x:c>
      <x:c r="J179" s="79" t="str">
        <x:v>ZVW30 Custom PIDs for Torque (Android App) 12Nov12.xlsx - US</x:v>
      </x:c>
      <x:c r="K179" s="79" t="str">
        <x:v>2012-11-12</x:v>
      </x:c>
      <x:c r="L179" s="79" t="str">
        <x:v>READ-ONLY DIAGNOSTIC CANDIDATE</x:v>
      </x:c>
      <x:c r="M179" s="79" t="str">
        <x:v>CANDIDATE</x:v>
      </x:c>
      <x:c r="N179" s="80" t="str">
        <x:v>Later US source; validate on ZVW30 before firmware use</x:v>
      </x:c>
    </x:row>
    <x:row r="180">
      <x:c r="A180" s="78" t="str">
        <x:v>Accel Pedal Pos #2</x:v>
      </x:c>
      <x:c r="B180" s="79" t="str">
        <x:v>AP2</x:v>
      </x:c>
      <x:c r="C180" s="79" t="str">
        <x:v>2101</x:v>
      </x:c>
      <x:c r="D180" s="79" t="str">
        <x:v>N * 20 / 51</x:v>
      </x:c>
      <x:c r="E180" s="79" t="n">
        <x:v>0</x:v>
      </x:c>
      <x:c r="F180" s="79" t="n">
        <x:v>100</x:v>
      </x:c>
      <x:c r="G180" s="79" t="str">
        <x:v>%</x:v>
      </x:c>
      <x:c r="H180" s="79" t="str">
        <x:v>7E2</x:v>
      </x:c>
      <x:c r="I180" s="79" t="str">
        <x:v>PRIUS_GEN3 / ZVW30</x:v>
      </x:c>
      <x:c r="J180" s="79" t="str">
        <x:v>ZVW30 Custom PIDs for Torque (Android App) 12Nov12.xlsx - US</x:v>
      </x:c>
      <x:c r="K180" s="79" t="str">
        <x:v>2012-11-12</x:v>
      </x:c>
      <x:c r="L180" s="79" t="str">
        <x:v>READ-ONLY DIAGNOSTIC CANDIDATE</x:v>
      </x:c>
      <x:c r="M180" s="79" t="str">
        <x:v>CANDIDATE</x:v>
      </x:c>
      <x:c r="N180" s="80" t="str">
        <x:v>Later US source; validate on ZVW30 before firmware use</x:v>
      </x:c>
    </x:row>
    <x:row r="181">
      <x:c r="A181" s="78" t="str">
        <x:v>DTC Clear Warm Up</x:v>
      </x:c>
      <x:c r="B181" s="79" t="str">
        <x:v>DTC warm</x:v>
      </x:c>
      <x:c r="C181" s="79" t="str">
        <x:v>2101</x:v>
      </x:c>
      <x:c r="D181" s="79" t="str">
        <x:v>O</x:v>
      </x:c>
      <x:c r="E181" s="79" t="n">
        <x:v>0</x:v>
      </x:c>
      <x:c r="F181" s="79" t="n">
        <x:v>255</x:v>
      </x:c>
      <x:c r="G181" s="79"/>
      <x:c r="H181" s="79" t="str">
        <x:v>7E2</x:v>
      </x:c>
      <x:c r="I181" s="79" t="str">
        <x:v>PRIUS_GEN3 / ZVW30</x:v>
      </x:c>
      <x:c r="J181" s="79" t="str">
        <x:v>ZVW30 Custom PIDs for Torque (Android App) 12Nov12.xlsx - US</x:v>
      </x:c>
      <x:c r="K181" s="79" t="str">
        <x:v>2012-11-12</x:v>
      </x:c>
      <x:c r="L181" s="79" t="str">
        <x:v>READ-ONLY DIAGNOSTIC CANDIDATE</x:v>
      </x:c>
      <x:c r="M181" s="79" t="str">
        <x:v>CANDIDATE</x:v>
      </x:c>
      <x:c r="N181" s="80" t="str">
        <x:v>Later US source; validate on ZVW30 before firmware use</x:v>
      </x:c>
    </x:row>
    <x:row r="182">
      <x:c r="A182" s="78" t="str">
        <x:v>DTC Clear Run Distance</x:v>
      </x:c>
      <x:c r="B182" s="79" t="str">
        <x:v>DTC dist</x:v>
      </x:c>
      <x:c r="C182" s="79" t="str">
        <x:v>2101</x:v>
      </x:c>
      <x:c r="D182" s="79" t="str">
        <x:v>(P * 256 + Q) * 15625 / 25146</x:v>
      </x:c>
      <x:c r="E182" s="79" t="n">
        <x:v>0</x:v>
      </x:c>
      <x:c r="F182" s="79" t="n">
        <x:v>40723</x:v>
      </x:c>
      <x:c r="G182" s="79" t="str">
        <x:v>mile</x:v>
      </x:c>
      <x:c r="H182" s="79" t="str">
        <x:v>7E2</x:v>
      </x:c>
      <x:c r="I182" s="79" t="str">
        <x:v>PRIUS_GEN3 / ZVW30</x:v>
      </x:c>
      <x:c r="J182" s="79" t="str">
        <x:v>ZVW30 Custom PIDs for Torque (Android App) 12Nov12.xlsx - US</x:v>
      </x:c>
      <x:c r="K182" s="79" t="str">
        <x:v>2012-11-12</x:v>
      </x:c>
      <x:c r="L182" s="79" t="str">
        <x:v>READ-ONLY DIAGNOSTIC CANDIDATE</x:v>
      </x:c>
      <x:c r="M182" s="79" t="str">
        <x:v>CANDIDATE</x:v>
      </x:c>
      <x:c r="N182" s="80" t="str">
        <x:v>Later US source; validate on ZVW30 before firmware use</x:v>
      </x:c>
    </x:row>
    <x:row r="183">
      <x:c r="A183" s="78" t="str">
        <x:v>DTC Clear Min</x:v>
      </x:c>
      <x:c r="B183" s="79" t="str">
        <x:v>DTC time</x:v>
      </x:c>
      <x:c r="C183" s="79" t="str">
        <x:v>2101</x:v>
      </x:c>
      <x:c r="D183" s="79" t="str">
        <x:v>R * 256 + S</x:v>
      </x:c>
      <x:c r="E183" s="79" t="n">
        <x:v>0</x:v>
      </x:c>
      <x:c r="F183" s="79" t="n">
        <x:v>65535</x:v>
      </x:c>
      <x:c r="G183" s="79" t="str">
        <x:v>minutes</x:v>
      </x:c>
      <x:c r="H183" s="79" t="str">
        <x:v>7E2</x:v>
      </x:c>
      <x:c r="I183" s="79" t="str">
        <x:v>PRIUS_GEN3 / ZVW30</x:v>
      </x:c>
      <x:c r="J183" s="79" t="str">
        <x:v>ZVW30 Custom PIDs for Torque (Android App) 12Nov12.xlsx - US</x:v>
      </x:c>
      <x:c r="K183" s="79" t="str">
        <x:v>2012-11-12</x:v>
      </x:c>
      <x:c r="L183" s="79" t="str">
        <x:v>READ-ONLY DIAGNOSTIC CANDIDATE</x:v>
      </x:c>
      <x:c r="M183" s="79" t="str">
        <x:v>CANDIDATE</x:v>
      </x:c>
      <x:c r="N183" s="80" t="str">
        <x:v>Later US source; validate on ZVW30 before firmware use</x:v>
      </x:c>
    </x:row>
    <x:row r="184">
      <x:c r="A184" s="78" t="str">
        <x:v>+B</x:v>
      </x:c>
      <x:c r="B184" s="79" t="str">
        <x:v>+B</x:v>
      </x:c>
      <x:c r="C184" s="79" t="str">
        <x:v>2101</x:v>
      </x:c>
      <x:c r="D184" s="79" t="str">
        <x:v>(T * 256 + U) / 1000</x:v>
      </x:c>
      <x:c r="E184" s="79" t="n">
        <x:v>0</x:v>
      </x:c>
      <x:c r="F184" s="79" t="n">
        <x:v>16</x:v>
      </x:c>
      <x:c r="G184" s="79" t="str">
        <x:v>V</x:v>
      </x:c>
      <x:c r="H184" s="79" t="str">
        <x:v>7E2</x:v>
      </x:c>
      <x:c r="I184" s="79" t="str">
        <x:v>PRIUS_GEN3 / ZVW30</x:v>
      </x:c>
      <x:c r="J184" s="79" t="str">
        <x:v>ZVW30 Custom PIDs for Torque (Android App) 12Nov12.xlsx - US</x:v>
      </x:c>
      <x:c r="K184" s="79" t="str">
        <x:v>2012-11-12</x:v>
      </x:c>
      <x:c r="L184" s="79" t="str">
        <x:v>READ-ONLY DIAGNOSTIC CANDIDATE</x:v>
      </x:c>
      <x:c r="M184" s="79" t="str">
        <x:v>CANDIDATE</x:v>
      </x:c>
      <x:c r="N184" s="80" t="str">
        <x:v>Later US source; validate on ZVW30 before firmware use</x:v>
      </x:c>
    </x:row>
    <x:row r="185">
      <x:c r="A185" s="78" t="str">
        <x:v>State of Charge (All Bat)</x:v>
      </x:c>
      <x:c r="B185" s="79" t="str">
        <x:v>SOC (All)</x:v>
      </x:c>
      <x:c r="C185" s="79" t="str">
        <x:v>2101</x:v>
      </x:c>
      <x:c r="D185" s="79" t="str">
        <x:v>V * 20 / 51</x:v>
      </x:c>
      <x:c r="E185" s="79" t="n">
        <x:v>30</x:v>
      </x:c>
      <x:c r="F185" s="79" t="n">
        <x:v>90</x:v>
      </x:c>
      <x:c r="G185" s="79" t="str">
        <x:v>%</x:v>
      </x:c>
      <x:c r="H185" s="79" t="str">
        <x:v>7E2</x:v>
      </x:c>
      <x:c r="I185" s="79" t="str">
        <x:v>PRIUS_GEN3 / ZVW30</x:v>
      </x:c>
      <x:c r="J185" s="79" t="str">
        <x:v>ZVW30 Custom PIDs for Torque (Android App) 12Nov12.xlsx - US</x:v>
      </x:c>
      <x:c r="K185" s="79" t="str">
        <x:v>2012-11-12</x:v>
      </x:c>
      <x:c r="L185" s="79" t="str">
        <x:v>READ-ONLY DIAGNOSTIC CANDIDATE</x:v>
      </x:c>
      <x:c r="M185" s="79" t="str">
        <x:v>CANDIDATE</x:v>
      </x:c>
      <x:c r="N185" s="80" t="str">
        <x:v>Later US source; validate on ZVW30 before firmware use</x:v>
      </x:c>
    </x:row>
    <x:row r="186">
      <x:c r="A186" s="78" t="str">
        <x:v>CCS Vehicle Spd</x:v>
      </x:c>
      <x:c r="B186" s="79" t="str">
        <x:v>CCS Spd</x:v>
      </x:c>
      <x:c r="C186" s="79" t="str">
        <x:v>2121</x:v>
      </x:c>
      <x:c r="D186" s="79" t="str">
        <x:v>A * 15625 / 25146</x:v>
      </x:c>
      <x:c r="E186" s="79" t="n">
        <x:v>0</x:v>
      </x:c>
      <x:c r="F186" s="79" t="n">
        <x:v>120</x:v>
      </x:c>
      <x:c r="G186" s="79" t="str">
        <x:v>mph</x:v>
      </x:c>
      <x:c r="H186" s="79" t="str">
        <x:v>7E2</x:v>
      </x:c>
      <x:c r="I186" s="79" t="str">
        <x:v>PRIUS_GEN3 / ZVW30</x:v>
      </x:c>
      <x:c r="J186" s="79" t="str">
        <x:v>ZVW30 Custom PIDs for Torque (Android App) 12Nov12.xlsx - US</x:v>
      </x:c>
      <x:c r="K186" s="79" t="str">
        <x:v>2012-11-12</x:v>
      </x:c>
      <x:c r="L186" s="79" t="str">
        <x:v>READ-ONLY DIAGNOSTIC CANDIDATE</x:v>
      </x:c>
      <x:c r="M186" s="79" t="str">
        <x:v>CANDIDATE</x:v>
      </x:c>
      <x:c r="N186" s="80" t="str">
        <x:v>Later US source; validate on ZVW30 before firmware use</x:v>
      </x:c>
    </x:row>
    <x:row r="187">
      <x:c r="A187" s="78" t="str">
        <x:v>CCS Mem Vehicle Spd</x:v>
      </x:c>
      <x:c r="B187" s="79" t="str">
        <x:v>Mem Spd</x:v>
      </x:c>
      <x:c r="C187" s="79" t="str">
        <x:v>2121</x:v>
      </x:c>
      <x:c r="D187" s="79" t="str">
        <x:v>B * 15625 / 25146</x:v>
      </x:c>
      <x:c r="E187" s="79" t="n">
        <x:v>0</x:v>
      </x:c>
      <x:c r="F187" s="79" t="n">
        <x:v>120</x:v>
      </x:c>
      <x:c r="G187" s="79" t="str">
        <x:v>mph</x:v>
      </x:c>
      <x:c r="H187" s="79" t="str">
        <x:v>7E2</x:v>
      </x:c>
      <x:c r="I187" s="79" t="str">
        <x:v>PRIUS_GEN3 / ZVW30</x:v>
      </x:c>
      <x:c r="J187" s="79" t="str">
        <x:v>ZVW30 Custom PIDs for Torque (Android App) 12Nov12.xlsx - US</x:v>
      </x:c>
      <x:c r="K187" s="79" t="str">
        <x:v>2012-11-12</x:v>
      </x:c>
      <x:c r="L187" s="79" t="str">
        <x:v>READ-ONLY DIAGNOSTIC CANDIDATE</x:v>
      </x:c>
      <x:c r="M187" s="79" t="str">
        <x:v>CANDIDATE</x:v>
      </x:c>
      <x:c r="N187" s="80" t="str">
        <x:v>Later US source; validate on ZVW30 before firmware use</x:v>
      </x:c>
    </x:row>
    <x:row r="188">
      <x:c r="A188" s="78" t="str">
        <x:v>Cruise Operation Status</x:v>
      </x:c>
      <x:c r="B188" s="79" t="str">
        <x:v>Op Stat</x:v>
      </x:c>
      <x:c r="C188" s="79" t="str">
        <x:v>2121</x:v>
      </x:c>
      <x:c r="D188" s="79" t="str">
        <x:v>{D:7}</x:v>
      </x:c>
      <x:c r="E188" s="79" t="n">
        <x:v>0</x:v>
      </x:c>
      <x:c r="F188" s="79" t="n">
        <x:v>1</x:v>
      </x:c>
      <x:c r="G188" s="79" t="str">
        <x:v>Off/On</x:v>
      </x:c>
      <x:c r="H188" s="79" t="str">
        <x:v>7E2</x:v>
      </x:c>
      <x:c r="I188" s="79" t="str">
        <x:v>PRIUS_GEN3 / ZVW30</x:v>
      </x:c>
      <x:c r="J188" s="79" t="str">
        <x:v>ZVW30 Custom PIDs for Torque (Android App) 12Nov12.xlsx - US</x:v>
      </x:c>
      <x:c r="K188" s="79" t="str">
        <x:v>2012-11-12</x:v>
      </x:c>
      <x:c r="L188" s="79" t="str">
        <x:v>READ-ONLY DIAGNOSTIC CANDIDATE</x:v>
      </x:c>
      <x:c r="M188" s="79" t="str">
        <x:v>CANDIDATE</x:v>
      </x:c>
      <x:c r="N188" s="80" t="str">
        <x:v>Later US source; validate on ZVW30 before firmware use</x:v>
      </x:c>
    </x:row>
    <x:row r="189">
      <x:c r="A189" s="78" t="str">
        <x:v>Cruise Control</x:v>
      </x:c>
      <x:c r="B189" s="79" t="str">
        <x:v>CC</x:v>
      </x:c>
      <x:c r="C189" s="79" t="str">
        <x:v>2121</x:v>
      </x:c>
      <x:c r="D189" s="79" t="str">
        <x:v>{D:6}</x:v>
      </x:c>
      <x:c r="E189" s="79" t="n">
        <x:v>0</x:v>
      </x:c>
      <x:c r="F189" s="79" t="n">
        <x:v>1</x:v>
      </x:c>
      <x:c r="G189" s="79" t="str">
        <x:v>Off/On</x:v>
      </x:c>
      <x:c r="H189" s="79" t="str">
        <x:v>7E2</x:v>
      </x:c>
      <x:c r="I189" s="79" t="str">
        <x:v>PRIUS_GEN3 / ZVW30</x:v>
      </x:c>
      <x:c r="J189" s="79" t="str">
        <x:v>ZVW30 Custom PIDs for Torque (Android App) 12Nov12.xlsx - US</x:v>
      </x:c>
      <x:c r="K189" s="79" t="str">
        <x:v>2012-11-12</x:v>
      </x:c>
      <x:c r="L189" s="79" t="str">
        <x:v>READ-ONLY DIAGNOSTIC CANDIDATE</x:v>
      </x:c>
      <x:c r="M189" s="79" t="str">
        <x:v>CANDIDATE</x:v>
      </x:c>
      <x:c r="N189" s="80" t="str">
        <x:v>Later US source; validate on ZVW30 before firmware use</x:v>
      </x:c>
    </x:row>
    <x:row r="190">
      <x:c r="A190" s="78" t="str">
        <x:v>RES/ACC Switch</x:v>
      </x:c>
      <x:c r="B190" s="79" t="str">
        <x:v>RES/ACC</x:v>
      </x:c>
      <x:c r="C190" s="79" t="str">
        <x:v>2121</x:v>
      </x:c>
      <x:c r="D190" s="79" t="str">
        <x:v>{E:4}</x:v>
      </x:c>
      <x:c r="E190" s="79" t="n">
        <x:v>0</x:v>
      </x:c>
      <x:c r="F190" s="79" t="n">
        <x:v>1</x:v>
      </x:c>
      <x:c r="G190" s="79" t="str">
        <x:v>Off/On</x:v>
      </x:c>
      <x:c r="H190" s="79" t="str">
        <x:v>7E2</x:v>
      </x:c>
      <x:c r="I190" s="79" t="str">
        <x:v>PRIUS_GEN3 / ZVW30</x:v>
      </x:c>
      <x:c r="J190" s="79" t="str">
        <x:v>ZVW30 Custom PIDs for Torque (Android App) 12Nov12.xlsx - US</x:v>
      </x:c>
      <x:c r="K190" s="79" t="str">
        <x:v>2012-11-12</x:v>
      </x:c>
      <x:c r="L190" s="79" t="str">
        <x:v>READ-ONLY DIAGNOSTIC CANDIDATE</x:v>
      </x:c>
      <x:c r="M190" s="79" t="str">
        <x:v>CANDIDATE</x:v>
      </x:c>
      <x:c r="N190" s="80" t="str">
        <x:v>Later US source; validate on ZVW30 before firmware use</x:v>
      </x:c>
    </x:row>
    <x:row r="191">
      <x:c r="A191" s="78" t="str">
        <x:v>SET/COAST Switch</x:v>
      </x:c>
      <x:c r="B191" s="79" t="str">
        <x:v>SET/COAST</x:v>
      </x:c>
      <x:c r="C191" s="79" t="str">
        <x:v>2121</x:v>
      </x:c>
      <x:c r="D191" s="79" t="str">
        <x:v>{E:3}</x:v>
      </x:c>
      <x:c r="E191" s="79" t="n">
        <x:v>0</x:v>
      </x:c>
      <x:c r="F191" s="79" t="n">
        <x:v>1</x:v>
      </x:c>
      <x:c r="G191" s="79" t="str">
        <x:v>Off/On</x:v>
      </x:c>
      <x:c r="H191" s="79" t="str">
        <x:v>7E2</x:v>
      </x:c>
      <x:c r="I191" s="79" t="str">
        <x:v>PRIUS_GEN3 / ZVW30</x:v>
      </x:c>
      <x:c r="J191" s="79" t="str">
        <x:v>ZVW30 Custom PIDs for Torque (Android App) 12Nov12.xlsx - US</x:v>
      </x:c>
      <x:c r="K191" s="79" t="str">
        <x:v>2012-11-12</x:v>
      </x:c>
      <x:c r="L191" s="79" t="str">
        <x:v>READ-ONLY DIAGNOSTIC CANDIDATE</x:v>
      </x:c>
      <x:c r="M191" s="79" t="str">
        <x:v>CANDIDATE</x:v>
      </x:c>
      <x:c r="N191" s="80" t="str">
        <x:v>Later US source; validate on ZVW30 before firmware use</x:v>
      </x:c>
    </x:row>
    <x:row r="192">
      <x:c r="A192" s="78" t="str">
        <x:v>Cancel Switch</x:v>
      </x:c>
      <x:c r="B192" s="79" t="str">
        <x:v>Cancel</x:v>
      </x:c>
      <x:c r="C192" s="79" t="str">
        <x:v>2121</x:v>
      </x:c>
      <x:c r="D192" s="79" t="str">
        <x:v>{E:2}</x:v>
      </x:c>
      <x:c r="E192" s="79" t="n">
        <x:v>0</x:v>
      </x:c>
      <x:c r="F192" s="79" t="n">
        <x:v>1</x:v>
      </x:c>
      <x:c r="G192" s="79" t="str">
        <x:v>Off/On</x:v>
      </x:c>
      <x:c r="H192" s="79" t="str">
        <x:v>7E2</x:v>
      </x:c>
      <x:c r="I192" s="79" t="str">
        <x:v>PRIUS_GEN3 / ZVW30</x:v>
      </x:c>
      <x:c r="J192" s="79" t="str">
        <x:v>ZVW30 Custom PIDs for Torque (Android App) 12Nov12.xlsx - US</x:v>
      </x:c>
      <x:c r="K192" s="79" t="str">
        <x:v>2012-11-12</x:v>
      </x:c>
      <x:c r="L192" s="79" t="str">
        <x:v>READ-ONLY DIAGNOSTIC CANDIDATE</x:v>
      </x:c>
      <x:c r="M192" s="79" t="str">
        <x:v>CANDIDATE</x:v>
      </x:c>
      <x:c r="N192" s="80" t="str">
        <x:v>Later US source; validate on ZVW30 before firmware use</x:v>
      </x:c>
    </x:row>
    <x:row r="193">
      <x:c r="A193" s="78" t="str">
        <x:v>Shift Sensor Main</x:v>
      </x:c>
      <x:c r="B193" s="79" t="str">
        <x:v>Shift M</x:v>
      </x:c>
      <x:c r="C193" s="79" t="str">
        <x:v>2141</x:v>
      </x:c>
      <x:c r="D193" s="79" t="str">
        <x:v>A * 4.98 / 255</x:v>
      </x:c>
      <x:c r="E193" s="79" t="n">
        <x:v>0</x:v>
      </x:c>
      <x:c r="F193" s="79" t="n">
        <x:v>4.98</x:v>
      </x:c>
      <x:c r="G193" s="79" t="str">
        <x:v>V</x:v>
      </x:c>
      <x:c r="H193" s="79" t="str">
        <x:v>7E2</x:v>
      </x:c>
      <x:c r="I193" s="79" t="str">
        <x:v>PRIUS_GEN3 / ZVW30</x:v>
      </x:c>
      <x:c r="J193" s="79" t="str">
        <x:v>ZVW30 Custom PIDs for Torque (Android App) 12Nov12.xlsx - US</x:v>
      </x:c>
      <x:c r="K193" s="79" t="str">
        <x:v>2012-11-12</x:v>
      </x:c>
      <x:c r="L193" s="79" t="str">
        <x:v>READ-ONLY DIAGNOSTIC CANDIDATE</x:v>
      </x:c>
      <x:c r="M193" s="79" t="str">
        <x:v>CANDIDATE</x:v>
      </x:c>
      <x:c r="N193" s="80" t="str">
        <x:v>Later US source; validate on ZVW30 before firmware use</x:v>
      </x:c>
    </x:row>
    <x:row r="194">
      <x:c r="A194" s="78" t="str">
        <x:v>Shift Sensor Sub</x:v>
      </x:c>
      <x:c r="B194" s="79" t="str">
        <x:v>Shift S</x:v>
      </x:c>
      <x:c r="C194" s="79" t="str">
        <x:v>2141</x:v>
      </x:c>
      <x:c r="D194" s="79" t="str">
        <x:v>B * 4.98 / 255</x:v>
      </x:c>
      <x:c r="E194" s="79" t="n">
        <x:v>0</x:v>
      </x:c>
      <x:c r="F194" s="79" t="n">
        <x:v>4.98</x:v>
      </x:c>
      <x:c r="G194" s="79" t="str">
        <x:v>V</x:v>
      </x:c>
      <x:c r="H194" s="79" t="str">
        <x:v>7E2</x:v>
      </x:c>
      <x:c r="I194" s="79" t="str">
        <x:v>PRIUS_GEN3 / ZVW30</x:v>
      </x:c>
      <x:c r="J194" s="79" t="str">
        <x:v>ZVW30 Custom PIDs for Torque (Android App) 12Nov12.xlsx - US</x:v>
      </x:c>
      <x:c r="K194" s="79" t="str">
        <x:v>2012-11-12</x:v>
      </x:c>
      <x:c r="L194" s="79" t="str">
        <x:v>READ-ONLY DIAGNOSTIC CANDIDATE</x:v>
      </x:c>
      <x:c r="M194" s="79" t="str">
        <x:v>CANDIDATE</x:v>
      </x:c>
      <x:c r="N194" s="80" t="str">
        <x:v>Later US source; validate on ZVW30 before firmware use</x:v>
      </x:c>
    </x:row>
    <x:row r="195">
      <x:c r="A195" s="78" t="str">
        <x:v>Shift Sensor Select Main</x:v>
      </x:c>
      <x:c r="B195" s="79" t="str">
        <x:v>Shift Sel M</x:v>
      </x:c>
      <x:c r="C195" s="79" t="str">
        <x:v>2141</x:v>
      </x:c>
      <x:c r="D195" s="79" t="str">
        <x:v>C * 4.98 / 255</x:v>
      </x:c>
      <x:c r="E195" s="79" t="n">
        <x:v>0</x:v>
      </x:c>
      <x:c r="F195" s="79" t="n">
        <x:v>4.98</x:v>
      </x:c>
      <x:c r="G195" s="79" t="str">
        <x:v>V</x:v>
      </x:c>
      <x:c r="H195" s="79" t="str">
        <x:v>7E2</x:v>
      </x:c>
      <x:c r="I195" s="79" t="str">
        <x:v>PRIUS_GEN3 / ZVW30</x:v>
      </x:c>
      <x:c r="J195" s="79" t="str">
        <x:v>ZVW30 Custom PIDs for Torque (Android App) 12Nov12.xlsx - US</x:v>
      </x:c>
      <x:c r="K195" s="79" t="str">
        <x:v>2012-11-12</x:v>
      </x:c>
      <x:c r="L195" s="79" t="str">
        <x:v>READ-ONLY DIAGNOSTIC CANDIDATE</x:v>
      </x:c>
      <x:c r="M195" s="79" t="str">
        <x:v>CANDIDATE</x:v>
      </x:c>
      <x:c r="N195" s="80" t="str">
        <x:v>Later US source; validate on ZVW30 before firmware use</x:v>
      </x:c>
    </x:row>
    <x:row r="196">
      <x:c r="A196" s="78" t="str">
        <x:v>Shift Sensor Select Sub</x:v>
      </x:c>
      <x:c r="B196" s="79" t="str">
        <x:v>Shift Sel S</x:v>
      </x:c>
      <x:c r="C196" s="79" t="str">
        <x:v>2141</x:v>
      </x:c>
      <x:c r="D196" s="79" t="str">
        <x:v>D * 4.98 / 255</x:v>
      </x:c>
      <x:c r="E196" s="79" t="n">
        <x:v>0</x:v>
      </x:c>
      <x:c r="F196" s="79" t="n">
        <x:v>4.98</x:v>
      </x:c>
      <x:c r="G196" s="79" t="str">
        <x:v>V</x:v>
      </x:c>
      <x:c r="H196" s="79" t="str">
        <x:v>7E2</x:v>
      </x:c>
      <x:c r="I196" s="79" t="str">
        <x:v>PRIUS_GEN3 / ZVW30</x:v>
      </x:c>
      <x:c r="J196" s="79" t="str">
        <x:v>ZVW30 Custom PIDs for Torque (Android App) 12Nov12.xlsx - US</x:v>
      </x:c>
      <x:c r="K196" s="79" t="str">
        <x:v>2012-11-12</x:v>
      </x:c>
      <x:c r="L196" s="79" t="str">
        <x:v>READ-ONLY DIAGNOSTIC CANDIDATE</x:v>
      </x:c>
      <x:c r="M196" s="79" t="str">
        <x:v>CANDIDATE</x:v>
      </x:c>
      <x:c r="N196" s="80" t="str">
        <x:v>Later US source; validate on ZVW30 before firmware use</x:v>
      </x:c>
    </x:row>
    <x:row r="197">
      <x:c r="A197" s="78" t="str">
        <x:v>Auxiliary Battery Temperature</x:v>
      </x:c>
      <x:c r="B197" s="79" t="str">
        <x:v>Aux. B t</x:v>
      </x:c>
      <x:c r="C197" s="79" t="str">
        <x:v>2141</x:v>
      </x:c>
      <x:c r="D197" s="79" t="str">
        <x:v>E * 9 / 5 - 40</x:v>
      </x:c>
      <x:c r="E197" s="79" t="n">
        <x:v>-40</x:v>
      </x:c>
      <x:c r="F197" s="79" t="n">
        <x:v>250</x:v>
      </x:c>
      <x:c r="G197" s="79" t="str">
        <x:v>F</x:v>
      </x:c>
      <x:c r="H197" s="79" t="str">
        <x:v>7E2</x:v>
      </x:c>
      <x:c r="I197" s="79" t="str">
        <x:v>PRIUS_GEN3 / ZVW30</x:v>
      </x:c>
      <x:c r="J197" s="79" t="str">
        <x:v>ZVW30 Custom PIDs for Torque (Android App) 12Nov12.xlsx - US</x:v>
      </x:c>
      <x:c r="K197" s="79" t="str">
        <x:v>2012-11-12</x:v>
      </x:c>
      <x:c r="L197" s="79" t="str">
        <x:v>READ-ONLY DIAGNOSTIC CANDIDATE</x:v>
      </x:c>
      <x:c r="M197" s="79" t="str">
        <x:v>CANDIDATE</x:v>
      </x:c>
      <x:c r="N197" s="80" t="str">
        <x:v>Later US source; validate on ZVW30 before firmware use</x:v>
      </x:c>
    </x:row>
    <x:row r="198">
      <x:c r="A198" s="78" t="str">
        <x:v>Engine Rev (Sensor)</x:v>
      </x:c>
      <x:c r="B198" s="79" t="str">
        <x:v>RPM sensor</x:v>
      </x:c>
      <x:c r="C198" s="79" t="str">
        <x:v>2141</x:v>
      </x:c>
      <x:c r="D198" s="79" t="str">
        <x:v>(F * 256 + G) / 4</x:v>
      </x:c>
      <x:c r="E198" s="79" t="n">
        <x:v>0</x:v>
      </x:c>
      <x:c r="F198" s="79" t="n">
        <x:v>16383.75</x:v>
      </x:c>
      <x:c r="G198" s="79" t="str">
        <x:v>RPM</x:v>
      </x:c>
      <x:c r="H198" s="79" t="str">
        <x:v>7E2</x:v>
      </x:c>
      <x:c r="I198" s="79" t="str">
        <x:v>PRIUS_GEN3 / ZVW30</x:v>
      </x:c>
      <x:c r="J198" s="79" t="str">
        <x:v>ZVW30 Custom PIDs for Torque (Android App) 12Nov12.xlsx - US</x:v>
      </x:c>
      <x:c r="K198" s="79" t="str">
        <x:v>2012-11-12</x:v>
      </x:c>
      <x:c r="L198" s="79" t="str">
        <x:v>READ-ONLY DIAGNOSTIC CANDIDATE</x:v>
      </x:c>
      <x:c r="M198" s="79" t="str">
        <x:v>CANDIDATE</x:v>
      </x:c>
      <x:c r="N198" s="80" t="str">
        <x:v>Later US source; validate on ZVW30 before firmware use</x:v>
      </x:c>
    </x:row>
    <x:row r="199">
      <x:c r="A199" s="78" t="str">
        <x:v>P Pos SW Terminal Vol</x:v>
      </x:c>
      <x:c r="B199" s="79" t="str">
        <x:v>P Pos Volt</x:v>
      </x:c>
      <x:c r="C199" s="79" t="str">
        <x:v>2141</x:v>
      </x:c>
      <x:c r="D199" s="79" t="str">
        <x:v>H * 79.9987793 / 255</x:v>
      </x:c>
      <x:c r="E199" s="79" t="n">
        <x:v>0</x:v>
      </x:c>
      <x:c r="F199" s="79" t="n">
        <x:v>79.9987793</x:v>
      </x:c>
      <x:c r="G199" s="79" t="str">
        <x:v>V</x:v>
      </x:c>
      <x:c r="H199" s="79" t="str">
        <x:v>7E2</x:v>
      </x:c>
      <x:c r="I199" s="79" t="str">
        <x:v>PRIUS_GEN3 / ZVW30</x:v>
      </x:c>
      <x:c r="J199" s="79" t="str">
        <x:v>ZVW30 Custom PIDs for Torque (Android App) 12Nov12.xlsx - US</x:v>
      </x:c>
      <x:c r="K199" s="79" t="str">
        <x:v>2012-11-12</x:v>
      </x:c>
      <x:c r="L199" s="79" t="str">
        <x:v>READ-ONLY DIAGNOSTIC CANDIDATE</x:v>
      </x:c>
      <x:c r="M199" s="79" t="str">
        <x:v>CANDIDATE</x:v>
      </x:c>
      <x:c r="N199" s="80" t="str">
        <x:v>Later US source; validate on ZVW30 before firmware use</x:v>
      </x:c>
    </x:row>
    <x:row r="200">
      <x:c r="A200" s="78" t="str">
        <x:v>MG1 temperature</x:v>
      </x:c>
      <x:c r="B200" s="79" t="str">
        <x:v>MG1t</x:v>
      </x:c>
      <x:c r="C200" s="79" t="str">
        <x:v>2161</x:v>
      </x:c>
      <x:c r="D200" s="79" t="str">
        <x:v>A * 9 / 5 - 40</x:v>
      </x:c>
      <x:c r="E200" s="79" t="n">
        <x:v>-40</x:v>
      </x:c>
      <x:c r="F200" s="79" t="n">
        <x:v>250</x:v>
      </x:c>
      <x:c r="G200" s="79" t="str">
        <x:v>F</x:v>
      </x:c>
      <x:c r="H200" s="79" t="str">
        <x:v>7E2</x:v>
      </x:c>
      <x:c r="I200" s="79" t="str">
        <x:v>PRIUS_GEN3 / ZVW30</x:v>
      </x:c>
      <x:c r="J200" s="79" t="str">
        <x:v>ZVW30 Custom PIDs for Torque (Android App) 12Nov12.xlsx - US</x:v>
      </x:c>
      <x:c r="K200" s="79" t="str">
        <x:v>2012-11-12</x:v>
      </x:c>
      <x:c r="L200" s="79" t="str">
        <x:v>READ-ONLY DIAGNOSTIC CANDIDATE</x:v>
      </x:c>
      <x:c r="M200" s="79" t="str">
        <x:v>CANDIDATE</x:v>
      </x:c>
      <x:c r="N200" s="80" t="str">
        <x:v>Later US source; validate on ZVW30 before firmware use</x:v>
      </x:c>
    </x:row>
    <x:row r="201">
      <x:c r="A201" s="78" t="str">
        <x:v>MG1 temperature after IG-ON</x:v>
      </x:c>
      <x:c r="B201" s="79" t="str">
        <x:v>MG1t Ign</x:v>
      </x:c>
      <x:c r="C201" s="79" t="str">
        <x:v>2161</x:v>
      </x:c>
      <x:c r="D201" s="79" t="str">
        <x:v>B * 9 / 5 - 40</x:v>
      </x:c>
      <x:c r="E201" s="79" t="n">
        <x:v>-40</x:v>
      </x:c>
      <x:c r="F201" s="79" t="n">
        <x:v>250</x:v>
      </x:c>
      <x:c r="G201" s="79" t="str">
        <x:v>F</x:v>
      </x:c>
      <x:c r="H201" s="79" t="str">
        <x:v>7E2</x:v>
      </x:c>
      <x:c r="I201" s="79" t="str">
        <x:v>PRIUS_GEN3 / ZVW30</x:v>
      </x:c>
      <x:c r="J201" s="79" t="str">
        <x:v>ZVW30 Custom PIDs for Torque (Android App) 12Nov12.xlsx - US</x:v>
      </x:c>
      <x:c r="K201" s="79" t="str">
        <x:v>2012-11-12</x:v>
      </x:c>
      <x:c r="L201" s="79" t="str">
        <x:v>READ-ONLY DIAGNOSTIC CANDIDATE</x:v>
      </x:c>
      <x:c r="M201" s="79" t="str">
        <x:v>CANDIDATE</x:v>
      </x:c>
      <x:c r="N201" s="80" t="str">
        <x:v>Later US source; validate on ZVW30 before firmware use</x:v>
      </x:c>
    </x:row>
    <x:row r="202">
      <x:c r="A202" s="78" t="str">
        <x:v>MG1 temperature Max</x:v>
      </x:c>
      <x:c r="B202" s="79" t="str">
        <x:v>MG1t max</x:v>
      </x:c>
      <x:c r="C202" s="79" t="str">
        <x:v>2161</x:v>
      </x:c>
      <x:c r="D202" s="79" t="str">
        <x:v>C * 9 / 5 - 40</x:v>
      </x:c>
      <x:c r="E202" s="79" t="n">
        <x:v>-40</x:v>
      </x:c>
      <x:c r="F202" s="79" t="n">
        <x:v>250</x:v>
      </x:c>
      <x:c r="G202" s="79" t="str">
        <x:v>F</x:v>
      </x:c>
      <x:c r="H202" s="79" t="str">
        <x:v>7E2</x:v>
      </x:c>
      <x:c r="I202" s="79" t="str">
        <x:v>PRIUS_GEN3 / ZVW30</x:v>
      </x:c>
      <x:c r="J202" s="79" t="str">
        <x:v>ZVW30 Custom PIDs for Torque (Android App) 12Nov12.xlsx - US</x:v>
      </x:c>
      <x:c r="K202" s="79" t="str">
        <x:v>2012-11-12</x:v>
      </x:c>
      <x:c r="L202" s="79" t="str">
        <x:v>READ-ONLY DIAGNOSTIC CANDIDATE</x:v>
      </x:c>
      <x:c r="M202" s="79" t="str">
        <x:v>CANDIDATE</x:v>
      </x:c>
      <x:c r="N202" s="80" t="str">
        <x:v>Later US source; validate on ZVW30 before firmware use</x:v>
      </x:c>
    </x:row>
    <x:row r="203">
      <x:c r="A203" s="78" t="str">
        <x:v>MG1 revolution</x:v>
      </x:c>
      <x:c r="B203" s="79" t="str">
        <x:v>MG1 rpm</x:v>
      </x:c>
      <x:c r="C203" s="79" t="str">
        <x:v>2161</x:v>
      </x:c>
      <x:c r="D203" s="79" t="str">
        <x:v>D * 256 + E - 32768</x:v>
      </x:c>
      <x:c r="E203" s="79" t="n">
        <x:v>-15000</x:v>
      </x:c>
      <x:c r="F203" s="79" t="n">
        <x:v>15000</x:v>
      </x:c>
      <x:c r="G203" s="79" t="str">
        <x:v>RPM</x:v>
      </x:c>
      <x:c r="H203" s="79" t="str">
        <x:v>7E2</x:v>
      </x:c>
      <x:c r="I203" s="79" t="str">
        <x:v>PRIUS_GEN3 / ZVW30</x:v>
      </x:c>
      <x:c r="J203" s="79" t="str">
        <x:v>ZVW30 Custom PIDs for Torque (Android App) 12Nov12.xlsx - US</x:v>
      </x:c>
      <x:c r="K203" s="79" t="str">
        <x:v>2012-11-12</x:v>
      </x:c>
      <x:c r="L203" s="79" t="str">
        <x:v>READ-ONLY DIAGNOSTIC CANDIDATE</x:v>
      </x:c>
      <x:c r="M203" s="79" t="str">
        <x:v>CANDIDATE</x:v>
      </x:c>
      <x:c r="N203" s="80" t="str">
        <x:v>Later US source; validate on ZVW30 before firmware use</x:v>
      </x:c>
    </x:row>
    <x:row r="204">
      <x:c r="A204" s="78" t="str">
        <x:v>MG2 temperature</x:v>
      </x:c>
      <x:c r="B204" s="79" t="str">
        <x:v>MG2t</x:v>
      </x:c>
      <x:c r="C204" s="79" t="str">
        <x:v>2162</x:v>
      </x:c>
      <x:c r="D204" s="79" t="str">
        <x:v>A * 9 / 5 - 40</x:v>
      </x:c>
      <x:c r="E204" s="79" t="n">
        <x:v>-40</x:v>
      </x:c>
      <x:c r="F204" s="79" t="n">
        <x:v>250</x:v>
      </x:c>
      <x:c r="G204" s="79" t="str">
        <x:v>F</x:v>
      </x:c>
      <x:c r="H204" s="79" t="str">
        <x:v>7E2</x:v>
      </x:c>
      <x:c r="I204" s="79" t="str">
        <x:v>PRIUS_GEN3 / ZVW30</x:v>
      </x:c>
      <x:c r="J204" s="79" t="str">
        <x:v>ZVW30 Custom PIDs for Torque (Android App) 12Nov12.xlsx - US</x:v>
      </x:c>
      <x:c r="K204" s="79" t="str">
        <x:v>2012-11-12</x:v>
      </x:c>
      <x:c r="L204" s="79" t="str">
        <x:v>READ-ONLY DIAGNOSTIC CANDIDATE</x:v>
      </x:c>
      <x:c r="M204" s="79" t="str">
        <x:v>CANDIDATE</x:v>
      </x:c>
      <x:c r="N204" s="80" t="str">
        <x:v>Later US source; validate on ZVW30 before firmware use</x:v>
      </x:c>
    </x:row>
    <x:row r="205">
      <x:c r="A205" s="78" t="str">
        <x:v>MG2 temperature after IG-ON</x:v>
      </x:c>
      <x:c r="B205" s="79" t="str">
        <x:v>MG2t Ign</x:v>
      </x:c>
      <x:c r="C205" s="79" t="str">
        <x:v>2162</x:v>
      </x:c>
      <x:c r="D205" s="79" t="str">
        <x:v>B * 9 / 5 - 40</x:v>
      </x:c>
      <x:c r="E205" s="79" t="n">
        <x:v>-40</x:v>
      </x:c>
      <x:c r="F205" s="79" t="n">
        <x:v>250</x:v>
      </x:c>
      <x:c r="G205" s="79" t="str">
        <x:v>F</x:v>
      </x:c>
      <x:c r="H205" s="79" t="str">
        <x:v>7E2</x:v>
      </x:c>
      <x:c r="I205" s="79" t="str">
        <x:v>PRIUS_GEN3 / ZVW30</x:v>
      </x:c>
      <x:c r="J205" s="79" t="str">
        <x:v>ZVW30 Custom PIDs for Torque (Android App) 12Nov12.xlsx - US</x:v>
      </x:c>
      <x:c r="K205" s="79" t="str">
        <x:v>2012-11-12</x:v>
      </x:c>
      <x:c r="L205" s="79" t="str">
        <x:v>READ-ONLY DIAGNOSTIC CANDIDATE</x:v>
      </x:c>
      <x:c r="M205" s="79" t="str">
        <x:v>CANDIDATE</x:v>
      </x:c>
      <x:c r="N205" s="80" t="str">
        <x:v>Later US source; validate on ZVW30 before firmware use</x:v>
      </x:c>
    </x:row>
    <x:row r="206">
      <x:c r="A206" s="78" t="str">
        <x:v>MG2 temperature Max</x:v>
      </x:c>
      <x:c r="B206" s="79" t="str">
        <x:v>MG2t max</x:v>
      </x:c>
      <x:c r="C206" s="79" t="str">
        <x:v>2162</x:v>
      </x:c>
      <x:c r="D206" s="79" t="str">
        <x:v>C * 9 / 5 - 40</x:v>
      </x:c>
      <x:c r="E206" s="79" t="n">
        <x:v>-40</x:v>
      </x:c>
      <x:c r="F206" s="79" t="n">
        <x:v>250</x:v>
      </x:c>
      <x:c r="G206" s="79" t="str">
        <x:v>F</x:v>
      </x:c>
      <x:c r="H206" s="79" t="str">
        <x:v>7E2</x:v>
      </x:c>
      <x:c r="I206" s="79" t="str">
        <x:v>PRIUS_GEN3 / ZVW30</x:v>
      </x:c>
      <x:c r="J206" s="79" t="str">
        <x:v>ZVW30 Custom PIDs for Torque (Android App) 12Nov12.xlsx - US</x:v>
      </x:c>
      <x:c r="K206" s="79" t="str">
        <x:v>2012-11-12</x:v>
      </x:c>
      <x:c r="L206" s="79" t="str">
        <x:v>READ-ONLY DIAGNOSTIC CANDIDATE</x:v>
      </x:c>
      <x:c r="M206" s="79" t="str">
        <x:v>CANDIDATE</x:v>
      </x:c>
      <x:c r="N206" s="80" t="str">
        <x:v>Later US source; validate on ZVW30 before firmware use</x:v>
      </x:c>
    </x:row>
    <x:row r="207">
      <x:c r="A207" s="78" t="str">
        <x:v>MG2 revolution</x:v>
      </x:c>
      <x:c r="B207" s="79" t="str">
        <x:v>MG2 rpm</x:v>
      </x:c>
      <x:c r="C207" s="79" t="str">
        <x:v>2162</x:v>
      </x:c>
      <x:c r="D207" s="79" t="str">
        <x:v>D * 256 + E - 32768</x:v>
      </x:c>
      <x:c r="E207" s="79" t="n">
        <x:v>-500</x:v>
      </x:c>
      <x:c r="F207" s="79" t="n">
        <x:v>15000</x:v>
      </x:c>
      <x:c r="G207" s="79" t="str">
        <x:v>RPM</x:v>
      </x:c>
      <x:c r="H207" s="79" t="str">
        <x:v>7E2</x:v>
      </x:c>
      <x:c r="I207" s="79" t="str">
        <x:v>PRIUS_GEN3 / ZVW30</x:v>
      </x:c>
      <x:c r="J207" s="79" t="str">
        <x:v>ZVW30 Custom PIDs for Torque (Android App) 12Nov12.xlsx - US</x:v>
      </x:c>
      <x:c r="K207" s="79" t="str">
        <x:v>2012-11-12</x:v>
      </x:c>
      <x:c r="L207" s="79" t="str">
        <x:v>READ-ONLY DIAGNOSTIC CANDIDATE</x:v>
      </x:c>
      <x:c r="M207" s="79" t="str">
        <x:v>CANDIDATE</x:v>
      </x:c>
      <x:c r="N207" s="80" t="str">
        <x:v>Later US source; validate on ZVW30 before firmware use</x:v>
      </x:c>
    </x:row>
    <x:row r="208">
      <x:c r="A208" s="78" t="str">
        <x:v>MG1 torque</x:v>
      </x:c>
      <x:c r="B208" s="79" t="str">
        <x:v>MG1 Torq</x:v>
      </x:c>
      <x:c r="C208" s="79" t="str">
        <x:v>2167</x:v>
      </x:c>
      <x:c r="D208" s="79" t="str">
        <x:v>((A * 256 + B) / 8 - 4096) * 0.7375621</x:v>
      </x:c>
      <x:c r="E208" s="79" t="n">
        <x:v>-3021.05</x:v>
      </x:c>
      <x:c r="F208" s="79" t="n">
        <x:v>3020.96</x:v>
      </x:c>
      <x:c r="G208" s="79" t="str">
        <x:v>ft·lb</x:v>
      </x:c>
      <x:c r="H208" s="79" t="str">
        <x:v>7E2</x:v>
      </x:c>
      <x:c r="I208" s="79" t="str">
        <x:v>PRIUS_GEN3 / ZVW30</x:v>
      </x:c>
      <x:c r="J208" s="79" t="str">
        <x:v>ZVW30 Custom PIDs for Torque (Android App) 12Nov12.xlsx - US</x:v>
      </x:c>
      <x:c r="K208" s="79" t="str">
        <x:v>2012-11-12</x:v>
      </x:c>
      <x:c r="L208" s="79" t="str">
        <x:v>READ-ONLY DIAGNOSTIC CANDIDATE</x:v>
      </x:c>
      <x:c r="M208" s="79" t="str">
        <x:v>CANDIDATE</x:v>
      </x:c>
      <x:c r="N208" s="80" t="str">
        <x:v>Later US source; validate on ZVW30 before firmware use</x:v>
      </x:c>
    </x:row>
    <x:row r="209">
      <x:c r="A209" s="78" t="str">
        <x:v>MG1 torque execution value</x:v>
      </x:c>
      <x:c r="B209" s="79" t="str">
        <x:v>MG1 E Torq</x:v>
      </x:c>
      <x:c r="C209" s="79" t="str">
        <x:v>2167</x:v>
      </x:c>
      <x:c r="D209" s="79" t="str">
        <x:v>((C * 256 + D) / 8 - 4096) * 0.7375621</x:v>
      </x:c>
      <x:c r="E209" s="79" t="n">
        <x:v>-3021.05</x:v>
      </x:c>
      <x:c r="F209" s="79" t="n">
        <x:v>3020.96</x:v>
      </x:c>
      <x:c r="G209" s="79" t="str">
        <x:v>ft·lb</x:v>
      </x:c>
      <x:c r="H209" s="79" t="str">
        <x:v>7E2</x:v>
      </x:c>
      <x:c r="I209" s="79" t="str">
        <x:v>PRIUS_GEN3 / ZVW30</x:v>
      </x:c>
      <x:c r="J209" s="79" t="str">
        <x:v>ZVW30 Custom PIDs for Torque (Android App) 12Nov12.xlsx - US</x:v>
      </x:c>
      <x:c r="K209" s="79" t="str">
        <x:v>2012-11-12</x:v>
      </x:c>
      <x:c r="L209" s="79" t="str">
        <x:v>READ-ONLY DIAGNOSTIC CANDIDATE</x:v>
      </x:c>
      <x:c r="M209" s="79" t="str">
        <x:v>CANDIDATE</x:v>
      </x:c>
      <x:c r="N209" s="80" t="str">
        <x:v>Later US source; validate on ZVW30 before firmware use</x:v>
      </x:c>
    </x:row>
    <x:row r="210">
      <x:c r="A210" s="78" t="str">
        <x:v>MG1 Control Mode (PWM=0,Variable PWM=1,Rectangular wave=2)</x:v>
      </x:c>
      <x:c r="B210" s="79" t="str">
        <x:v>MG1 mode</x:v>
      </x:c>
      <x:c r="C210" s="79" t="str">
        <x:v>2167</x:v>
      </x:c>
      <x:c r="D210" s="79" t="str">
        <x:v>E</x:v>
      </x:c>
      <x:c r="E210" s="79" t="n">
        <x:v>0</x:v>
      </x:c>
      <x:c r="F210" s="79" t="n">
        <x:v>2</x:v>
      </x:c>
      <x:c r="G210" s="79"/>
      <x:c r="H210" s="79" t="str">
        <x:v>7E2</x:v>
      </x:c>
      <x:c r="I210" s="79" t="str">
        <x:v>PRIUS_GEN3 / ZVW30</x:v>
      </x:c>
      <x:c r="J210" s="79" t="str">
        <x:v>ZVW30 Custom PIDs for Torque (Android App) 12Nov12.xlsx - US</x:v>
      </x:c>
      <x:c r="K210" s="79" t="str">
        <x:v>2012-11-12</x:v>
      </x:c>
      <x:c r="L210" s="79" t="str">
        <x:v>READ-ONLY DIAGNOSTIC CANDIDATE</x:v>
      </x:c>
      <x:c r="M210" s="79" t="str">
        <x:v>CANDIDATE</x:v>
      </x:c>
      <x:c r="N210" s="80" t="str">
        <x:v>Later US source; validate on ZVW30 before firmware use</x:v>
      </x:c>
    </x:row>
    <x:row r="211">
      <x:c r="A211" s="78" t="str">
        <x:v>MG2 torque</x:v>
      </x:c>
      <x:c r="B211" s="79" t="str">
        <x:v>MG2 Torq</x:v>
      </x:c>
      <x:c r="C211" s="79" t="str">
        <x:v>2168</x:v>
      </x:c>
      <x:c r="D211" s="79" t="str">
        <x:v>((A * 256 + B) / 8 - 4096) * 0.7375621</x:v>
      </x:c>
      <x:c r="E211" s="79" t="n">
        <x:v>-3021.05</x:v>
      </x:c>
      <x:c r="F211" s="79" t="n">
        <x:v>3020.96</x:v>
      </x:c>
      <x:c r="G211" s="79" t="str">
        <x:v>ft·lb</x:v>
      </x:c>
      <x:c r="H211" s="79" t="str">
        <x:v>7E2</x:v>
      </x:c>
      <x:c r="I211" s="79" t="str">
        <x:v>PRIUS_GEN3 / ZVW30</x:v>
      </x:c>
      <x:c r="J211" s="79" t="str">
        <x:v>ZVW30 Custom PIDs for Torque (Android App) 12Nov12.xlsx - US</x:v>
      </x:c>
      <x:c r="K211" s="79" t="str">
        <x:v>2012-11-12</x:v>
      </x:c>
      <x:c r="L211" s="79" t="str">
        <x:v>READ-ONLY DIAGNOSTIC CANDIDATE</x:v>
      </x:c>
      <x:c r="M211" s="79" t="str">
        <x:v>CANDIDATE</x:v>
      </x:c>
      <x:c r="N211" s="80" t="str">
        <x:v>Later US source; validate on ZVW30 before firmware use</x:v>
      </x:c>
    </x:row>
    <x:row r="212">
      <x:c r="A212" s="78" t="str">
        <x:v>MG2 torque execution value</x:v>
      </x:c>
      <x:c r="B212" s="79" t="str">
        <x:v>MG2 E Torq</x:v>
      </x:c>
      <x:c r="C212" s="79" t="str">
        <x:v>2168</x:v>
      </x:c>
      <x:c r="D212" s="79" t="str">
        <x:v>((C * 256 + D) / 8 - 4096) * 0.7375621</x:v>
      </x:c>
      <x:c r="E212" s="79" t="n">
        <x:v>-3021.05</x:v>
      </x:c>
      <x:c r="F212" s="79" t="n">
        <x:v>3020.96</x:v>
      </x:c>
      <x:c r="G212" s="79" t="str">
        <x:v>ft·lb</x:v>
      </x:c>
      <x:c r="H212" s="79" t="str">
        <x:v>7E2</x:v>
      </x:c>
      <x:c r="I212" s="79" t="str">
        <x:v>PRIUS_GEN3 / ZVW30</x:v>
      </x:c>
      <x:c r="J212" s="79" t="str">
        <x:v>ZVW30 Custom PIDs for Torque (Android App) 12Nov12.xlsx - US</x:v>
      </x:c>
      <x:c r="K212" s="79" t="str">
        <x:v>2012-11-12</x:v>
      </x:c>
      <x:c r="L212" s="79" t="str">
        <x:v>READ-ONLY DIAGNOSTIC CANDIDATE</x:v>
      </x:c>
      <x:c r="M212" s="79" t="str">
        <x:v>CANDIDATE</x:v>
      </x:c>
      <x:c r="N212" s="80" t="str">
        <x:v>Later US source; validate on ZVW30 before firmware use</x:v>
      </x:c>
    </x:row>
    <x:row r="213">
      <x:c r="A213" s="78" t="str">
        <x:v>MG2 Control Mode (PWM=0,Variable PWM=1,Rectangular wave=2)</x:v>
      </x:c>
      <x:c r="B213" s="79" t="str">
        <x:v>MG2 mode</x:v>
      </x:c>
      <x:c r="C213" s="79" t="str">
        <x:v>2168</x:v>
      </x:c>
      <x:c r="D213" s="79" t="str">
        <x:v>E</x:v>
      </x:c>
      <x:c r="E213" s="79" t="n">
        <x:v>0</x:v>
      </x:c>
      <x:c r="F213" s="79" t="n">
        <x:v>2</x:v>
      </x:c>
      <x:c r="G213" s="79"/>
      <x:c r="H213" s="79" t="str">
        <x:v>7E2</x:v>
      </x:c>
      <x:c r="I213" s="79" t="str">
        <x:v>PRIUS_GEN3 / ZVW30</x:v>
      </x:c>
      <x:c r="J213" s="79" t="str">
        <x:v>ZVW30 Custom PIDs for Torque (Android App) 12Nov12.xlsx - US</x:v>
      </x:c>
      <x:c r="K213" s="79" t="str">
        <x:v>2012-11-12</x:v>
      </x:c>
      <x:c r="L213" s="79" t="str">
        <x:v>READ-ONLY DIAGNOSTIC CANDIDATE</x:v>
      </x:c>
      <x:c r="M213" s="79" t="str">
        <x:v>CANDIDATE</x:v>
      </x:c>
      <x:c r="N213" s="80" t="str">
        <x:v>Later US source; validate on ZVW30 before firmware use</x:v>
      </x:c>
    </x:row>
    <x:row r="214">
      <x:c r="A214" s="78" t="str">
        <x:v>Inverter MG1 Temp</x:v>
      </x:c>
      <x:c r="B214" s="79" t="str">
        <x:v>Inv1t</x:v>
      </x:c>
      <x:c r="C214" s="79" t="str">
        <x:v>2170</x:v>
      </x:c>
      <x:c r="D214" s="79" t="str">
        <x:v>A * 9 / 5 - 40</x:v>
      </x:c>
      <x:c r="E214" s="79" t="n">
        <x:v>59</x:v>
      </x:c>
      <x:c r="F214" s="79" t="n">
        <x:v>302</x:v>
      </x:c>
      <x:c r="G214" s="79" t="str">
        <x:v>F</x:v>
      </x:c>
      <x:c r="H214" s="79" t="str">
        <x:v>7E2</x:v>
      </x:c>
      <x:c r="I214" s="79" t="str">
        <x:v>PRIUS_GEN3 / ZVW30</x:v>
      </x:c>
      <x:c r="J214" s="79" t="str">
        <x:v>ZVW30 Custom PIDs for Torque (Android App) 12Nov12.xlsx - US</x:v>
      </x:c>
      <x:c r="K214" s="79" t="str">
        <x:v>2012-11-12</x:v>
      </x:c>
      <x:c r="L214" s="79" t="str">
        <x:v>READ-ONLY DIAGNOSTIC CANDIDATE</x:v>
      </x:c>
      <x:c r="M214" s="79" t="str">
        <x:v>CANDIDATE</x:v>
      </x:c>
      <x:c r="N214" s="80" t="str">
        <x:v>Later US source; validate on ZVW30 before firmware use</x:v>
      </x:c>
    </x:row>
    <x:row r="215">
      <x:c r="A215" s="78" t="str">
        <x:v>Inverter MG1 Temp after IG-ON</x:v>
      </x:c>
      <x:c r="B215" s="79" t="str">
        <x:v>Inv1t Ign</x:v>
      </x:c>
      <x:c r="C215" s="79" t="str">
        <x:v>2170</x:v>
      </x:c>
      <x:c r="D215" s="79" t="str">
        <x:v>B * 9 / 5 - 40</x:v>
      </x:c>
      <x:c r="E215" s="79" t="n">
        <x:v>59</x:v>
      </x:c>
      <x:c r="F215" s="79" t="n">
        <x:v>302</x:v>
      </x:c>
      <x:c r="G215" s="79" t="str">
        <x:v>F</x:v>
      </x:c>
      <x:c r="H215" s="79" t="str">
        <x:v>7E2</x:v>
      </x:c>
      <x:c r="I215" s="79" t="str">
        <x:v>PRIUS_GEN3 / ZVW30</x:v>
      </x:c>
      <x:c r="J215" s="79" t="str">
        <x:v>ZVW30 Custom PIDs for Torque (Android App) 12Nov12.xlsx - US</x:v>
      </x:c>
      <x:c r="K215" s="79" t="str">
        <x:v>2012-11-12</x:v>
      </x:c>
      <x:c r="L215" s="79" t="str">
        <x:v>READ-ONLY DIAGNOSTIC CANDIDATE</x:v>
      </x:c>
      <x:c r="M215" s="79" t="str">
        <x:v>CANDIDATE</x:v>
      </x:c>
      <x:c r="N215" s="80" t="str">
        <x:v>Later US source; validate on ZVW30 before firmware use</x:v>
      </x:c>
    </x:row>
    <x:row r="216">
      <x:c r="A216" s="78" t="str">
        <x:v>Inverter MG1 Temp Max</x:v>
      </x:c>
      <x:c r="B216" s="79" t="str">
        <x:v>Inv1t max</x:v>
      </x:c>
      <x:c r="C216" s="79" t="str">
        <x:v>2170</x:v>
      </x:c>
      <x:c r="D216" s="79" t="str">
        <x:v>C * 9 / 5 - 40</x:v>
      </x:c>
      <x:c r="E216" s="79" t="n">
        <x:v>59</x:v>
      </x:c>
      <x:c r="F216" s="79" t="n">
        <x:v>302</x:v>
      </x:c>
      <x:c r="G216" s="79" t="str">
        <x:v>F</x:v>
      </x:c>
      <x:c r="H216" s="79" t="str">
        <x:v>7E2</x:v>
      </x:c>
      <x:c r="I216" s="79" t="str">
        <x:v>PRIUS_GEN3 / ZVW30</x:v>
      </x:c>
      <x:c r="J216" s="79" t="str">
        <x:v>ZVW30 Custom PIDs for Torque (Android App) 12Nov12.xlsx - US</x:v>
      </x:c>
      <x:c r="K216" s="79" t="str">
        <x:v>2012-11-12</x:v>
      </x:c>
      <x:c r="L216" s="79" t="str">
        <x:v>READ-ONLY DIAGNOSTIC CANDIDATE</x:v>
      </x:c>
      <x:c r="M216" s="79" t="str">
        <x:v>CANDIDATE</x:v>
      </x:c>
      <x:c r="N216" s="80" t="str">
        <x:v>Later US source; validate on ZVW30 before firmware use</x:v>
      </x:c>
    </x:row>
    <x:row r="217">
      <x:c r="A217" s="78" t="str">
        <x:v>MG1 Gate Status</x:v>
      </x:c>
      <x:c r="B217" s="79" t="str">
        <x:v>MG1 Gate</x:v>
      </x:c>
      <x:c r="C217" s="79" t="str">
        <x:v>2170</x:v>
      </x:c>
      <x:c r="D217" s="79" t="str">
        <x:v>{D:7}</x:v>
      </x:c>
      <x:c r="E217" s="79" t="n">
        <x:v>0</x:v>
      </x:c>
      <x:c r="F217" s="79" t="n">
        <x:v>1</x:v>
      </x:c>
      <x:c r="G217" s="79" t="str">
        <x:v>Off/On</x:v>
      </x:c>
      <x:c r="H217" s="79" t="str">
        <x:v>7E2</x:v>
      </x:c>
      <x:c r="I217" s="79" t="str">
        <x:v>PRIUS_GEN3 / ZVW30</x:v>
      </x:c>
      <x:c r="J217" s="79" t="str">
        <x:v>ZVW30 Custom PIDs for Torque (Android App) 12Nov12.xlsx - US</x:v>
      </x:c>
      <x:c r="K217" s="79" t="str">
        <x:v>2012-11-12</x:v>
      </x:c>
      <x:c r="L217" s="79" t="str">
        <x:v>READ-ONLY DIAGNOSTIC CANDIDATE</x:v>
      </x:c>
      <x:c r="M217" s="79" t="str">
        <x:v>CANDIDATE</x:v>
      </x:c>
      <x:c r="N217" s="80" t="str">
        <x:v>Later US source; validate on ZVW30 before firmware use</x:v>
      </x:c>
    </x:row>
    <x:row r="218">
      <x:c r="A218" s="78" t="str">
        <x:v>Inverter MG2 Temp</x:v>
      </x:c>
      <x:c r="B218" s="79" t="str">
        <x:v>Inv2t</x:v>
      </x:c>
      <x:c r="C218" s="79" t="str">
        <x:v>2171</x:v>
      </x:c>
      <x:c r="D218" s="79" t="str">
        <x:v>A * 9 / 5 - 40</x:v>
      </x:c>
      <x:c r="E218" s="79" t="n">
        <x:v>59</x:v>
      </x:c>
      <x:c r="F218" s="79" t="n">
        <x:v>302</x:v>
      </x:c>
      <x:c r="G218" s="79" t="str">
        <x:v>F</x:v>
      </x:c>
      <x:c r="H218" s="79" t="str">
        <x:v>7E2</x:v>
      </x:c>
      <x:c r="I218" s="79" t="str">
        <x:v>PRIUS_GEN3 / ZVW30</x:v>
      </x:c>
      <x:c r="J218" s="79" t="str">
        <x:v>ZVW30 Custom PIDs for Torque (Android App) 12Nov12.xlsx - US</x:v>
      </x:c>
      <x:c r="K218" s="79" t="str">
        <x:v>2012-11-12</x:v>
      </x:c>
      <x:c r="L218" s="79" t="str">
        <x:v>READ-ONLY DIAGNOSTIC CANDIDATE</x:v>
      </x:c>
      <x:c r="M218" s="79" t="str">
        <x:v>CANDIDATE</x:v>
      </x:c>
      <x:c r="N218" s="80" t="str">
        <x:v>Later US source; validate on ZVW30 before firmware use</x:v>
      </x:c>
    </x:row>
    <x:row r="219">
      <x:c r="A219" s="78" t="str">
        <x:v>Inverter MG2 Temp after IG-ON</x:v>
      </x:c>
      <x:c r="B219" s="79" t="str">
        <x:v>Inv2t Ign</x:v>
      </x:c>
      <x:c r="C219" s="79" t="str">
        <x:v>2171</x:v>
      </x:c>
      <x:c r="D219" s="79" t="str">
        <x:v>B * 9 / 5 - 40</x:v>
      </x:c>
      <x:c r="E219" s="79" t="n">
        <x:v>59</x:v>
      </x:c>
      <x:c r="F219" s="79" t="n">
        <x:v>302</x:v>
      </x:c>
      <x:c r="G219" s="79" t="str">
        <x:v>F</x:v>
      </x:c>
      <x:c r="H219" s="79" t="str">
        <x:v>7E2</x:v>
      </x:c>
      <x:c r="I219" s="79" t="str">
        <x:v>PRIUS_GEN3 / ZVW30</x:v>
      </x:c>
      <x:c r="J219" s="79" t="str">
        <x:v>ZVW30 Custom PIDs for Torque (Android App) 12Nov12.xlsx - US</x:v>
      </x:c>
      <x:c r="K219" s="79" t="str">
        <x:v>2012-11-12</x:v>
      </x:c>
      <x:c r="L219" s="79" t="str">
        <x:v>READ-ONLY DIAGNOSTIC CANDIDATE</x:v>
      </x:c>
      <x:c r="M219" s="79" t="str">
        <x:v>CANDIDATE</x:v>
      </x:c>
      <x:c r="N219" s="80" t="str">
        <x:v>Later US source; validate on ZVW30 before firmware use</x:v>
      </x:c>
    </x:row>
    <x:row r="220">
      <x:c r="A220" s="78" t="str">
        <x:v>Inverter MG2 Temp Max</x:v>
      </x:c>
      <x:c r="B220" s="79" t="str">
        <x:v>Inv2t max</x:v>
      </x:c>
      <x:c r="C220" s="79" t="str">
        <x:v>2171</x:v>
      </x:c>
      <x:c r="D220" s="79" t="str">
        <x:v>C * 9 / 5 - 40</x:v>
      </x:c>
      <x:c r="E220" s="79" t="n">
        <x:v>59</x:v>
      </x:c>
      <x:c r="F220" s="79" t="n">
        <x:v>302</x:v>
      </x:c>
      <x:c r="G220" s="79" t="str">
        <x:v>F</x:v>
      </x:c>
      <x:c r="H220" s="79" t="str">
        <x:v>7E2</x:v>
      </x:c>
      <x:c r="I220" s="79" t="str">
        <x:v>PRIUS_GEN3 / ZVW30</x:v>
      </x:c>
      <x:c r="J220" s="79" t="str">
        <x:v>ZVW30 Custom PIDs for Torque (Android App) 12Nov12.xlsx - US</x:v>
      </x:c>
      <x:c r="K220" s="79" t="str">
        <x:v>2012-11-12</x:v>
      </x:c>
      <x:c r="L220" s="79" t="str">
        <x:v>READ-ONLY DIAGNOSTIC CANDIDATE</x:v>
      </x:c>
      <x:c r="M220" s="79" t="str">
        <x:v>CANDIDATE</x:v>
      </x:c>
      <x:c r="N220" s="80" t="str">
        <x:v>Later US source; validate on ZVW30 before firmware use</x:v>
      </x:c>
    </x:row>
    <x:row r="221">
      <x:c r="A221" s="78" t="str">
        <x:v>MG2 Gate Status</x:v>
      </x:c>
      <x:c r="B221" s="79" t="str">
        <x:v>MG2 Gate</x:v>
      </x:c>
      <x:c r="C221" s="79" t="str">
        <x:v>2171</x:v>
      </x:c>
      <x:c r="D221" s="79" t="str">
        <x:v>{D:7}</x:v>
      </x:c>
      <x:c r="E221" s="79" t="n">
        <x:v>0</x:v>
      </x:c>
      <x:c r="F221" s="79" t="n">
        <x:v>1</x:v>
      </x:c>
      <x:c r="G221" s="79" t="str">
        <x:v>Off/On</x:v>
      </x:c>
      <x:c r="H221" s="79" t="str">
        <x:v>7E2</x:v>
      </x:c>
      <x:c r="I221" s="79" t="str">
        <x:v>PRIUS_GEN3 / ZVW30</x:v>
      </x:c>
      <x:c r="J221" s="79" t="str">
        <x:v>ZVW30 Custom PIDs for Torque (Android App) 12Nov12.xlsx - US</x:v>
      </x:c>
      <x:c r="K221" s="79" t="str">
        <x:v>2012-11-12</x:v>
      </x:c>
      <x:c r="L221" s="79" t="str">
        <x:v>READ-ONLY DIAGNOSTIC CANDIDATE</x:v>
      </x:c>
      <x:c r="M221" s="79" t="str">
        <x:v>CANDIDATE</x:v>
      </x:c>
      <x:c r="N221" s="80" t="str">
        <x:v>Later US source; validate on ZVW30 before firmware use</x:v>
      </x:c>
    </x:row>
    <x:row r="222">
      <x:c r="A222" s="78" t="str">
        <x:v>Boost converter temperature (upper)</x:v>
      </x:c>
      <x:c r="B222" s="79" t="str">
        <x:v>BC U</x:v>
      </x:c>
      <x:c r="C222" s="79" t="str">
        <x:v>2174</x:v>
      </x:c>
      <x:c r="D222" s="79" t="str">
        <x:v>A * 9 / 5 - 40</x:v>
      </x:c>
      <x:c r="E222" s="79" t="n">
        <x:v>59</x:v>
      </x:c>
      <x:c r="F222" s="79" t="n">
        <x:v>302</x:v>
      </x:c>
      <x:c r="G222" s="79" t="str">
        <x:v>F</x:v>
      </x:c>
      <x:c r="H222" s="79" t="str">
        <x:v>7E2</x:v>
      </x:c>
      <x:c r="I222" s="79" t="str">
        <x:v>PRIUS_GEN3 / ZVW30</x:v>
      </x:c>
      <x:c r="J222" s="79" t="str">
        <x:v>ZVW30 Custom PIDs for Torque (Android App) 12Nov12.xlsx - US</x:v>
      </x:c>
      <x:c r="K222" s="79" t="str">
        <x:v>2012-11-12</x:v>
      </x:c>
      <x:c r="L222" s="79" t="str">
        <x:v>READ-ONLY DIAGNOSTIC CANDIDATE</x:v>
      </x:c>
      <x:c r="M222" s="79" t="str">
        <x:v>CANDIDATE</x:v>
      </x:c>
      <x:c r="N222" s="80" t="str">
        <x:v>Later US source; validate on ZVW30 before firmware use</x:v>
      </x:c>
    </x:row>
    <x:row r="223">
      <x:c r="A223" s="78" t="str">
        <x:v>Boost converter temperature (lower)</x:v>
      </x:c>
      <x:c r="B223" s="79" t="str">
        <x:v>BC L</x:v>
      </x:c>
      <x:c r="C223" s="79" t="str">
        <x:v>2174</x:v>
      </x:c>
      <x:c r="D223" s="79" t="str">
        <x:v>B * 9 / 5 - 40</x:v>
      </x:c>
      <x:c r="E223" s="79" t="n">
        <x:v>59</x:v>
      </x:c>
      <x:c r="F223" s="79" t="n">
        <x:v>302</x:v>
      </x:c>
      <x:c r="G223" s="79" t="str">
        <x:v>F</x:v>
      </x:c>
      <x:c r="H223" s="79" t="str">
        <x:v>7E2</x:v>
      </x:c>
      <x:c r="I223" s="79" t="str">
        <x:v>PRIUS_GEN3 / ZVW30</x:v>
      </x:c>
      <x:c r="J223" s="79" t="str">
        <x:v>ZVW30 Custom PIDs for Torque (Android App) 12Nov12.xlsx - US</x:v>
      </x:c>
      <x:c r="K223" s="79" t="str">
        <x:v>2012-11-12</x:v>
      </x:c>
      <x:c r="L223" s="79" t="str">
        <x:v>READ-ONLY DIAGNOSTIC CANDIDATE</x:v>
      </x:c>
      <x:c r="M223" s="79" t="str">
        <x:v>CANDIDATE</x:v>
      </x:c>
      <x:c r="N223" s="80" t="str">
        <x:v>Later US source; validate on ZVW30 before firmware use</x:v>
      </x:c>
    </x:row>
    <x:row r="224">
      <x:c r="A224" s="78" t="str">
        <x:v>Boost converter temperature after IG-ON</x:v>
      </x:c>
      <x:c r="B224" s="79" t="str">
        <x:v>BC Ign</x:v>
      </x:c>
      <x:c r="C224" s="79" t="str">
        <x:v>2174</x:v>
      </x:c>
      <x:c r="D224" s="79" t="str">
        <x:v>C * 9 / 5 - 40</x:v>
      </x:c>
      <x:c r="E224" s="79" t="n">
        <x:v>59</x:v>
      </x:c>
      <x:c r="F224" s="79" t="n">
        <x:v>302</x:v>
      </x:c>
      <x:c r="G224" s="79" t="str">
        <x:v>F</x:v>
      </x:c>
      <x:c r="H224" s="79" t="str">
        <x:v>7E2</x:v>
      </x:c>
      <x:c r="I224" s="79" t="str">
        <x:v>PRIUS_GEN3 / ZVW30</x:v>
      </x:c>
      <x:c r="J224" s="79" t="str">
        <x:v>ZVW30 Custom PIDs for Torque (Android App) 12Nov12.xlsx - US</x:v>
      </x:c>
      <x:c r="K224" s="79" t="str">
        <x:v>2012-11-12</x:v>
      </x:c>
      <x:c r="L224" s="79" t="str">
        <x:v>READ-ONLY DIAGNOSTIC CANDIDATE</x:v>
      </x:c>
      <x:c r="M224" s="79" t="str">
        <x:v>CANDIDATE</x:v>
      </x:c>
      <x:c r="N224" s="80" t="str">
        <x:v>Later US source; validate on ZVW30 before firmware use</x:v>
      </x:c>
    </x:row>
    <x:row r="225">
      <x:c r="A225" s="78" t="str">
        <x:v>Boost converter temperature Max</x:v>
      </x:c>
      <x:c r="B225" s="79" t="str">
        <x:v>BC max</x:v>
      </x:c>
      <x:c r="C225" s="79" t="str">
        <x:v>2174</x:v>
      </x:c>
      <x:c r="D225" s="79" t="str">
        <x:v>D * 9 / 5 - 40</x:v>
      </x:c>
      <x:c r="E225" s="79" t="n">
        <x:v>59</x:v>
      </x:c>
      <x:c r="F225" s="79" t="n">
        <x:v>302</x:v>
      </x:c>
      <x:c r="G225" s="79" t="str">
        <x:v>F</x:v>
      </x:c>
      <x:c r="H225" s="79" t="str">
        <x:v>7E2</x:v>
      </x:c>
      <x:c r="I225" s="79" t="str">
        <x:v>PRIUS_GEN3 / ZVW30</x:v>
      </x:c>
      <x:c r="J225" s="79" t="str">
        <x:v>ZVW30 Custom PIDs for Torque (Android App) 12Nov12.xlsx - US</x:v>
      </x:c>
      <x:c r="K225" s="79" t="str">
        <x:v>2012-11-12</x:v>
      </x:c>
      <x:c r="L225" s="79" t="str">
        <x:v>READ-ONLY DIAGNOSTIC CANDIDATE</x:v>
      </x:c>
      <x:c r="M225" s="79" t="str">
        <x:v>CANDIDATE</x:v>
      </x:c>
      <x:c r="N225" s="80" t="str">
        <x:v>Later US source; validate on ZVW30 before firmware use</x:v>
      </x:c>
    </x:row>
    <x:row r="226">
      <x:c r="A226" s="78" t="str">
        <x:v>Converter Gate Status</x:v>
      </x:c>
      <x:c r="B226" s="79" t="str">
        <x:v>Cnv Gate</x:v>
      </x:c>
      <x:c r="C226" s="79" t="str">
        <x:v>2174</x:v>
      </x:c>
      <x:c r="D226" s="79" t="str">
        <x:v>{E:7}</x:v>
      </x:c>
      <x:c r="E226" s="79" t="n">
        <x:v>0</x:v>
      </x:c>
      <x:c r="F226" s="79" t="n">
        <x:v>1</x:v>
      </x:c>
      <x:c r="G226" s="79" t="str">
        <x:v>Off/On</x:v>
      </x:c>
      <x:c r="H226" s="79" t="str">
        <x:v>7E2</x:v>
      </x:c>
      <x:c r="I226" s="79" t="str">
        <x:v>PRIUS_GEN3 / ZVW30</x:v>
      </x:c>
      <x:c r="J226" s="79" t="str">
        <x:v>ZVW30 Custom PIDs for Torque (Android App) 12Nov12.xlsx - US</x:v>
      </x:c>
      <x:c r="K226" s="79" t="str">
        <x:v>2012-11-12</x:v>
      </x:c>
      <x:c r="L226" s="79" t="str">
        <x:v>READ-ONLY DIAGNOSTIC CANDIDATE</x:v>
      </x:c>
      <x:c r="M226" s="79" t="str">
        <x:v>CANDIDATE</x:v>
      </x:c>
      <x:c r="N226" s="80" t="str">
        <x:v>Later US source; validate on ZVW30 before firmware use</x:v>
      </x:c>
    </x:row>
    <x:row r="227">
      <x:c r="A227" s="78" t="str">
        <x:v>Overvoltage Input to Converter</x:v>
      </x:c>
      <x:c r="B227" s="79" t="str">
        <x:v>O/V I/P Cnv</x:v>
      </x:c>
      <x:c r="C227" s="79" t="str">
        <x:v>2174</x:v>
      </x:c>
      <x:c r="D227" s="79" t="str">
        <x:v>{E:6}</x:v>
      </x:c>
      <x:c r="E227" s="79" t="n">
        <x:v>0</x:v>
      </x:c>
      <x:c r="F227" s="79" t="n">
        <x:v>1</x:v>
      </x:c>
      <x:c r="G227" s="79" t="str">
        <x:v>Off/On</x:v>
      </x:c>
      <x:c r="H227" s="79" t="str">
        <x:v>7E2</x:v>
      </x:c>
      <x:c r="I227" s="79" t="str">
        <x:v>PRIUS_GEN3 / ZVW30</x:v>
      </x:c>
      <x:c r="J227" s="79" t="str">
        <x:v>ZVW30 Custom PIDs for Torque (Android App) 12Nov12.xlsx - US</x:v>
      </x:c>
      <x:c r="K227" s="79" t="str">
        <x:v>2012-11-12</x:v>
      </x:c>
      <x:c r="L227" s="79" t="str">
        <x:v>READ-ONLY DIAGNOSTIC CANDIDATE</x:v>
      </x:c>
      <x:c r="M227" s="79" t="str">
        <x:v>CANDIDATE</x:v>
      </x:c>
      <x:c r="N227" s="80" t="str">
        <x:v>Later US source; validate on ZVW30 before firmware use</x:v>
      </x:c>
    </x:row>
    <x:row r="228">
      <x:c r="A228" s="78" t="str">
        <x:v>Overvoltage Input to Inverter</x:v>
      </x:c>
      <x:c r="B228" s="79" t="str">
        <x:v>O/V I/P Inv</x:v>
      </x:c>
      <x:c r="C228" s="79" t="str">
        <x:v>2174</x:v>
      </x:c>
      <x:c r="D228" s="79" t="str">
        <x:v>{E:5}</x:v>
      </x:c>
      <x:c r="E228" s="79" t="n">
        <x:v>0</x:v>
      </x:c>
      <x:c r="F228" s="79" t="n">
        <x:v>1</x:v>
      </x:c>
      <x:c r="G228" s="79" t="str">
        <x:v>Off/On</x:v>
      </x:c>
      <x:c r="H228" s="79" t="str">
        <x:v>7E2</x:v>
      </x:c>
      <x:c r="I228" s="79" t="str">
        <x:v>PRIUS_GEN3 / ZVW30</x:v>
      </x:c>
      <x:c r="J228" s="79" t="str">
        <x:v>ZVW30 Custom PIDs for Torque (Android App) 12Nov12.xlsx - US</x:v>
      </x:c>
      <x:c r="K228" s="79" t="str">
        <x:v>2012-11-12</x:v>
      </x:c>
      <x:c r="L228" s="79" t="str">
        <x:v>READ-ONLY DIAGNOSTIC CANDIDATE</x:v>
      </x:c>
      <x:c r="M228" s="79" t="str">
        <x:v>CANDIDATE</x:v>
      </x:c>
      <x:c r="N228" s="80" t="str">
        <x:v>Later US source; validate on ZVW30 before firmware use</x:v>
      </x:c>
    </x:row>
    <x:row r="229">
      <x:c r="A229" s="78" t="str">
        <x:v>VL-Voltage before Boosting</x:v>
      </x:c>
      <x:c r="B229" s="79" t="str">
        <x:v>VLB</x:v>
      </x:c>
      <x:c r="C229" s="79" t="str">
        <x:v>2174</x:v>
      </x:c>
      <x:c r="D229" s="79" t="str">
        <x:v>(F * 256 + G) / 2</x:v>
      </x:c>
      <x:c r="E229" s="79" t="n">
        <x:v>0</x:v>
      </x:c>
      <x:c r="F229" s="79" t="n">
        <x:v>300</x:v>
      </x:c>
      <x:c r="G229" s="79" t="str">
        <x:v>V</x:v>
      </x:c>
      <x:c r="H229" s="79" t="str">
        <x:v>7E2</x:v>
      </x:c>
      <x:c r="I229" s="79" t="str">
        <x:v>PRIUS_GEN3 / ZVW30</x:v>
      </x:c>
      <x:c r="J229" s="79" t="str">
        <x:v>ZVW30 Custom PIDs for Torque (Android App) 12Nov12.xlsx - US</x:v>
      </x:c>
      <x:c r="K229" s="79" t="str">
        <x:v>2012-11-12</x:v>
      </x:c>
      <x:c r="L229" s="79" t="str">
        <x:v>READ-ONLY DIAGNOSTIC CANDIDATE</x:v>
      </x:c>
      <x:c r="M229" s="79" t="str">
        <x:v>CANDIDATE</x:v>
      </x:c>
      <x:c r="N229" s="80" t="str">
        <x:v>Later US source; validate on ZVW30 before firmware use</x:v>
      </x:c>
    </x:row>
    <x:row r="230">
      <x:c r="A230" s="78" t="str">
        <x:v>VH-Voltage after Boosting</x:v>
      </x:c>
      <x:c r="B230" s="79" t="str">
        <x:v>VHB</x:v>
      </x:c>
      <x:c r="C230" s="79" t="str">
        <x:v>2174</x:v>
      </x:c>
      <x:c r="D230" s="79" t="str">
        <x:v>(H * 256 + I) / 2</x:v>
      </x:c>
      <x:c r="E230" s="79" t="n">
        <x:v>0</x:v>
      </x:c>
      <x:c r="F230" s="79" t="n">
        <x:v>765</x:v>
      </x:c>
      <x:c r="G230" s="79" t="str">
        <x:v>V</x:v>
      </x:c>
      <x:c r="H230" s="79" t="str">
        <x:v>7E2</x:v>
      </x:c>
      <x:c r="I230" s="79" t="str">
        <x:v>PRIUS_GEN3 / ZVW30</x:v>
      </x:c>
      <x:c r="J230" s="79" t="str">
        <x:v>ZVW30 Custom PIDs for Torque (Android App) 12Nov12.xlsx - US</x:v>
      </x:c>
      <x:c r="K230" s="79" t="str">
        <x:v>2012-11-12</x:v>
      </x:c>
      <x:c r="L230" s="79" t="str">
        <x:v>READ-ONLY DIAGNOSTIC CANDIDATE</x:v>
      </x:c>
      <x:c r="M230" s="79" t="str">
        <x:v>CANDIDATE</x:v>
      </x:c>
      <x:c r="N230" s="80" t="str">
        <x:v>Later US source; validate on ZVW30 before firmware use</x:v>
      </x:c>
    </x:row>
    <x:row r="231">
      <x:c r="A231" s="78" t="str">
        <x:v>Prohibit DC/DC converter signal</x:v>
      </x:c>
      <x:c r="B231" s="79" t="str">
        <x:v>P DCDC</x:v>
      </x:c>
      <x:c r="C231" s="79" t="str">
        <x:v>2175</x:v>
      </x:c>
      <x:c r="D231" s="79" t="str">
        <x:v>{A:6}</x:v>
      </x:c>
      <x:c r="E231" s="79" t="n">
        <x:v>0</x:v>
      </x:c>
      <x:c r="F231" s="79" t="n">
        <x:v>1</x:v>
      </x:c>
      <x:c r="G231" s="79" t="str">
        <x:v>Off/On</x:v>
      </x:c>
      <x:c r="H231" s="79" t="str">
        <x:v>7E2</x:v>
      </x:c>
      <x:c r="I231" s="79" t="str">
        <x:v>PRIUS_GEN3 / ZVW30</x:v>
      </x:c>
      <x:c r="J231" s="79" t="str">
        <x:v>ZVW30 Custom PIDs for Torque (Android App) 12Nov12.xlsx - US</x:v>
      </x:c>
      <x:c r="K231" s="79" t="str">
        <x:v>2012-11-12</x:v>
      </x:c>
      <x:c r="L231" s="79" t="str">
        <x:v>READ-ONLY DIAGNOSTIC CANDIDATE</x:v>
      </x:c>
      <x:c r="M231" s="79" t="str">
        <x:v>CANDIDATE</x:v>
      </x:c>
      <x:c r="N231" s="80" t="str">
        <x:v>Later US source; validate on ZVW30 before firmware use</x:v>
      </x:c>
    </x:row>
    <x:row r="232">
      <x:c r="A232" s="78" t="str">
        <x:v>Aircon Gate Status</x:v>
      </x:c>
      <x:c r="B232" s="79" t="str">
        <x:v>A/C Gate</x:v>
      </x:c>
      <x:c r="C232" s="79" t="str">
        <x:v>2175</x:v>
      </x:c>
      <x:c r="D232" s="79" t="str">
        <x:v>{A:5}</x:v>
      </x:c>
      <x:c r="E232" s="79" t="n">
        <x:v>0</x:v>
      </x:c>
      <x:c r="F232" s="79" t="n">
        <x:v>1</x:v>
      </x:c>
      <x:c r="G232" s="79" t="str">
        <x:v>Off/On</x:v>
      </x:c>
      <x:c r="H232" s="79" t="str">
        <x:v>7E2</x:v>
      </x:c>
      <x:c r="I232" s="79" t="str">
        <x:v>PRIUS_GEN3 / ZVW30</x:v>
      </x:c>
      <x:c r="J232" s="79" t="str">
        <x:v>ZVW30 Custom PIDs for Torque (Android App) 12Nov12.xlsx - US</x:v>
      </x:c>
      <x:c r="K232" s="79" t="str">
        <x:v>2012-11-12</x:v>
      </x:c>
      <x:c r="L232" s="79" t="str">
        <x:v>READ-ONLY DIAGNOSTIC CANDIDATE</x:v>
      </x:c>
      <x:c r="M232" s="79" t="str">
        <x:v>CANDIDATE</x:v>
      </x:c>
      <x:c r="N232" s="80" t="str">
        <x:v>Later US source; validate on ZVW30 before firmware use</x:v>
      </x:c>
    </x:row>
    <x:row r="233">
      <x:c r="A233" s="78" t="str">
        <x:v>Water Pump Running</x:v>
      </x:c>
      <x:c r="B233" s="79" t="str">
        <x:v>WP run</x:v>
      </x:c>
      <x:c r="C233" s="79" t="str">
        <x:v>2175</x:v>
      </x:c>
      <x:c r="D233" s="79" t="str">
        <x:v>{A:4}</x:v>
      </x:c>
      <x:c r="E233" s="79" t="n">
        <x:v>0</x:v>
      </x:c>
      <x:c r="F233" s="79" t="n">
        <x:v>1</x:v>
      </x:c>
      <x:c r="G233" s="79" t="str">
        <x:v>Off/On</x:v>
      </x:c>
      <x:c r="H233" s="79" t="str">
        <x:v>7E2</x:v>
      </x:c>
      <x:c r="I233" s="79" t="str">
        <x:v>PRIUS_GEN3 / ZVW30</x:v>
      </x:c>
      <x:c r="J233" s="79" t="str">
        <x:v>ZVW30 Custom PIDs for Torque (Android App) 12Nov12.xlsx - US</x:v>
      </x:c>
      <x:c r="K233" s="79" t="str">
        <x:v>2012-11-12</x:v>
      </x:c>
      <x:c r="L233" s="79" t="str">
        <x:v>READ-ONLY DIAGNOSTIC CANDIDATE</x:v>
      </x:c>
      <x:c r="M233" s="79" t="str">
        <x:v>CANDIDATE</x:v>
      </x:c>
      <x:c r="N233" s="80" t="str">
        <x:v>Later US source; validate on ZVW30 before firmware use</x:v>
      </x:c>
    </x:row>
    <x:row r="234">
      <x:c r="A234" s="78" t="str">
        <x:v>Inverter Water Pump Revolution</x:v>
      </x:c>
      <x:c r="B234" s="79" t="str">
        <x:v>Inv WP</x:v>
      </x:c>
      <x:c r="C234" s="79" t="str">
        <x:v>2175</x:v>
      </x:c>
      <x:c r="D234" s="79" t="str">
        <x:v>B * 256 + C</x:v>
      </x:c>
      <x:c r="E234" s="79" t="n">
        <x:v>0</x:v>
      </x:c>
      <x:c r="F234" s="79" t="n">
        <x:v>5000</x:v>
      </x:c>
      <x:c r="G234" s="79" t="str">
        <x:v>RPM</x:v>
      </x:c>
      <x:c r="H234" s="79" t="str">
        <x:v>7E2</x:v>
      </x:c>
      <x:c r="I234" s="79" t="str">
        <x:v>PRIUS_GEN3 / ZVW30</x:v>
      </x:c>
      <x:c r="J234" s="79" t="str">
        <x:v>ZVW30 Custom PIDs for Torque (Android App) 12Nov12.xlsx - US</x:v>
      </x:c>
      <x:c r="K234" s="79" t="str">
        <x:v>2012-11-12</x:v>
      </x:c>
      <x:c r="L234" s="79" t="str">
        <x:v>READ-ONLY DIAGNOSTIC CANDIDATE</x:v>
      </x:c>
      <x:c r="M234" s="79" t="str">
        <x:v>CANDIDATE</x:v>
      </x:c>
      <x:c r="N234" s="80" t="str">
        <x:v>Later US source; validate on ZVW30 before firmware use</x:v>
      </x:c>
    </x:row>
    <x:row r="235">
      <x:c r="A235" s="78" t="str">
        <x:v>Inverter Coolant Temp</x:v>
      </x:c>
      <x:c r="B235" s="79" t="str">
        <x:v>Inv Coolant</x:v>
      </x:c>
      <x:c r="C235" s="79" t="str">
        <x:v>2175</x:v>
      </x:c>
      <x:c r="D235" s="79" t="str">
        <x:v>D * 9 / 5 - 40</x:v>
      </x:c>
      <x:c r="E235" s="79" t="n">
        <x:v>59</x:v>
      </x:c>
      <x:c r="F235" s="79" t="n">
        <x:v>302</x:v>
      </x:c>
      <x:c r="G235" s="79" t="str">
        <x:v>F</x:v>
      </x:c>
      <x:c r="H235" s="79" t="str">
        <x:v>7E2</x:v>
      </x:c>
      <x:c r="I235" s="79" t="str">
        <x:v>PRIUS_GEN3 / ZVW30</x:v>
      </x:c>
      <x:c r="J235" s="79" t="str">
        <x:v>ZVW30 Custom PIDs for Torque (Android App) 12Nov12.xlsx - US</x:v>
      </x:c>
      <x:c r="K235" s="79" t="str">
        <x:v>2012-11-12</x:v>
      </x:c>
      <x:c r="L235" s="79" t="str">
        <x:v>READ-ONLY DIAGNOSTIC CANDIDATE</x:v>
      </x:c>
      <x:c r="M235" s="79" t="str">
        <x:v>CANDIDATE</x:v>
      </x:c>
      <x:c r="N235" s="80" t="str">
        <x:v>Later US source; validate on ZVW30 before firmware use</x:v>
      </x:c>
    </x:row>
    <x:row r="236">
      <x:c r="A236" s="78" t="str">
        <x:v>MG1 Inverter Shutdown</x:v>
      </x:c>
      <x:c r="B236" s="79" t="str">
        <x:v>Inv1 S/D</x:v>
      </x:c>
      <x:c r="C236" s="79" t="str">
        <x:v>2178 </x:v>
      </x:c>
      <x:c r="D236" s="79" t="str">
        <x:v>{A:7}</x:v>
      </x:c>
      <x:c r="E236" s="79" t="n">
        <x:v>0</x:v>
      </x:c>
      <x:c r="F236" s="79" t="n">
        <x:v>1</x:v>
      </x:c>
      <x:c r="G236" s="79" t="str">
        <x:v>Off/On</x:v>
      </x:c>
      <x:c r="H236" s="79" t="str">
        <x:v>7E2</x:v>
      </x:c>
      <x:c r="I236" s="79" t="str">
        <x:v>PRIUS_GEN3 / ZVW30</x:v>
      </x:c>
      <x:c r="J236" s="79" t="str">
        <x:v>ZVW30 Custom PIDs for Torque (Android App) 12Nov12.xlsx - US</x:v>
      </x:c>
      <x:c r="K236" s="79" t="str">
        <x:v>2012-11-12</x:v>
      </x:c>
      <x:c r="L236" s="79" t="str">
        <x:v>READ-ONLY DIAGNOSTIC CANDIDATE</x:v>
      </x:c>
      <x:c r="M236" s="79" t="str">
        <x:v>CANDIDATE</x:v>
      </x:c>
      <x:c r="N236" s="80" t="str">
        <x:v>Later US source; validate on ZVW30 before firmware use</x:v>
      </x:c>
    </x:row>
    <x:row r="237">
      <x:c r="A237" s="78" t="str">
        <x:v>MG1 Inverter Fail</x:v>
      </x:c>
      <x:c r="B237" s="79" t="str">
        <x:v>Inv1 fail</x:v>
      </x:c>
      <x:c r="C237" s="79" t="str">
        <x:v>2178 </x:v>
      </x:c>
      <x:c r="D237" s="79" t="str">
        <x:v>{A:6}</x:v>
      </x:c>
      <x:c r="E237" s="79" t="n">
        <x:v>0</x:v>
      </x:c>
      <x:c r="F237" s="79" t="n">
        <x:v>1</x:v>
      </x:c>
      <x:c r="G237" s="79" t="str">
        <x:v>Off/On</x:v>
      </x:c>
      <x:c r="H237" s="79" t="str">
        <x:v>7E2</x:v>
      </x:c>
      <x:c r="I237" s="79" t="str">
        <x:v>PRIUS_GEN3 / ZVW30</x:v>
      </x:c>
      <x:c r="J237" s="79" t="str">
        <x:v>ZVW30 Custom PIDs for Torque (Android App) 12Nov12.xlsx - US</x:v>
      </x:c>
      <x:c r="K237" s="79" t="str">
        <x:v>2012-11-12</x:v>
      </x:c>
      <x:c r="L237" s="79" t="str">
        <x:v>READ-ONLY DIAGNOSTIC CANDIDATE</x:v>
      </x:c>
      <x:c r="M237" s="79" t="str">
        <x:v>CANDIDATE</x:v>
      </x:c>
      <x:c r="N237" s="80" t="str">
        <x:v>Later US source; validate on ZVW30 before firmware use</x:v>
      </x:c>
    </x:row>
    <x:row r="238">
      <x:c r="A238" s="78" t="str">
        <x:v>MG2 Inverter Shutdown</x:v>
      </x:c>
      <x:c r="B238" s="79" t="str">
        <x:v>Inv2 S/D</x:v>
      </x:c>
      <x:c r="C238" s="79" t="str">
        <x:v>2178 </x:v>
      </x:c>
      <x:c r="D238" s="79" t="str">
        <x:v>{B:7}</x:v>
      </x:c>
      <x:c r="E238" s="79" t="n">
        <x:v>0</x:v>
      </x:c>
      <x:c r="F238" s="79" t="n">
        <x:v>1</x:v>
      </x:c>
      <x:c r="G238" s="79" t="str">
        <x:v>Off/On</x:v>
      </x:c>
      <x:c r="H238" s="79" t="str">
        <x:v>7E2</x:v>
      </x:c>
      <x:c r="I238" s="79" t="str">
        <x:v>PRIUS_GEN3 / ZVW30</x:v>
      </x:c>
      <x:c r="J238" s="79" t="str">
        <x:v>ZVW30 Custom PIDs for Torque (Android App) 12Nov12.xlsx - US</x:v>
      </x:c>
      <x:c r="K238" s="79" t="str">
        <x:v>2012-11-12</x:v>
      </x:c>
      <x:c r="L238" s="79" t="str">
        <x:v>READ-ONLY DIAGNOSTIC CANDIDATE</x:v>
      </x:c>
      <x:c r="M238" s="79" t="str">
        <x:v>CANDIDATE</x:v>
      </x:c>
      <x:c r="N238" s="80" t="str">
        <x:v>Later US source; validate on ZVW30 before firmware use</x:v>
      </x:c>
    </x:row>
    <x:row r="239">
      <x:c r="A239" s="78" t="str">
        <x:v>MG2 Inverter Fail</x:v>
      </x:c>
      <x:c r="B239" s="79" t="str">
        <x:v>Inv2 fail</x:v>
      </x:c>
      <x:c r="C239" s="79" t="str">
        <x:v>2178 </x:v>
      </x:c>
      <x:c r="D239" s="79" t="str">
        <x:v>{B:6}</x:v>
      </x:c>
      <x:c r="E239" s="79" t="n">
        <x:v>0</x:v>
      </x:c>
      <x:c r="F239" s="79" t="n">
        <x:v>1</x:v>
      </x:c>
      <x:c r="G239" s="79" t="str">
        <x:v>Off/On</x:v>
      </x:c>
      <x:c r="H239" s="79" t="str">
        <x:v>7E2</x:v>
      </x:c>
      <x:c r="I239" s="79" t="str">
        <x:v>PRIUS_GEN3 / ZVW30</x:v>
      </x:c>
      <x:c r="J239" s="79" t="str">
        <x:v>ZVW30 Custom PIDs for Torque (Android App) 12Nov12.xlsx - US</x:v>
      </x:c>
      <x:c r="K239" s="79" t="str">
        <x:v>2012-11-12</x:v>
      </x:c>
      <x:c r="L239" s="79" t="str">
        <x:v>READ-ONLY DIAGNOSTIC CANDIDATE</x:v>
      </x:c>
      <x:c r="M239" s="79" t="str">
        <x:v>CANDIDATE</x:v>
      </x:c>
      <x:c r="N239" s="80" t="str">
        <x:v>Later US source; validate on ZVW30 before firmware use</x:v>
      </x:c>
    </x:row>
    <x:row r="240">
      <x:c r="A240" s="78" t="str">
        <x:v>DCDC Cnv Target Pulse Duty</x:v>
      </x:c>
      <x:c r="B240" s="79" t="str">
        <x:v>DCTPD</x:v>
      </x:c>
      <x:c r="C240" s="79" t="str">
        <x:v>2179</x:v>
      </x:c>
      <x:c r="D240" s="79" t="str">
        <x:v>(A * 256 + B) * 399.9 / 65535</x:v>
      </x:c>
      <x:c r="E240" s="79" t="n">
        <x:v>0</x:v>
      </x:c>
      <x:c r="F240" s="79" t="n">
        <x:v>100</x:v>
      </x:c>
      <x:c r="G240" s="79" t="str">
        <x:v>%</x:v>
      </x:c>
      <x:c r="H240" s="79" t="str">
        <x:v>7E2</x:v>
      </x:c>
      <x:c r="I240" s="79" t="str">
        <x:v>PRIUS_GEN3 / ZVW30</x:v>
      </x:c>
      <x:c r="J240" s="79" t="str">
        <x:v>ZVW30 Custom PIDs for Torque (Android App) 12Nov12.xlsx - US</x:v>
      </x:c>
      <x:c r="K240" s="79" t="str">
        <x:v>2012-11-12</x:v>
      </x:c>
      <x:c r="L240" s="79" t="str">
        <x:v>READ-ONLY DIAGNOSTIC CANDIDATE</x:v>
      </x:c>
      <x:c r="M240" s="79" t="str">
        <x:v>CANDIDATE</x:v>
      </x:c>
      <x:c r="N240" s="80" t="str">
        <x:v>Later US source; validate on ZVW30 before firmware use</x:v>
      </x:c>
    </x:row>
    <x:row r="241">
      <x:c r="A241" s="78" t="str">
        <x:v>Water Pump Run Control Duty</x:v>
      </x:c>
      <x:c r="B241" s="79" t="str">
        <x:v>WP Duty</x:v>
      </x:c>
      <x:c r="C241" s="79" t="str">
        <x:v>2179</x:v>
      </x:c>
      <x:c r="D241" s="79" t="str">
        <x:v>C * 6.25</x:v>
      </x:c>
      <x:c r="E241" s="79" t="n">
        <x:v>0</x:v>
      </x:c>
      <x:c r="F241" s="79" t="n">
        <x:v>100</x:v>
      </x:c>
      <x:c r="G241" s="79" t="str">
        <x:v>%</x:v>
      </x:c>
      <x:c r="H241" s="79" t="str">
        <x:v>7E2</x:v>
      </x:c>
      <x:c r="I241" s="79" t="str">
        <x:v>PRIUS_GEN3 / ZVW30</x:v>
      </x:c>
      <x:c r="J241" s="79" t="str">
        <x:v>ZVW30 Custom PIDs for Torque (Android App) 12Nov12.xlsx - US</x:v>
      </x:c>
      <x:c r="K241" s="79" t="str">
        <x:v>2012-11-12</x:v>
      </x:c>
      <x:c r="L241" s="79" t="str">
        <x:v>READ-ONLY DIAGNOSTIC CANDIDATE</x:v>
      </x:c>
      <x:c r="M241" s="79" t="str">
        <x:v>CANDIDATE</x:v>
      </x:c>
      <x:c r="N241" s="80" t="str">
        <x:v>Later US source; validate on ZVW30 before firmware use</x:v>
      </x:c>
    </x:row>
    <x:row r="242">
      <x:c r="A242" s="78" t="str">
        <x:v>Converter Shutdown</x:v>
      </x:c>
      <x:c r="B242" s="79" t="str">
        <x:v>Cnv S/D</x:v>
      </x:c>
      <x:c r="C242" s="79" t="str">
        <x:v>2179</x:v>
      </x:c>
      <x:c r="D242" s="79" t="str">
        <x:v>{D:7}</x:v>
      </x:c>
      <x:c r="E242" s="79" t="n">
        <x:v>0</x:v>
      </x:c>
      <x:c r="F242" s="79" t="n">
        <x:v>1</x:v>
      </x:c>
      <x:c r="G242" s="79" t="str">
        <x:v>Off/On</x:v>
      </x:c>
      <x:c r="H242" s="79" t="str">
        <x:v>7E2</x:v>
      </x:c>
      <x:c r="I242" s="79" t="str">
        <x:v>PRIUS_GEN3 / ZVW30</x:v>
      </x:c>
      <x:c r="J242" s="79" t="str">
        <x:v>ZVW30 Custom PIDs for Torque (Android App) 12Nov12.xlsx - US</x:v>
      </x:c>
      <x:c r="K242" s="79" t="str">
        <x:v>2012-11-12</x:v>
      </x:c>
      <x:c r="L242" s="79" t="str">
        <x:v>READ-ONLY DIAGNOSTIC CANDIDATE</x:v>
      </x:c>
      <x:c r="M242" s="79" t="str">
        <x:v>CANDIDATE</x:v>
      </x:c>
      <x:c r="N242" s="80" t="str">
        <x:v>Later US source; validate on ZVW30 before firmware use</x:v>
      </x:c>
    </x:row>
    <x:row r="243">
      <x:c r="A243" s="78" t="str">
        <x:v>Converter Fail</x:v>
      </x:c>
      <x:c r="B243" s="79" t="str">
        <x:v>Cnv fail</x:v>
      </x:c>
      <x:c r="C243" s="79" t="str">
        <x:v>2179</x:v>
      </x:c>
      <x:c r="D243" s="79" t="str">
        <x:v>{D:6}</x:v>
      </x:c>
      <x:c r="E243" s="79" t="n">
        <x:v>0</x:v>
      </x:c>
      <x:c r="F243" s="79" t="n">
        <x:v>1</x:v>
      </x:c>
      <x:c r="G243" s="79" t="str">
        <x:v>Off/On</x:v>
      </x:c>
      <x:c r="H243" s="79" t="str">
        <x:v>7E2</x:v>
      </x:c>
      <x:c r="I243" s="79" t="str">
        <x:v>PRIUS_GEN3 / ZVW30</x:v>
      </x:c>
      <x:c r="J243" s="79" t="str">
        <x:v>ZVW30 Custom PIDs for Torque (Android App) 12Nov12.xlsx - US</x:v>
      </x:c>
      <x:c r="K243" s="79" t="str">
        <x:v>2012-11-12</x:v>
      </x:c>
      <x:c r="L243" s="79" t="str">
        <x:v>READ-ONLY DIAGNOSTIC CANDIDATE</x:v>
      </x:c>
      <x:c r="M243" s="79" t="str">
        <x:v>CANDIDATE</x:v>
      </x:c>
      <x:c r="N243" s="80" t="str">
        <x:v>Later US source; validate on ZVW30 before firmware use</x:v>
      </x:c>
    </x:row>
    <x:row r="244">
      <x:c r="A244" s="78" t="str">
        <x:v>MG1 Carrier Frequency</x:v>
      </x:c>
      <x:c r="B244" s="79" t="str">
        <x:v>MG1 CF</x:v>
      </x:c>
      <x:c r="C244" s="79" t="str">
        <x:v>217C</x:v>
      </x:c>
      <x:c r="D244" s="79" t="str">
        <x:v>A / 20</x:v>
      </x:c>
      <x:c r="E244" s="79" t="n">
        <x:v>0.75</x:v>
      </x:c>
      <x:c r="F244" s="79" t="n">
        <x:v>10</x:v>
      </x:c>
      <x:c r="G244" s="79" t="str">
        <x:v>kHz</x:v>
      </x:c>
      <x:c r="H244" s="79" t="str">
        <x:v>7E2</x:v>
      </x:c>
      <x:c r="I244" s="79" t="str">
        <x:v>PRIUS_GEN3 / ZVW30</x:v>
      </x:c>
      <x:c r="J244" s="79" t="str">
        <x:v>ZVW30 Custom PIDs for Torque (Android App) 12Nov12.xlsx - US</x:v>
      </x:c>
      <x:c r="K244" s="79" t="str">
        <x:v>2012-11-12</x:v>
      </x:c>
      <x:c r="L244" s="79" t="str">
        <x:v>READ-ONLY DIAGNOSTIC CANDIDATE</x:v>
      </x:c>
      <x:c r="M244" s="79" t="str">
        <x:v>CANDIDATE</x:v>
      </x:c>
      <x:c r="N244" s="80" t="str">
        <x:v>Later US source; validate on ZVW30 before firmware use</x:v>
      </x:c>
    </x:row>
    <x:row r="245">
      <x:c r="A245" s="78" t="str">
        <x:v>MG2 Carrier Frequency</x:v>
      </x:c>
      <x:c r="B245" s="79" t="str">
        <x:v>MG2 CF</x:v>
      </x:c>
      <x:c r="C245" s="79" t="str">
        <x:v>217C</x:v>
      </x:c>
      <x:c r="D245" s="79" t="str">
        <x:v>B / 20</x:v>
      </x:c>
      <x:c r="E245" s="79" t="n">
        <x:v>0.75</x:v>
      </x:c>
      <x:c r="F245" s="79" t="n">
        <x:v>10</x:v>
      </x:c>
      <x:c r="G245" s="79" t="str">
        <x:v>kHz</x:v>
      </x:c>
      <x:c r="H245" s="79" t="str">
        <x:v>7E2</x:v>
      </x:c>
      <x:c r="I245" s="79" t="str">
        <x:v>PRIUS_GEN3 / ZVW30</x:v>
      </x:c>
      <x:c r="J245" s="79" t="str">
        <x:v>ZVW30 Custom PIDs for Torque (Android App) 12Nov12.xlsx - US</x:v>
      </x:c>
      <x:c r="K245" s="79" t="str">
        <x:v>2012-11-12</x:v>
      </x:c>
      <x:c r="L245" s="79" t="str">
        <x:v>READ-ONLY DIAGNOSTIC CANDIDATE</x:v>
      </x:c>
      <x:c r="M245" s="79" t="str">
        <x:v>CANDIDATE</x:v>
      </x:c>
      <x:c r="N245" s="80" t="str">
        <x:v>Later US source; validate on ZVW30 before firmware use</x:v>
      </x:c>
    </x:row>
    <x:row r="246">
      <x:c r="A246" s="78" t="str">
        <x:v>Boost Ratio</x:v>
      </x:c>
      <x:c r="B246" s="79" t="str">
        <x:v>B Ratio</x:v>
      </x:c>
      <x:c r="C246" s="79" t="str">
        <x:v>217D</x:v>
      </x:c>
      <x:c r="D246" s="79" t="str">
        <x:v>A / 2</x:v>
      </x:c>
      <x:c r="E246" s="79" t="n">
        <x:v>0</x:v>
      </x:c>
      <x:c r="F246" s="79" t="n">
        <x:v>100</x:v>
      </x:c>
      <x:c r="G246" s="79" t="str">
        <x:v>%</x:v>
      </x:c>
      <x:c r="H246" s="79" t="str">
        <x:v>7E2</x:v>
      </x:c>
      <x:c r="I246" s="79" t="str">
        <x:v>PRIUS_GEN3 / ZVW30</x:v>
      </x:c>
      <x:c r="J246" s="79" t="str">
        <x:v>ZVW30 Custom PIDs for Torque (Android App) 12Nov12.xlsx - US</x:v>
      </x:c>
      <x:c r="K246" s="79" t="str">
        <x:v>2012-11-12</x:v>
      </x:c>
      <x:c r="L246" s="79" t="str">
        <x:v>READ-ONLY DIAGNOSTIC CANDIDATE</x:v>
      </x:c>
      <x:c r="M246" s="79" t="str">
        <x:v>CANDIDATE</x:v>
      </x:c>
      <x:c r="N246" s="80" t="str">
        <x:v>Later US source; validate on ZVW30 before firmware use</x:v>
      </x:c>
    </x:row>
    <x:row r="247">
      <x:c r="A247" s="78" t="str">
        <x:v>Converter Carrier Frequency (9.55kHz=0,9.13kHz=1,8.71kHz=2,8.29kHz=3,7.87kHz=4,7.45kHz=5,4.8kHz=6)</x:v>
      </x:c>
      <x:c r="B247" s="79" t="str">
        <x:v>Cnv CF</x:v>
      </x:c>
      <x:c r="C247" s="79" t="str">
        <x:v>217D</x:v>
      </x:c>
      <x:c r="D247" s="79" t="str">
        <x:v>B</x:v>
      </x:c>
      <x:c r="E247" s="79" t="n">
        <x:v>0</x:v>
      </x:c>
      <x:c r="F247" s="79" t="n">
        <x:v>6</x:v>
      </x:c>
      <x:c r="G247" s="79"/>
      <x:c r="H247" s="79" t="str">
        <x:v>7E2</x:v>
      </x:c>
      <x:c r="I247" s="79" t="str">
        <x:v>PRIUS_GEN3 / ZVW30</x:v>
      </x:c>
      <x:c r="J247" s="79" t="str">
        <x:v>ZVW30 Custom PIDs for Torque (Android App) 12Nov12.xlsx - US</x:v>
      </x:c>
      <x:c r="K247" s="79" t="str">
        <x:v>2012-11-12</x:v>
      </x:c>
      <x:c r="L247" s="79" t="str">
        <x:v>READ-ONLY DIAGNOSTIC CANDIDATE</x:v>
      </x:c>
      <x:c r="M247" s="79" t="str">
        <x:v>CANDIDATE</x:v>
      </x:c>
      <x:c r="N247" s="80" t="str">
        <x:v>Later US source; validate on ZVW30 before firmware use</x:v>
      </x:c>
    </x:row>
    <x:row r="248">
      <x:c r="A248" s="78" t="str">
        <x:v>A/C consumption power</x:v>
      </x:c>
      <x:c r="B248" s="79" t="str">
        <x:v>A/C pwr</x:v>
      </x:c>
      <x:c r="C248" s="79" t="str">
        <x:v>217D</x:v>
      </x:c>
      <x:c r="D248" s="79" t="str">
        <x:v>C * 50 * 0.001341022089595</x:v>
      </x:c>
      <x:c r="E248" s="79" t="n">
        <x:v>0</x:v>
      </x:c>
      <x:c r="F248" s="79" t="n">
        <x:v>6.705</x:v>
      </x:c>
      <x:c r="G248" s="79" t="str">
        <x:v>HP</x:v>
      </x:c>
      <x:c r="H248" s="79" t="str">
        <x:v>7E2</x:v>
      </x:c>
      <x:c r="I248" s="79" t="str">
        <x:v>PRIUS_GEN3 / ZVW30</x:v>
      </x:c>
      <x:c r="J248" s="79" t="str">
        <x:v>ZVW30 Custom PIDs for Torque (Android App) 12Nov12.xlsx - US</x:v>
      </x:c>
      <x:c r="K248" s="79" t="str">
        <x:v>2012-11-12</x:v>
      </x:c>
      <x:c r="L248" s="79" t="str">
        <x:v>READ-ONLY DIAGNOSTIC CANDIDATE</x:v>
      </x:c>
      <x:c r="M248" s="79" t="str">
        <x:v>CANDIDATE</x:v>
      </x:c>
      <x:c r="N248" s="80" t="str">
        <x:v>Later US source; validate on ZVW30 before firmware use</x:v>
      </x:c>
    </x:row>
    <x:row r="249">
      <x:c r="A249" s="78" t="str">
        <x:v>Battery Block Voltage -V01</x:v>
      </x:c>
      <x:c r="B249" s="79" t="str">
        <x:v>V01</x:v>
      </x:c>
      <x:c r="C249" s="79" t="str">
        <x:v>2181</x:v>
      </x:c>
      <x:c r="D249" s="79" t="str">
        <x:v>(A * 256 + B) * 79.99 / 65535</x:v>
      </x:c>
      <x:c r="E249" s="79" t="n">
        <x:v>12</x:v>
      </x:c>
      <x:c r="F249" s="79" t="n">
        <x:v>20</x:v>
      </x:c>
      <x:c r="G249" s="79" t="str">
        <x:v>V</x:v>
      </x:c>
      <x:c r="H249" s="79" t="str">
        <x:v>7E2</x:v>
      </x:c>
      <x:c r="I249" s="79" t="str">
        <x:v>PRIUS_GEN3 / ZVW30</x:v>
      </x:c>
      <x:c r="J249" s="79" t="str">
        <x:v>ZVW30 Custom PIDs for Torque (Android App) 12Nov12.xlsx - US</x:v>
      </x:c>
      <x:c r="K249" s="79" t="str">
        <x:v>2012-11-12</x:v>
      </x:c>
      <x:c r="L249" s="79" t="str">
        <x:v>READ-ONLY DIAGNOSTIC CANDIDATE</x:v>
      </x:c>
      <x:c r="M249" s="79" t="str">
        <x:v>CANDIDATE</x:v>
      </x:c>
      <x:c r="N249" s="80" t="str">
        <x:v>Later US source; validate on ZVW30 before firmware use</x:v>
      </x:c>
    </x:row>
    <x:row r="250">
      <x:c r="A250" s="78" t="str">
        <x:v>Battery Block Voltage -V02</x:v>
      </x:c>
      <x:c r="B250" s="79" t="str">
        <x:v>V02</x:v>
      </x:c>
      <x:c r="C250" s="79" t="str">
        <x:v>2181</x:v>
      </x:c>
      <x:c r="D250" s="79" t="str">
        <x:v>(C * 256 + D) * 79.99 / 65535</x:v>
      </x:c>
      <x:c r="E250" s="79" t="n">
        <x:v>12</x:v>
      </x:c>
      <x:c r="F250" s="79" t="n">
        <x:v>20</x:v>
      </x:c>
      <x:c r="G250" s="79" t="str">
        <x:v>V</x:v>
      </x:c>
      <x:c r="H250" s="79" t="str">
        <x:v>7E2</x:v>
      </x:c>
      <x:c r="I250" s="79" t="str">
        <x:v>PRIUS_GEN3 / ZVW30</x:v>
      </x:c>
      <x:c r="J250" s="79" t="str">
        <x:v>ZVW30 Custom PIDs for Torque (Android App) 12Nov12.xlsx - US</x:v>
      </x:c>
      <x:c r="K250" s="79" t="str">
        <x:v>2012-11-12</x:v>
      </x:c>
      <x:c r="L250" s="79" t="str">
        <x:v>READ-ONLY DIAGNOSTIC CANDIDATE</x:v>
      </x:c>
      <x:c r="M250" s="79" t="str">
        <x:v>CANDIDATE</x:v>
      </x:c>
      <x:c r="N250" s="80" t="str">
        <x:v>Later US source; validate on ZVW30 before firmware use</x:v>
      </x:c>
    </x:row>
    <x:row r="251">
      <x:c r="A251" s="78" t="str">
        <x:v>Battery Block Voltage -V03</x:v>
      </x:c>
      <x:c r="B251" s="79" t="str">
        <x:v>V03</x:v>
      </x:c>
      <x:c r="C251" s="79" t="str">
        <x:v>2181</x:v>
      </x:c>
      <x:c r="D251" s="79" t="str">
        <x:v>(E * 256 + F) * 79.99 / 65535</x:v>
      </x:c>
      <x:c r="E251" s="79" t="n">
        <x:v>12</x:v>
      </x:c>
      <x:c r="F251" s="79" t="n">
        <x:v>20</x:v>
      </x:c>
      <x:c r="G251" s="79" t="str">
        <x:v>V</x:v>
      </x:c>
      <x:c r="H251" s="79" t="str">
        <x:v>7E2</x:v>
      </x:c>
      <x:c r="I251" s="79" t="str">
        <x:v>PRIUS_GEN3 / ZVW30</x:v>
      </x:c>
      <x:c r="J251" s="79" t="str">
        <x:v>ZVW30 Custom PIDs for Torque (Android App) 12Nov12.xlsx - US</x:v>
      </x:c>
      <x:c r="K251" s="79" t="str">
        <x:v>2012-11-12</x:v>
      </x:c>
      <x:c r="L251" s="79" t="str">
        <x:v>READ-ONLY DIAGNOSTIC CANDIDATE</x:v>
      </x:c>
      <x:c r="M251" s="79" t="str">
        <x:v>CANDIDATE</x:v>
      </x:c>
      <x:c r="N251" s="80" t="str">
        <x:v>Later US source; validate on ZVW30 before firmware use</x:v>
      </x:c>
    </x:row>
    <x:row r="252">
      <x:c r="A252" s="78" t="str">
        <x:v>Battery Block Voltage -V04</x:v>
      </x:c>
      <x:c r="B252" s="79" t="str">
        <x:v>V04</x:v>
      </x:c>
      <x:c r="C252" s="79" t="str">
        <x:v>2181</x:v>
      </x:c>
      <x:c r="D252" s="79" t="str">
        <x:v>(G * 256 + H) * 79.99 / 65535</x:v>
      </x:c>
      <x:c r="E252" s="79" t="n">
        <x:v>12</x:v>
      </x:c>
      <x:c r="F252" s="79" t="n">
        <x:v>20</x:v>
      </x:c>
      <x:c r="G252" s="79" t="str">
        <x:v>V</x:v>
      </x:c>
      <x:c r="H252" s="79" t="str">
        <x:v>7E2</x:v>
      </x:c>
      <x:c r="I252" s="79" t="str">
        <x:v>PRIUS_GEN3 / ZVW30</x:v>
      </x:c>
      <x:c r="J252" s="79" t="str">
        <x:v>ZVW30 Custom PIDs for Torque (Android App) 12Nov12.xlsx - US</x:v>
      </x:c>
      <x:c r="K252" s="79" t="str">
        <x:v>2012-11-12</x:v>
      </x:c>
      <x:c r="L252" s="79" t="str">
        <x:v>READ-ONLY DIAGNOSTIC CANDIDATE</x:v>
      </x:c>
      <x:c r="M252" s="79" t="str">
        <x:v>CANDIDATE</x:v>
      </x:c>
      <x:c r="N252" s="80" t="str">
        <x:v>Later US source; validate on ZVW30 before firmware use</x:v>
      </x:c>
    </x:row>
    <x:row r="253">
      <x:c r="A253" s="78" t="str">
        <x:v>Battery Block Voltage -V05</x:v>
      </x:c>
      <x:c r="B253" s="79" t="str">
        <x:v>V05</x:v>
      </x:c>
      <x:c r="C253" s="79" t="str">
        <x:v>2181</x:v>
      </x:c>
      <x:c r="D253" s="79" t="str">
        <x:v>(I * 256 + J) * 79.99 / 65535</x:v>
      </x:c>
      <x:c r="E253" s="79" t="n">
        <x:v>12</x:v>
      </x:c>
      <x:c r="F253" s="79" t="n">
        <x:v>20</x:v>
      </x:c>
      <x:c r="G253" s="79" t="str">
        <x:v>V</x:v>
      </x:c>
      <x:c r="H253" s="79" t="str">
        <x:v>7E2</x:v>
      </x:c>
      <x:c r="I253" s="79" t="str">
        <x:v>PRIUS_GEN3 / ZVW30</x:v>
      </x:c>
      <x:c r="J253" s="79" t="str">
        <x:v>ZVW30 Custom PIDs for Torque (Android App) 12Nov12.xlsx - US</x:v>
      </x:c>
      <x:c r="K253" s="79" t="str">
        <x:v>2012-11-12</x:v>
      </x:c>
      <x:c r="L253" s="79" t="str">
        <x:v>READ-ONLY DIAGNOSTIC CANDIDATE</x:v>
      </x:c>
      <x:c r="M253" s="79" t="str">
        <x:v>CANDIDATE</x:v>
      </x:c>
      <x:c r="N253" s="80" t="str">
        <x:v>Later US source; validate on ZVW30 before firmware use</x:v>
      </x:c>
    </x:row>
    <x:row r="254">
      <x:c r="A254" s="78" t="str">
        <x:v>Battery Block Voltage -V06</x:v>
      </x:c>
      <x:c r="B254" s="79" t="str">
        <x:v>V06</x:v>
      </x:c>
      <x:c r="C254" s="79" t="str">
        <x:v>2181</x:v>
      </x:c>
      <x:c r="D254" s="79" t="str">
        <x:v>(K * 256 + L) * 79.99 / 65535</x:v>
      </x:c>
      <x:c r="E254" s="79" t="n">
        <x:v>12</x:v>
      </x:c>
      <x:c r="F254" s="79" t="n">
        <x:v>20</x:v>
      </x:c>
      <x:c r="G254" s="79" t="str">
        <x:v>V</x:v>
      </x:c>
      <x:c r="H254" s="79" t="str">
        <x:v>7E2</x:v>
      </x:c>
      <x:c r="I254" s="79" t="str">
        <x:v>PRIUS_GEN3 / ZVW30</x:v>
      </x:c>
      <x:c r="J254" s="79" t="str">
        <x:v>ZVW30 Custom PIDs for Torque (Android App) 12Nov12.xlsx - US</x:v>
      </x:c>
      <x:c r="K254" s="79" t="str">
        <x:v>2012-11-12</x:v>
      </x:c>
      <x:c r="L254" s="79" t="str">
        <x:v>READ-ONLY DIAGNOSTIC CANDIDATE</x:v>
      </x:c>
      <x:c r="M254" s="79" t="str">
        <x:v>CANDIDATE</x:v>
      </x:c>
      <x:c r="N254" s="80" t="str">
        <x:v>Later US source; validate on ZVW30 before firmware use</x:v>
      </x:c>
    </x:row>
    <x:row r="255">
      <x:c r="A255" s="78" t="str">
        <x:v>Battery Block Voltage -V07</x:v>
      </x:c>
      <x:c r="B255" s="79" t="str">
        <x:v>V07</x:v>
      </x:c>
      <x:c r="C255" s="79" t="str">
        <x:v>2181</x:v>
      </x:c>
      <x:c r="D255" s="79" t="str">
        <x:v>(M * 256 + N) * 79.99 / 65535</x:v>
      </x:c>
      <x:c r="E255" s="79" t="n">
        <x:v>12</x:v>
      </x:c>
      <x:c r="F255" s="79" t="n">
        <x:v>20</x:v>
      </x:c>
      <x:c r="G255" s="79" t="str">
        <x:v>V</x:v>
      </x:c>
      <x:c r="H255" s="79" t="str">
        <x:v>7E2</x:v>
      </x:c>
      <x:c r="I255" s="79" t="str">
        <x:v>PRIUS_GEN3 / ZVW30</x:v>
      </x:c>
      <x:c r="J255" s="79" t="str">
        <x:v>ZVW30 Custom PIDs for Torque (Android App) 12Nov12.xlsx - US</x:v>
      </x:c>
      <x:c r="K255" s="79" t="str">
        <x:v>2012-11-12</x:v>
      </x:c>
      <x:c r="L255" s="79" t="str">
        <x:v>READ-ONLY DIAGNOSTIC CANDIDATE</x:v>
      </x:c>
      <x:c r="M255" s="79" t="str">
        <x:v>CANDIDATE</x:v>
      </x:c>
      <x:c r="N255" s="80" t="str">
        <x:v>Later US source; validate on ZVW30 before firmware use</x:v>
      </x:c>
    </x:row>
    <x:row r="256">
      <x:c r="A256" s="78" t="str">
        <x:v>Battery Block Voltage -V08</x:v>
      </x:c>
      <x:c r="B256" s="79" t="str">
        <x:v>V08</x:v>
      </x:c>
      <x:c r="C256" s="79" t="str">
        <x:v>2181</x:v>
      </x:c>
      <x:c r="D256" s="79" t="str">
        <x:v>(O * 256 + P) * 79.99 / 65535</x:v>
      </x:c>
      <x:c r="E256" s="79" t="n">
        <x:v>12</x:v>
      </x:c>
      <x:c r="F256" s="79" t="n">
        <x:v>20</x:v>
      </x:c>
      <x:c r="G256" s="79" t="str">
        <x:v>V</x:v>
      </x:c>
      <x:c r="H256" s="79" t="str">
        <x:v>7E2</x:v>
      </x:c>
      <x:c r="I256" s="79" t="str">
        <x:v>PRIUS_GEN3 / ZVW30</x:v>
      </x:c>
      <x:c r="J256" s="79" t="str">
        <x:v>ZVW30 Custom PIDs for Torque (Android App) 12Nov12.xlsx - US</x:v>
      </x:c>
      <x:c r="K256" s="79" t="str">
        <x:v>2012-11-12</x:v>
      </x:c>
      <x:c r="L256" s="79" t="str">
        <x:v>READ-ONLY DIAGNOSTIC CANDIDATE</x:v>
      </x:c>
      <x:c r="M256" s="79" t="str">
        <x:v>CANDIDATE</x:v>
      </x:c>
      <x:c r="N256" s="80" t="str">
        <x:v>Later US source; validate on ZVW30 before firmware use</x:v>
      </x:c>
    </x:row>
    <x:row r="257">
      <x:c r="A257" s="78" t="str">
        <x:v>Battery Block Voltage -V09</x:v>
      </x:c>
      <x:c r="B257" s="79" t="str">
        <x:v>V09</x:v>
      </x:c>
      <x:c r="C257" s="79" t="str">
        <x:v>2181</x:v>
      </x:c>
      <x:c r="D257" s="79" t="str">
        <x:v>(Q * 256 + R) * 79.99 / 65535</x:v>
      </x:c>
      <x:c r="E257" s="79" t="n">
        <x:v>12</x:v>
      </x:c>
      <x:c r="F257" s="79" t="n">
        <x:v>20</x:v>
      </x:c>
      <x:c r="G257" s="79" t="str">
        <x:v>V</x:v>
      </x:c>
      <x:c r="H257" s="79" t="str">
        <x:v>7E2</x:v>
      </x:c>
      <x:c r="I257" s="79" t="str">
        <x:v>PRIUS_GEN3 / ZVW30</x:v>
      </x:c>
      <x:c r="J257" s="79" t="str">
        <x:v>ZVW30 Custom PIDs for Torque (Android App) 12Nov12.xlsx - US</x:v>
      </x:c>
      <x:c r="K257" s="79" t="str">
        <x:v>2012-11-12</x:v>
      </x:c>
      <x:c r="L257" s="79" t="str">
        <x:v>READ-ONLY DIAGNOSTIC CANDIDATE</x:v>
      </x:c>
      <x:c r="M257" s="79" t="str">
        <x:v>CANDIDATE</x:v>
      </x:c>
      <x:c r="N257" s="80" t="str">
        <x:v>Later US source; validate on ZVW30 before firmware use</x:v>
      </x:c>
    </x:row>
    <x:row r="258">
      <x:c r="A258" s="78" t="str">
        <x:v>Battery Block Voltage -V10</x:v>
      </x:c>
      <x:c r="B258" s="79" t="str">
        <x:v>V10</x:v>
      </x:c>
      <x:c r="C258" s="79" t="str">
        <x:v>2181</x:v>
      </x:c>
      <x:c r="D258" s="79" t="str">
        <x:v>(S * 256 + T) * 79.99 / 65535</x:v>
      </x:c>
      <x:c r="E258" s="79" t="n">
        <x:v>12</x:v>
      </x:c>
      <x:c r="F258" s="79" t="n">
        <x:v>20</x:v>
      </x:c>
      <x:c r="G258" s="79" t="str">
        <x:v>V</x:v>
      </x:c>
      <x:c r="H258" s="79" t="str">
        <x:v>7E2</x:v>
      </x:c>
      <x:c r="I258" s="79" t="str">
        <x:v>PRIUS_GEN3 / ZVW30</x:v>
      </x:c>
      <x:c r="J258" s="79" t="str">
        <x:v>ZVW30 Custom PIDs for Torque (Android App) 12Nov12.xlsx - US</x:v>
      </x:c>
      <x:c r="K258" s="79" t="str">
        <x:v>2012-11-12</x:v>
      </x:c>
      <x:c r="L258" s="79" t="str">
        <x:v>READ-ONLY DIAGNOSTIC CANDIDATE</x:v>
      </x:c>
      <x:c r="M258" s="79" t="str">
        <x:v>CANDIDATE</x:v>
      </x:c>
      <x:c r="N258" s="80" t="str">
        <x:v>Later US source; validate on ZVW30 before firmware use</x:v>
      </x:c>
    </x:row>
    <x:row r="259">
      <x:c r="A259" s="78" t="str">
        <x:v>Battery Block Voltage -V11</x:v>
      </x:c>
      <x:c r="B259" s="79" t="str">
        <x:v>V11</x:v>
      </x:c>
      <x:c r="C259" s="79" t="str">
        <x:v>2181</x:v>
      </x:c>
      <x:c r="D259" s="79" t="str">
        <x:v>(U * 256 + V) * 79.99 / 65535</x:v>
      </x:c>
      <x:c r="E259" s="79" t="n">
        <x:v>12</x:v>
      </x:c>
      <x:c r="F259" s="79" t="n">
        <x:v>20</x:v>
      </x:c>
      <x:c r="G259" s="79" t="str">
        <x:v>V</x:v>
      </x:c>
      <x:c r="H259" s="79" t="str">
        <x:v>7E2</x:v>
      </x:c>
      <x:c r="I259" s="79" t="str">
        <x:v>PRIUS_GEN3 / ZVW30</x:v>
      </x:c>
      <x:c r="J259" s="79" t="str">
        <x:v>ZVW30 Custom PIDs for Torque (Android App) 12Nov12.xlsx - US</x:v>
      </x:c>
      <x:c r="K259" s="79" t="str">
        <x:v>2012-11-12</x:v>
      </x:c>
      <x:c r="L259" s="79" t="str">
        <x:v>READ-ONLY DIAGNOSTIC CANDIDATE</x:v>
      </x:c>
      <x:c r="M259" s="79" t="str">
        <x:v>CANDIDATE</x:v>
      </x:c>
      <x:c r="N259" s="80" t="str">
        <x:v>Later US source; validate on ZVW30 before firmware use</x:v>
      </x:c>
    </x:row>
    <x:row r="260">
      <x:c r="A260" s="78" t="str">
        <x:v>Battery Block Voltage -V12</x:v>
      </x:c>
      <x:c r="B260" s="79" t="str">
        <x:v>V12</x:v>
      </x:c>
      <x:c r="C260" s="79" t="str">
        <x:v>2181</x:v>
      </x:c>
      <x:c r="D260" s="79" t="str">
        <x:v>(W * 256 + X) * 79.99 / 65535</x:v>
      </x:c>
      <x:c r="E260" s="79" t="n">
        <x:v>12</x:v>
      </x:c>
      <x:c r="F260" s="79" t="n">
        <x:v>20</x:v>
      </x:c>
      <x:c r="G260" s="79" t="str">
        <x:v>V</x:v>
      </x:c>
      <x:c r="H260" s="79" t="str">
        <x:v>7E2</x:v>
      </x:c>
      <x:c r="I260" s="79" t="str">
        <x:v>PRIUS_GEN3 / ZVW30</x:v>
      </x:c>
      <x:c r="J260" s="79" t="str">
        <x:v>ZVW30 Custom PIDs for Torque (Android App) 12Nov12.xlsx - US</x:v>
      </x:c>
      <x:c r="K260" s="79" t="str">
        <x:v>2012-11-12</x:v>
      </x:c>
      <x:c r="L260" s="79" t="str">
        <x:v>READ-ONLY DIAGNOSTIC CANDIDATE</x:v>
      </x:c>
      <x:c r="M260" s="79" t="str">
        <x:v>CANDIDATE</x:v>
      </x:c>
      <x:c r="N260" s="80" t="str">
        <x:v>Later US source; validate on ZVW30 before firmware use</x:v>
      </x:c>
    </x:row>
    <x:row r="261">
      <x:c r="A261" s="78" t="str">
        <x:v>Battery Block Voltage -V13</x:v>
      </x:c>
      <x:c r="B261" s="79" t="str">
        <x:v>V13</x:v>
      </x:c>
      <x:c r="C261" s="79" t="str">
        <x:v>2181</x:v>
      </x:c>
      <x:c r="D261" s="79" t="str">
        <x:v>(Y * 256 + Z) * 79.99 / 65535</x:v>
      </x:c>
      <x:c r="E261" s="79" t="n">
        <x:v>12</x:v>
      </x:c>
      <x:c r="F261" s="79" t="n">
        <x:v>20</x:v>
      </x:c>
      <x:c r="G261" s="79" t="str">
        <x:v>V</x:v>
      </x:c>
      <x:c r="H261" s="79" t="str">
        <x:v>7E2</x:v>
      </x:c>
      <x:c r="I261" s="79" t="str">
        <x:v>PRIUS_GEN3 / ZVW30</x:v>
      </x:c>
      <x:c r="J261" s="79" t="str">
        <x:v>ZVW30 Custom PIDs for Torque (Android App) 12Nov12.xlsx - US</x:v>
      </x:c>
      <x:c r="K261" s="79" t="str">
        <x:v>2012-11-12</x:v>
      </x:c>
      <x:c r="L261" s="79" t="str">
        <x:v>READ-ONLY DIAGNOSTIC CANDIDATE</x:v>
      </x:c>
      <x:c r="M261" s="79" t="str">
        <x:v>CANDIDATE</x:v>
      </x:c>
      <x:c r="N261" s="80" t="str">
        <x:v>Later US source; validate on ZVW30 before firmware use</x:v>
      </x:c>
    </x:row>
    <x:row r="262">
      <x:c r="A262" s="78" t="str">
        <x:v>Battery Block Voltage -V14</x:v>
      </x:c>
      <x:c r="B262" s="79" t="str">
        <x:v>V14</x:v>
      </x:c>
      <x:c r="C262" s="79" t="str">
        <x:v>2181</x:v>
      </x:c>
      <x:c r="D262" s="79" t="str">
        <x:v>(AA * 256 + AB) * 79.99 / 65535</x:v>
      </x:c>
      <x:c r="E262" s="79" t="n">
        <x:v>12</x:v>
      </x:c>
      <x:c r="F262" s="79" t="n">
        <x:v>20</x:v>
      </x:c>
      <x:c r="G262" s="79" t="str">
        <x:v>V</x:v>
      </x:c>
      <x:c r="H262" s="79" t="str">
        <x:v>7E2</x:v>
      </x:c>
      <x:c r="I262" s="79" t="str">
        <x:v>PRIUS_GEN3 / ZVW30</x:v>
      </x:c>
      <x:c r="J262" s="79" t="str">
        <x:v>ZVW30 Custom PIDs for Torque (Android App) 12Nov12.xlsx - US</x:v>
      </x:c>
      <x:c r="K262" s="79" t="str">
        <x:v>2012-11-12</x:v>
      </x:c>
      <x:c r="L262" s="79" t="str">
        <x:v>READ-ONLY DIAGNOSTIC CANDIDATE</x:v>
      </x:c>
      <x:c r="M262" s="79" t="str">
        <x:v>CANDIDATE</x:v>
      </x:c>
      <x:c r="N262" s="80" t="str">
        <x:v>Later US source; validate on ZVW30 before firmware use</x:v>
      </x:c>
    </x:row>
    <x:row r="263">
      <x:c r="A263" s="78" t="str">
        <x:v>Auxiliary Battery Voltage</x:v>
      </x:c>
      <x:c r="B263" s="79" t="str">
        <x:v>Aux Bty</x:v>
      </x:c>
      <x:c r="C263" s="79" t="str">
        <x:v>2181</x:v>
      </x:c>
      <x:c r="D263" s="79" t="str">
        <x:v>(AC * 256 + AD) * 79.9 / 65535 - 40</x:v>
      </x:c>
      <x:c r="E263" s="79" t="n">
        <x:v>0</x:v>
      </x:c>
      <x:c r="F263" s="79" t="n">
        <x:v>16</x:v>
      </x:c>
      <x:c r="G263" s="79" t="str">
        <x:v>V</x:v>
      </x:c>
      <x:c r="H263" s="79" t="str">
        <x:v>7E2</x:v>
      </x:c>
      <x:c r="I263" s="79" t="str">
        <x:v>PRIUS_GEN3 / ZVW30</x:v>
      </x:c>
      <x:c r="J263" s="79" t="str">
        <x:v>ZVW30 Custom PIDs for Torque (Android App) 12Nov12.xlsx - US</x:v>
      </x:c>
      <x:c r="K263" s="79" t="str">
        <x:v>2012-11-12</x:v>
      </x:c>
      <x:c r="L263" s="79" t="str">
        <x:v>READ-ONLY DIAGNOSTIC CANDIDATE</x:v>
      </x:c>
      <x:c r="M263" s="79" t="str">
        <x:v>CANDIDATE</x:v>
      </x:c>
      <x:c r="N263" s="80" t="str">
        <x:v>Later US source; validate on ZVW30 before firmware use</x:v>
      </x:c>
    </x:row>
    <x:row r="264">
      <x:c r="A264" s="78" t="str">
        <x:v>Power Resource VB</x:v>
      </x:c>
      <x:c r="B264" s="79" t="str">
        <x:v>VB</x:v>
      </x:c>
      <x:c r="C264" s="79" t="str">
        <x:v>2181</x:v>
      </x:c>
      <x:c r="D264" s="79" t="str">
        <x:v>(AE * 256 + AF) / 10</x:v>
      </x:c>
      <x:c r="E264" s="79" t="n">
        <x:v>150</x:v>
      </x:c>
      <x:c r="F264" s="79" t="n">
        <x:v>300</x:v>
      </x:c>
      <x:c r="G264" s="79" t="str">
        <x:v>V</x:v>
      </x:c>
      <x:c r="H264" s="79" t="str">
        <x:v>7E2</x:v>
      </x:c>
      <x:c r="I264" s="79" t="str">
        <x:v>PRIUS_GEN3 / ZVW30</x:v>
      </x:c>
      <x:c r="J264" s="79" t="str">
        <x:v>ZVW30 Custom PIDs for Torque (Android App) 12Nov12.xlsx - US</x:v>
      </x:c>
      <x:c r="K264" s="79" t="str">
        <x:v>2012-11-12</x:v>
      </x:c>
      <x:c r="L264" s="79" t="str">
        <x:v>READ-ONLY DIAGNOSTIC CANDIDATE</x:v>
      </x:c>
      <x:c r="M264" s="79" t="str">
        <x:v>CANDIDATE</x:v>
      </x:c>
      <x:c r="N264" s="80" t="str">
        <x:v>Later US source; validate on ZVW30 before firmware use</x:v>
      </x:c>
    </x:row>
    <x:row r="265">
      <x:c r="A265" s="78" t="str">
        <x:v>VMF Fan Motor Voltage1</x:v>
      </x:c>
      <x:c r="B265" s="79" t="str">
        <x:v>VMF1</x:v>
      </x:c>
      <x:c r="C265" s="79" t="str">
        <x:v>2181</x:v>
      </x:c>
      <x:c r="D265" s="79" t="str">
        <x:v>AG / 10</x:v>
      </x:c>
      <x:c r="E265" s="79" t="n">
        <x:v>0</x:v>
      </x:c>
      <x:c r="F265" s="79" t="n">
        <x:v>16</x:v>
      </x:c>
      <x:c r="G265" s="79" t="str">
        <x:v>V</x:v>
      </x:c>
      <x:c r="H265" s="79" t="str">
        <x:v>7E2</x:v>
      </x:c>
      <x:c r="I265" s="79" t="str">
        <x:v>PRIUS_GEN3 / ZVW30</x:v>
      </x:c>
      <x:c r="J265" s="79" t="str">
        <x:v>ZVW30 Custom PIDs for Torque (Android App) 12Nov12.xlsx - US</x:v>
      </x:c>
      <x:c r="K265" s="79" t="str">
        <x:v>2012-11-12</x:v>
      </x:c>
      <x:c r="L265" s="79" t="str">
        <x:v>READ-ONLY DIAGNOSTIC CANDIDATE</x:v>
      </x:c>
      <x:c r="M265" s="79" t="str">
        <x:v>CANDIDATE</x:v>
      </x:c>
      <x:c r="N265" s="80" t="str">
        <x:v>Later US source; validate on ZVW30 before firmware use</x:v>
      </x:c>
    </x:row>
    <x:row r="266">
      <x:c r="A266" s="78" t="str">
        <x:v>HV battery intake air temperature</x:v>
      </x:c>
      <x:c r="B266" s="79" t="str">
        <x:v>TB Intake</x:v>
      </x:c>
      <x:c r="C266" s="79" t="str">
        <x:v>2187</x:v>
      </x:c>
      <x:c r="D266" s="79" t="str">
        <x:v>(A * 256 + B) * 255.9 / 65535 * 9 / 5 - 58</x:v>
      </x:c>
      <x:c r="E266" s="79" t="n">
        <x:v>-58</x:v>
      </x:c>
      <x:c r="F266" s="79" t="n">
        <x:v>140</x:v>
      </x:c>
      <x:c r="G266" s="79" t="str">
        <x:v>F</x:v>
      </x:c>
      <x:c r="H266" s="79" t="str">
        <x:v>7E2</x:v>
      </x:c>
      <x:c r="I266" s="79" t="str">
        <x:v>PRIUS_GEN3 / ZVW30</x:v>
      </x:c>
      <x:c r="J266" s="79" t="str">
        <x:v>ZVW30 Custom PIDs for Torque (Android App) 12Nov12.xlsx - US</x:v>
      </x:c>
      <x:c r="K266" s="79" t="str">
        <x:v>2012-11-12</x:v>
      </x:c>
      <x:c r="L266" s="79" t="str">
        <x:v>READ-ONLY DIAGNOSTIC CANDIDATE</x:v>
      </x:c>
      <x:c r="M266" s="79" t="str">
        <x:v>CANDIDATE</x:v>
      </x:c>
      <x:c r="N266" s="80" t="str">
        <x:v>Later US source; validate on ZVW30 before firmware use</x:v>
      </x:c>
    </x:row>
    <x:row r="267">
      <x:c r="A267" s="78" t="str">
        <x:v>Temp of Batt TB1</x:v>
      </x:c>
      <x:c r="B267" s="79" t="str">
        <x:v>TB 1</x:v>
      </x:c>
      <x:c r="C267" s="79" t="str">
        <x:v>2187</x:v>
      </x:c>
      <x:c r="D267" s="79" t="str">
        <x:v>(C * 256 + D) * 255.9 / 65535 * 9 / 5 - 58</x:v>
      </x:c>
      <x:c r="E267" s="79" t="n">
        <x:v>-58</x:v>
      </x:c>
      <x:c r="F267" s="79" t="n">
        <x:v>140</x:v>
      </x:c>
      <x:c r="G267" s="79" t="str">
        <x:v>F</x:v>
      </x:c>
      <x:c r="H267" s="79" t="str">
        <x:v>7E2</x:v>
      </x:c>
      <x:c r="I267" s="79" t="str">
        <x:v>PRIUS_GEN3 / ZVW30</x:v>
      </x:c>
      <x:c r="J267" s="79" t="str">
        <x:v>ZVW30 Custom PIDs for Torque (Android App) 12Nov12.xlsx - US</x:v>
      </x:c>
      <x:c r="K267" s="79" t="str">
        <x:v>2012-11-12</x:v>
      </x:c>
      <x:c r="L267" s="79" t="str">
        <x:v>READ-ONLY DIAGNOSTIC CANDIDATE</x:v>
      </x:c>
      <x:c r="M267" s="79" t="str">
        <x:v>CANDIDATE</x:v>
      </x:c>
      <x:c r="N267" s="80" t="str">
        <x:v>Later US source; validate on ZVW30 before firmware use</x:v>
      </x:c>
    </x:row>
    <x:row r="268">
      <x:c r="A268" s="78" t="str">
        <x:v>Temp of Batt TB2</x:v>
      </x:c>
      <x:c r="B268" s="79" t="str">
        <x:v>TB 2</x:v>
      </x:c>
      <x:c r="C268" s="79" t="str">
        <x:v>2187</x:v>
      </x:c>
      <x:c r="D268" s="79" t="str">
        <x:v>(E * 256 + F) * 255.9 / 65535 * 9 / 5 - 58</x:v>
      </x:c>
      <x:c r="E268" s="79" t="n">
        <x:v>-58</x:v>
      </x:c>
      <x:c r="F268" s="79" t="n">
        <x:v>140</x:v>
      </x:c>
      <x:c r="G268" s="79" t="str">
        <x:v>F</x:v>
      </x:c>
      <x:c r="H268" s="79" t="str">
        <x:v>7E2</x:v>
      </x:c>
      <x:c r="I268" s="79" t="str">
        <x:v>PRIUS_GEN3 / ZVW30</x:v>
      </x:c>
      <x:c r="J268" s="79" t="str">
        <x:v>ZVW30 Custom PIDs for Torque (Android App) 12Nov12.xlsx - US</x:v>
      </x:c>
      <x:c r="K268" s="79" t="str">
        <x:v>2012-11-12</x:v>
      </x:c>
      <x:c r="L268" s="79" t="str">
        <x:v>READ-ONLY DIAGNOSTIC CANDIDATE</x:v>
      </x:c>
      <x:c r="M268" s="79" t="str">
        <x:v>CANDIDATE</x:v>
      </x:c>
      <x:c r="N268" s="80" t="str">
        <x:v>Later US source; validate on ZVW30 before firmware use</x:v>
      </x:c>
    </x:row>
    <x:row r="269">
      <x:c r="A269" s="78" t="str">
        <x:v>Temp of Batt TB3</x:v>
      </x:c>
      <x:c r="B269" s="79" t="str">
        <x:v>TB 3</x:v>
      </x:c>
      <x:c r="C269" s="79" t="str">
        <x:v>2187</x:v>
      </x:c>
      <x:c r="D269" s="79" t="str">
        <x:v>(G * 256 + H) * 255.9 / 65535 * 9 / 5 - 58</x:v>
      </x:c>
      <x:c r="E269" s="79" t="n">
        <x:v>-58</x:v>
      </x:c>
      <x:c r="F269" s="79" t="n">
        <x:v>140</x:v>
      </x:c>
      <x:c r="G269" s="79" t="str">
        <x:v>F</x:v>
      </x:c>
      <x:c r="H269" s="79" t="str">
        <x:v>7E2</x:v>
      </x:c>
      <x:c r="I269" s="79" t="str">
        <x:v>PRIUS_GEN3 / ZVW30</x:v>
      </x:c>
      <x:c r="J269" s="79" t="str">
        <x:v>ZVW30 Custom PIDs for Torque (Android App) 12Nov12.xlsx - US</x:v>
      </x:c>
      <x:c r="K269" s="79" t="str">
        <x:v>2012-11-12</x:v>
      </x:c>
      <x:c r="L269" s="79" t="str">
        <x:v>READ-ONLY DIAGNOSTIC CANDIDATE</x:v>
      </x:c>
      <x:c r="M269" s="79" t="str">
        <x:v>CANDIDATE</x:v>
      </x:c>
      <x:c r="N269" s="80" t="str">
        <x:v>Later US source; validate on ZVW30 before firmware use</x:v>
      </x:c>
    </x:row>
    <x:row r="270">
      <x:c r="A270" s="78" t="str">
        <x:v>Power Resource IB</x:v>
      </x:c>
      <x:c r="B270" s="79" t="str">
        <x:v>IB</x:v>
      </x:c>
      <x:c r="C270" s="79" t="str">
        <x:v>218A</x:v>
      </x:c>
      <x:c r="D270" s="79" t="str">
        <x:v>(A * 256 + B) / 100 - 327.68</x:v>
      </x:c>
      <x:c r="E270" s="79" t="n">
        <x:v>-200</x:v>
      </x:c>
      <x:c r="F270" s="79" t="n">
        <x:v>200</x:v>
      </x:c>
      <x:c r="G270" s="79" t="str">
        <x:v>Amperes</x:v>
      </x:c>
      <x:c r="H270" s="79" t="str">
        <x:v>7E2</x:v>
      </x:c>
      <x:c r="I270" s="79" t="str">
        <x:v>PRIUS_GEN3 / ZVW30</x:v>
      </x:c>
      <x:c r="J270" s="79" t="str">
        <x:v>ZVW30 Custom PIDs for Torque (Android App) 12Nov12.xlsx - US</x:v>
      </x:c>
      <x:c r="K270" s="79" t="str">
        <x:v>2012-11-12</x:v>
      </x:c>
      <x:c r="L270" s="79" t="str">
        <x:v>READ-ONLY DIAGNOSTIC CANDIDATE</x:v>
      </x:c>
      <x:c r="M270" s="79" t="str">
        <x:v>CANDIDATE</x:v>
      </x:c>
      <x:c r="N270" s="80" t="str">
        <x:v>Later US source; validate on ZVW30 before firmware use</x:v>
      </x:c>
    </x:row>
    <x:row r="271">
      <x:c r="A271" s="78" t="str">
        <x:v>Cooling Fan 0</x:v>
      </x:c>
      <x:c r="B271" s="79" t="str">
        <x:v>C Fan 0</x:v>
      </x:c>
      <x:c r="C271" s="79" t="str">
        <x:v>218E</x:v>
      </x:c>
      <x:c r="D271" s="79" t="str">
        <x:v>A / 2</x:v>
      </x:c>
      <x:c r="E271" s="79" t="n">
        <x:v>0</x:v>
      </x:c>
      <x:c r="F271" s="79" t="n">
        <x:v>100</x:v>
      </x:c>
      <x:c r="G271" s="79" t="str">
        <x:v>%</x:v>
      </x:c>
      <x:c r="H271" s="79" t="str">
        <x:v>7E2</x:v>
      </x:c>
      <x:c r="I271" s="79" t="str">
        <x:v>PRIUS_GEN3 / ZVW30</x:v>
      </x:c>
      <x:c r="J271" s="79" t="str">
        <x:v>ZVW30 Custom PIDs for Torque (Android App) 12Nov12.xlsx - US</x:v>
      </x:c>
      <x:c r="K271" s="79" t="str">
        <x:v>2012-11-12</x:v>
      </x:c>
      <x:c r="L271" s="79" t="str">
        <x:v>READ-ONLY DIAGNOSTIC CANDIDATE</x:v>
      </x:c>
      <x:c r="M271" s="79" t="str">
        <x:v>CANDIDATE</x:v>
      </x:c>
      <x:c r="N271" s="80" t="str">
        <x:v>Later US source; validate on ZVW30 before firmware use</x:v>
      </x:c>
    </x:row>
    <x:row r="272">
      <x:c r="A272" s="78" t="str">
        <x:v>Cooling Fan Relay Status</x:v>
      </x:c>
      <x:c r="B272" s="79" t="str">
        <x:v>C Fan Rly</x:v>
      </x:c>
      <x:c r="C272" s="79" t="str">
        <x:v>218E</x:v>
      </x:c>
      <x:c r="D272" s="79" t="str">
        <x:v>{B:7}</x:v>
      </x:c>
      <x:c r="E272" s="79" t="n">
        <x:v>0</x:v>
      </x:c>
      <x:c r="F272" s="79" t="n">
        <x:v>1</x:v>
      </x:c>
      <x:c r="G272" s="79" t="str">
        <x:v>Off/On</x:v>
      </x:c>
      <x:c r="H272" s="79" t="str">
        <x:v>7E2</x:v>
      </x:c>
      <x:c r="I272" s="79" t="str">
        <x:v>PRIUS_GEN3 / ZVW30</x:v>
      </x:c>
      <x:c r="J272" s="79" t="str">
        <x:v>ZVW30 Custom PIDs for Torque (Android App) 12Nov12.xlsx - US</x:v>
      </x:c>
      <x:c r="K272" s="79" t="str">
        <x:v>2012-11-12</x:v>
      </x:c>
      <x:c r="L272" s="79" t="str">
        <x:v>READ-ONLY DIAGNOSTIC CANDIDATE</x:v>
      </x:c>
      <x:c r="M272" s="79" t="str">
        <x:v>CANDIDATE</x:v>
      </x:c>
      <x:c r="N272" s="80" t="str">
        <x:v>Later US source; validate on ZVW30 before firmware use</x:v>
      </x:c>
    </x:row>
    <x:row r="273">
      <x:c r="A273" s="78" t="str">
        <x:v>Battery block minimum voltage</x:v>
      </x:c>
      <x:c r="B273" s="79" t="str">
        <x:v>Vmin</x:v>
      </x:c>
      <x:c r="C273" s="79" t="str">
        <x:v>2192</x:v>
      </x:c>
      <x:c r="D273" s="79" t="str">
        <x:v>(A * 256 + B) * 79.99 / 65535</x:v>
      </x:c>
      <x:c r="E273" s="79" t="n">
        <x:v>12</x:v>
      </x:c>
      <x:c r="F273" s="79" t="n">
        <x:v>20</x:v>
      </x:c>
      <x:c r="G273" s="79" t="str">
        <x:v>V</x:v>
      </x:c>
      <x:c r="H273" s="79" t="str">
        <x:v>7E2</x:v>
      </x:c>
      <x:c r="I273" s="79" t="str">
        <x:v>PRIUS_GEN3 / ZVW30</x:v>
      </x:c>
      <x:c r="J273" s="79" t="str">
        <x:v>ZVW30 Custom PIDs for Torque (Android App) 12Nov12.xlsx - US</x:v>
      </x:c>
      <x:c r="K273" s="79" t="str">
        <x:v>2012-11-12</x:v>
      </x:c>
      <x:c r="L273" s="79" t="str">
        <x:v>READ-ONLY DIAGNOSTIC CANDIDATE</x:v>
      </x:c>
      <x:c r="M273" s="79" t="str">
        <x:v>CANDIDATE</x:v>
      </x:c>
      <x:c r="N273" s="80" t="str">
        <x:v>Later US source; validate on ZVW30 before firmware use</x:v>
      </x:c>
    </x:row>
    <x:row r="274">
      <x:c r="A274" s="78" t="str">
        <x:v>Battery block number with minimum voltage</x:v>
      </x:c>
      <x:c r="B274" s="79" t="str">
        <x:v>Blk# min</x:v>
      </x:c>
      <x:c r="C274" s="79" t="str">
        <x:v>2192</x:v>
      </x:c>
      <x:c r="D274" s="79" t="str">
        <x:v>C + 1</x:v>
      </x:c>
      <x:c r="E274" s="79" t="n">
        <x:v>1</x:v>
      </x:c>
      <x:c r="F274" s="79" t="n">
        <x:v>14</x:v>
      </x:c>
      <x:c r="G274" s="79"/>
      <x:c r="H274" s="79" t="str">
        <x:v>7E2</x:v>
      </x:c>
      <x:c r="I274" s="79" t="str">
        <x:v>PRIUS_GEN3 / ZVW30</x:v>
      </x:c>
      <x:c r="J274" s="79" t="str">
        <x:v>ZVW30 Custom PIDs for Torque (Android App) 12Nov12.xlsx - US</x:v>
      </x:c>
      <x:c r="K274" s="79" t="str">
        <x:v>2012-11-12</x:v>
      </x:c>
      <x:c r="L274" s="79" t="str">
        <x:v>READ-ONLY DIAGNOSTIC CANDIDATE</x:v>
      </x:c>
      <x:c r="M274" s="79" t="str">
        <x:v>CANDIDATE</x:v>
      </x:c>
      <x:c r="N274" s="80" t="str">
        <x:v>Later US source; validate on ZVW30 before firmware use</x:v>
      </x:c>
    </x:row>
    <x:row r="275">
      <x:c r="A275" s="78" t="str">
        <x:v>Battery block maximum voltage</x:v>
      </x:c>
      <x:c r="B275" s="79" t="str">
        <x:v>Vmax</x:v>
      </x:c>
      <x:c r="C275" s="79" t="str">
        <x:v>2192</x:v>
      </x:c>
      <x:c r="D275" s="79" t="str">
        <x:v>(D * 256 + E) * 79.99 / 65535</x:v>
      </x:c>
      <x:c r="E275" s="79" t="n">
        <x:v>12</x:v>
      </x:c>
      <x:c r="F275" s="79" t="n">
        <x:v>20</x:v>
      </x:c>
      <x:c r="G275" s="79" t="str">
        <x:v>V</x:v>
      </x:c>
      <x:c r="H275" s="79" t="str">
        <x:v>7E2</x:v>
      </x:c>
      <x:c r="I275" s="79" t="str">
        <x:v>PRIUS_GEN3 / ZVW30</x:v>
      </x:c>
      <x:c r="J275" s="79" t="str">
        <x:v>ZVW30 Custom PIDs for Torque (Android App) 12Nov12.xlsx - US</x:v>
      </x:c>
      <x:c r="K275" s="79" t="str">
        <x:v>2012-11-12</x:v>
      </x:c>
      <x:c r="L275" s="79" t="str">
        <x:v>READ-ONLY DIAGNOSTIC CANDIDATE</x:v>
      </x:c>
      <x:c r="M275" s="79" t="str">
        <x:v>CANDIDATE</x:v>
      </x:c>
      <x:c r="N275" s="80" t="str">
        <x:v>Later US source; validate on ZVW30 before firmware use</x:v>
      </x:c>
    </x:row>
    <x:row r="276">
      <x:c r="A276" s="78" t="str">
        <x:v>Battery block number with maximum voltage</x:v>
      </x:c>
      <x:c r="B276" s="79" t="str">
        <x:v>Blk# max</x:v>
      </x:c>
      <x:c r="C276" s="79" t="str">
        <x:v>2192</x:v>
      </x:c>
      <x:c r="D276" s="79" t="str">
        <x:v>F + 1</x:v>
      </x:c>
      <x:c r="E276" s="79" t="n">
        <x:v>1</x:v>
      </x:c>
      <x:c r="F276" s="79" t="n">
        <x:v>14</x:v>
      </x:c>
      <x:c r="G276" s="79"/>
      <x:c r="H276" s="79" t="str">
        <x:v>7E2</x:v>
      </x:c>
      <x:c r="I276" s="79" t="str">
        <x:v>PRIUS_GEN3 / ZVW30</x:v>
      </x:c>
      <x:c r="J276" s="79" t="str">
        <x:v>ZVW30 Custom PIDs for Torque (Android App) 12Nov12.xlsx - US</x:v>
      </x:c>
      <x:c r="K276" s="79" t="str">
        <x:v>2012-11-12</x:v>
      </x:c>
      <x:c r="L276" s="79" t="str">
        <x:v>READ-ONLY DIAGNOSTIC CANDIDATE</x:v>
      </x:c>
      <x:c r="M276" s="79" t="str">
        <x:v>CANDIDATE</x:v>
      </x:c>
      <x:c r="N276" s="80" t="str">
        <x:v>Later US source; validate on ZVW30 before firmware use</x:v>
      </x:c>
    </x:row>
    <x:row r="277">
      <x:c r="A277" s="78" t="str">
        <x:v>Difference between maximum &amp; minimum voltage</x:v>
      </x:c>
      <x:c r="B277" s="79" t="str">
        <x:v>Vmax-Vmin</x:v>
      </x:c>
      <x:c r="C277" s="79" t="str">
        <x:v>2192</x:v>
      </x:c>
      <x:c r="D277" s="79" t="str">
        <x:v>((D - A) * 256 + E - B) * 79.99 / 65535</x:v>
      </x:c>
      <x:c r="E277" s="79" t="n">
        <x:v>0</x:v>
      </x:c>
      <x:c r="F277" s="79" t="n">
        <x:v>2</x:v>
      </x:c>
      <x:c r="G277" s="79" t="str">
        <x:v>V</x:v>
      </x:c>
      <x:c r="H277" s="79" t="str">
        <x:v>7E2</x:v>
      </x:c>
      <x:c r="I277" s="79" t="str">
        <x:v>PRIUS_GEN3 / ZVW30</x:v>
      </x:c>
      <x:c r="J277" s="79" t="str">
        <x:v>ZVW30 Custom PIDs for Torque (Android App) 12Nov12.xlsx - US</x:v>
      </x:c>
      <x:c r="K277" s="79" t="str">
        <x:v>2012-11-12</x:v>
      </x:c>
      <x:c r="L277" s="79" t="str">
        <x:v>READ-ONLY DIAGNOSTIC CANDIDATE</x:v>
      </x:c>
      <x:c r="M277" s="79" t="str">
        <x:v>CANDIDATE</x:v>
      </x:c>
      <x:c r="N277" s="80" t="str">
        <x:v>Later US source; validate on ZVW30 before firmware use</x:v>
      </x:c>
    </x:row>
    <x:row r="278">
      <x:c r="A278" s="78" t="str">
        <x:v>Number of battery blocks</x:v>
      </x:c>
      <x:c r="B278" s="79" t="str">
        <x:v>#Bty Blk</x:v>
      </x:c>
      <x:c r="C278" s="79" t="str">
        <x:v>2192</x:v>
      </x:c>
      <x:c r="D278" s="79" t="str">
        <x:v>G</x:v>
      </x:c>
      <x:c r="E278" s="79" t="n">
        <x:v>14</x:v>
      </x:c>
      <x:c r="F278" s="79" t="n">
        <x:v>14</x:v>
      </x:c>
      <x:c r="G278" s="79"/>
      <x:c r="H278" s="79" t="str">
        <x:v>7E2</x:v>
      </x:c>
      <x:c r="I278" s="79" t="str">
        <x:v>PRIUS_GEN3 / ZVW30</x:v>
      </x:c>
      <x:c r="J278" s="79" t="str">
        <x:v>ZVW30 Custom PIDs for Torque (Android App) 12Nov12.xlsx - US</x:v>
      </x:c>
      <x:c r="K278" s="79" t="str">
        <x:v>2012-11-12</x:v>
      </x:c>
      <x:c r="L278" s="79" t="str">
        <x:v>READ-ONLY DIAGNOSTIC CANDIDATE</x:v>
      </x:c>
      <x:c r="M278" s="79" t="str">
        <x:v>CANDIDATE</x:v>
      </x:c>
      <x:c r="N278" s="80" t="str">
        <x:v>Later US source; validate on ZVW30 before firmware use</x:v>
      </x:c>
    </x:row>
    <x:row r="279">
      <x:c r="A279" s="78" t="str">
        <x:v>Accumulated Time of Battery Low</x:v>
      </x:c>
      <x:c r="B279" s="79" t="str">
        <x:v>Low count</x:v>
      </x:c>
      <x:c r="C279" s="79" t="str">
        <x:v>2192</x:v>
      </x:c>
      <x:c r="D279" s="79" t="str">
        <x:v>H * 256 + I</x:v>
      </x:c>
      <x:c r="E279" s="79" t="n">
        <x:v>0</x:v>
      </x:c>
      <x:c r="F279" s="79" t="n">
        <x:v>65535</x:v>
      </x:c>
      <x:c r="G279" s="79"/>
      <x:c r="H279" s="79" t="str">
        <x:v>7E2</x:v>
      </x:c>
      <x:c r="I279" s="79" t="str">
        <x:v>PRIUS_GEN3 / ZVW30</x:v>
      </x:c>
      <x:c r="J279" s="79" t="str">
        <x:v>ZVW30 Custom PIDs for Torque (Android App) 12Nov12.xlsx - US</x:v>
      </x:c>
      <x:c r="K279" s="79" t="str">
        <x:v>2012-11-12</x:v>
      </x:c>
      <x:c r="L279" s="79" t="str">
        <x:v>READ-ONLY DIAGNOSTIC CANDIDATE</x:v>
      </x:c>
      <x:c r="M279" s="79" t="str">
        <x:v>CANDIDATE</x:v>
      </x:c>
      <x:c r="N279" s="80" t="str">
        <x:v>Later US source; validate on ZVW30 before firmware use</x:v>
      </x:c>
    </x:row>
    <x:row r="280">
      <x:c r="A280" s="78" t="str">
        <x:v>Accumulated Time of DC Inhibit</x:v>
      </x:c>
      <x:c r="B280" s="79" t="str">
        <x:v>DCI count</x:v>
      </x:c>
      <x:c r="C280" s="79" t="str">
        <x:v>2192</x:v>
      </x:c>
      <x:c r="D280" s="79" t="str">
        <x:v>J * 256 + K</x:v>
      </x:c>
      <x:c r="E280" s="79" t="n">
        <x:v>0</x:v>
      </x:c>
      <x:c r="F280" s="79" t="n">
        <x:v>65535</x:v>
      </x:c>
      <x:c r="G280" s="79"/>
      <x:c r="H280" s="79" t="str">
        <x:v>7E2</x:v>
      </x:c>
      <x:c r="I280" s="79" t="str">
        <x:v>PRIUS_GEN3 / ZVW30</x:v>
      </x:c>
      <x:c r="J280" s="79" t="str">
        <x:v>ZVW30 Custom PIDs for Torque (Android App) 12Nov12.xlsx - US</x:v>
      </x:c>
      <x:c r="K280" s="79" t="str">
        <x:v>2012-11-12</x:v>
      </x:c>
      <x:c r="L280" s="79" t="str">
        <x:v>READ-ONLY DIAGNOSTIC CANDIDATE</x:v>
      </x:c>
      <x:c r="M280" s="79" t="str">
        <x:v>CANDIDATE</x:v>
      </x:c>
      <x:c r="N280" s="80" t="str">
        <x:v>Later US source; validate on ZVW30 before firmware use</x:v>
      </x:c>
    </x:row>
    <x:row r="281">
      <x:c r="A281" s="78" t="str">
        <x:v>Accumulated Time of Battery too High</x:v>
      </x:c>
      <x:c r="B281" s="79" t="str">
        <x:v>High count</x:v>
      </x:c>
      <x:c r="C281" s="79" t="str">
        <x:v>2192</x:v>
      </x:c>
      <x:c r="D281" s="79" t="str">
        <x:v>L * 256 + M</x:v>
      </x:c>
      <x:c r="E281" s="79" t="n">
        <x:v>0</x:v>
      </x:c>
      <x:c r="F281" s="79" t="n">
        <x:v>65535</x:v>
      </x:c>
      <x:c r="G281" s="79"/>
      <x:c r="H281" s="79" t="str">
        <x:v>7E2</x:v>
      </x:c>
      <x:c r="I281" s="79" t="str">
        <x:v>PRIUS_GEN3 / ZVW30</x:v>
      </x:c>
      <x:c r="J281" s="79" t="str">
        <x:v>ZVW30 Custom PIDs for Torque (Android App) 12Nov12.xlsx - US</x:v>
      </x:c>
      <x:c r="K281" s="79" t="str">
        <x:v>2012-11-12</x:v>
      </x:c>
      <x:c r="L281" s="79" t="str">
        <x:v>READ-ONLY DIAGNOSTIC CANDIDATE</x:v>
      </x:c>
      <x:c r="M281" s="79" t="str">
        <x:v>CANDIDATE</x:v>
      </x:c>
      <x:c r="N281" s="80" t="str">
        <x:v>Later US source; validate on ZVW30 before firmware use</x:v>
      </x:c>
    </x:row>
    <x:row r="282">
      <x:c r="A282" s="78" t="str">
        <x:v>Accumulated Time of Hot Temperature</x:v>
      </x:c>
      <x:c r="B282" s="79" t="str">
        <x:v>Hot count</x:v>
      </x:c>
      <x:c r="C282" s="79" t="str">
        <x:v>2192</x:v>
      </x:c>
      <x:c r="D282" s="79" t="str">
        <x:v>N * 256 + O</x:v>
      </x:c>
      <x:c r="E282" s="79" t="n">
        <x:v>0</x:v>
      </x:c>
      <x:c r="F282" s="79" t="n">
        <x:v>65535</x:v>
      </x:c>
      <x:c r="G282" s="79"/>
      <x:c r="H282" s="79" t="str">
        <x:v>7E2</x:v>
      </x:c>
      <x:c r="I282" s="79" t="str">
        <x:v>PRIUS_GEN3 / ZVW30</x:v>
      </x:c>
      <x:c r="J282" s="79" t="str">
        <x:v>ZVW30 Custom PIDs for Torque (Android App) 12Nov12.xlsx - US</x:v>
      </x:c>
      <x:c r="K282" s="79" t="str">
        <x:v>2012-11-12</x:v>
      </x:c>
      <x:c r="L282" s="79" t="str">
        <x:v>READ-ONLY DIAGNOSTIC CANDIDATE</x:v>
      </x:c>
      <x:c r="M282" s="79" t="str">
        <x:v>CANDIDATE</x:v>
      </x:c>
      <x:c r="N282" s="80" t="str">
        <x:v>Later US source; validate on ZVW30 before firmware use</x:v>
      </x:c>
    </x:row>
    <x:row r="283">
      <x:c r="A283" s="78" t="str">
        <x:v>Internal Resistance R01</x:v>
      </x:c>
      <x:c r="B283" s="79" t="str">
        <x:v>R01</x:v>
      </x:c>
      <x:c r="C283" s="79" t="str">
        <x:v>2195</x:v>
      </x:c>
      <x:c r="D283" s="79" t="str">
        <x:v>A / 1000</x:v>
      </x:c>
      <x:c r="E283" s="79" t="n">
        <x:v>0</x:v>
      </x:c>
      <x:c r="F283" s="79" t="n">
        <x:v>0.255</x:v>
      </x:c>
      <x:c r="G283" s="79" t="str">
        <x:v>ohm</x:v>
      </x:c>
      <x:c r="H283" s="79" t="str">
        <x:v>7E2</x:v>
      </x:c>
      <x:c r="I283" s="79" t="str">
        <x:v>PRIUS_GEN3 / ZVW30</x:v>
      </x:c>
      <x:c r="J283" s="79" t="str">
        <x:v>ZVW30 Custom PIDs for Torque (Android App) 12Nov12.xlsx - US</x:v>
      </x:c>
      <x:c r="K283" s="79" t="str">
        <x:v>2012-11-12</x:v>
      </x:c>
      <x:c r="L283" s="79" t="str">
        <x:v>READ-ONLY DIAGNOSTIC CANDIDATE</x:v>
      </x:c>
      <x:c r="M283" s="79" t="str">
        <x:v>CANDIDATE</x:v>
      </x:c>
      <x:c r="N283" s="80" t="str">
        <x:v>Later US source; validate on ZVW30 before firmware use</x:v>
      </x:c>
    </x:row>
    <x:row r="284">
      <x:c r="A284" s="78" t="str">
        <x:v>Internal Resistance R02</x:v>
      </x:c>
      <x:c r="B284" s="79" t="str">
        <x:v>R02</x:v>
      </x:c>
      <x:c r="C284" s="79" t="str">
        <x:v>2195</x:v>
      </x:c>
      <x:c r="D284" s="79" t="str">
        <x:v>B / 1000</x:v>
      </x:c>
      <x:c r="E284" s="79" t="n">
        <x:v>0</x:v>
      </x:c>
      <x:c r="F284" s="79" t="n">
        <x:v>0.255</x:v>
      </x:c>
      <x:c r="G284" s="79" t="str">
        <x:v>ohm</x:v>
      </x:c>
      <x:c r="H284" s="79" t="str">
        <x:v>7E2</x:v>
      </x:c>
      <x:c r="I284" s="79" t="str">
        <x:v>PRIUS_GEN3 / ZVW30</x:v>
      </x:c>
      <x:c r="J284" s="79" t="str">
        <x:v>ZVW30 Custom PIDs for Torque (Android App) 12Nov12.xlsx - US</x:v>
      </x:c>
      <x:c r="K284" s="79" t="str">
        <x:v>2012-11-12</x:v>
      </x:c>
      <x:c r="L284" s="79" t="str">
        <x:v>READ-ONLY DIAGNOSTIC CANDIDATE</x:v>
      </x:c>
      <x:c r="M284" s="79" t="str">
        <x:v>CANDIDATE</x:v>
      </x:c>
      <x:c r="N284" s="80" t="str">
        <x:v>Later US source; validate on ZVW30 before firmware use</x:v>
      </x:c>
    </x:row>
    <x:row r="285">
      <x:c r="A285" s="78" t="str">
        <x:v>Internal Resistance R03</x:v>
      </x:c>
      <x:c r="B285" s="79" t="str">
        <x:v>R03</x:v>
      </x:c>
      <x:c r="C285" s="79" t="str">
        <x:v>2195</x:v>
      </x:c>
      <x:c r="D285" s="79" t="str">
        <x:v>C / 1000</x:v>
      </x:c>
      <x:c r="E285" s="79" t="n">
        <x:v>0</x:v>
      </x:c>
      <x:c r="F285" s="79" t="n">
        <x:v>0.255</x:v>
      </x:c>
      <x:c r="G285" s="79" t="str">
        <x:v>ohm</x:v>
      </x:c>
      <x:c r="H285" s="79" t="str">
        <x:v>7E2</x:v>
      </x:c>
      <x:c r="I285" s="79" t="str">
        <x:v>PRIUS_GEN3 / ZVW30</x:v>
      </x:c>
      <x:c r="J285" s="79" t="str">
        <x:v>ZVW30 Custom PIDs for Torque (Android App) 12Nov12.xlsx - US</x:v>
      </x:c>
      <x:c r="K285" s="79" t="str">
        <x:v>2012-11-12</x:v>
      </x:c>
      <x:c r="L285" s="79" t="str">
        <x:v>READ-ONLY DIAGNOSTIC CANDIDATE</x:v>
      </x:c>
      <x:c r="M285" s="79" t="str">
        <x:v>CANDIDATE</x:v>
      </x:c>
      <x:c r="N285" s="80" t="str">
        <x:v>Later US source; validate on ZVW30 before firmware use</x:v>
      </x:c>
    </x:row>
    <x:row r="286">
      <x:c r="A286" s="78" t="str">
        <x:v>Internal Resistance R04</x:v>
      </x:c>
      <x:c r="B286" s="79" t="str">
        <x:v>R04</x:v>
      </x:c>
      <x:c r="C286" s="79" t="str">
        <x:v>2195</x:v>
      </x:c>
      <x:c r="D286" s="79" t="str">
        <x:v>D / 1000</x:v>
      </x:c>
      <x:c r="E286" s="79" t="n">
        <x:v>0</x:v>
      </x:c>
      <x:c r="F286" s="79" t="n">
        <x:v>0.255</x:v>
      </x:c>
      <x:c r="G286" s="79" t="str">
        <x:v>ohm</x:v>
      </x:c>
      <x:c r="H286" s="79" t="str">
        <x:v>7E2</x:v>
      </x:c>
      <x:c r="I286" s="79" t="str">
        <x:v>PRIUS_GEN3 / ZVW30</x:v>
      </x:c>
      <x:c r="J286" s="79" t="str">
        <x:v>ZVW30 Custom PIDs for Torque (Android App) 12Nov12.xlsx - US</x:v>
      </x:c>
      <x:c r="K286" s="79" t="str">
        <x:v>2012-11-12</x:v>
      </x:c>
      <x:c r="L286" s="79" t="str">
        <x:v>READ-ONLY DIAGNOSTIC CANDIDATE</x:v>
      </x:c>
      <x:c r="M286" s="79" t="str">
        <x:v>CANDIDATE</x:v>
      </x:c>
      <x:c r="N286" s="80" t="str">
        <x:v>Later US source; validate on ZVW30 before firmware use</x:v>
      </x:c>
    </x:row>
    <x:row r="287">
      <x:c r="A287" s="78" t="str">
        <x:v>Internal Resistance R05</x:v>
      </x:c>
      <x:c r="B287" s="79" t="str">
        <x:v>R05</x:v>
      </x:c>
      <x:c r="C287" s="79" t="str">
        <x:v>2195</x:v>
      </x:c>
      <x:c r="D287" s="79" t="str">
        <x:v>E / 1000</x:v>
      </x:c>
      <x:c r="E287" s="79" t="n">
        <x:v>0</x:v>
      </x:c>
      <x:c r="F287" s="79" t="n">
        <x:v>0.255</x:v>
      </x:c>
      <x:c r="G287" s="79" t="str">
        <x:v>ohm</x:v>
      </x:c>
      <x:c r="H287" s="79" t="str">
        <x:v>7E2</x:v>
      </x:c>
      <x:c r="I287" s="79" t="str">
        <x:v>PRIUS_GEN3 / ZVW30</x:v>
      </x:c>
      <x:c r="J287" s="79" t="str">
        <x:v>ZVW30 Custom PIDs for Torque (Android App) 12Nov12.xlsx - US</x:v>
      </x:c>
      <x:c r="K287" s="79" t="str">
        <x:v>2012-11-12</x:v>
      </x:c>
      <x:c r="L287" s="79" t="str">
        <x:v>READ-ONLY DIAGNOSTIC CANDIDATE</x:v>
      </x:c>
      <x:c r="M287" s="79" t="str">
        <x:v>CANDIDATE</x:v>
      </x:c>
      <x:c r="N287" s="80" t="str">
        <x:v>Later US source; validate on ZVW30 before firmware use</x:v>
      </x:c>
    </x:row>
    <x:row r="288">
      <x:c r="A288" s="78" t="str">
        <x:v>Internal Resistance R06</x:v>
      </x:c>
      <x:c r="B288" s="79" t="str">
        <x:v>R06</x:v>
      </x:c>
      <x:c r="C288" s="79" t="str">
        <x:v>2195</x:v>
      </x:c>
      <x:c r="D288" s="79" t="str">
        <x:v>F / 1000</x:v>
      </x:c>
      <x:c r="E288" s="79" t="n">
        <x:v>0</x:v>
      </x:c>
      <x:c r="F288" s="79" t="n">
        <x:v>0.255</x:v>
      </x:c>
      <x:c r="G288" s="79" t="str">
        <x:v>ohm</x:v>
      </x:c>
      <x:c r="H288" s="79" t="str">
        <x:v>7E2</x:v>
      </x:c>
      <x:c r="I288" s="79" t="str">
        <x:v>PRIUS_GEN3 / ZVW30</x:v>
      </x:c>
      <x:c r="J288" s="79" t="str">
        <x:v>ZVW30 Custom PIDs for Torque (Android App) 12Nov12.xlsx - US</x:v>
      </x:c>
      <x:c r="K288" s="79" t="str">
        <x:v>2012-11-12</x:v>
      </x:c>
      <x:c r="L288" s="79" t="str">
        <x:v>READ-ONLY DIAGNOSTIC CANDIDATE</x:v>
      </x:c>
      <x:c r="M288" s="79" t="str">
        <x:v>CANDIDATE</x:v>
      </x:c>
      <x:c r="N288" s="80" t="str">
        <x:v>Later US source; validate on ZVW30 before firmware use</x:v>
      </x:c>
    </x:row>
    <x:row r="289">
      <x:c r="A289" s="78" t="str">
        <x:v>Internal Resistance R07</x:v>
      </x:c>
      <x:c r="B289" s="79" t="str">
        <x:v>R07</x:v>
      </x:c>
      <x:c r="C289" s="79" t="str">
        <x:v>2195</x:v>
      </x:c>
      <x:c r="D289" s="79" t="str">
        <x:v>G / 1000</x:v>
      </x:c>
      <x:c r="E289" s="79" t="n">
        <x:v>0</x:v>
      </x:c>
      <x:c r="F289" s="79" t="n">
        <x:v>0.255</x:v>
      </x:c>
      <x:c r="G289" s="79" t="str">
        <x:v>ohm</x:v>
      </x:c>
      <x:c r="H289" s="79" t="str">
        <x:v>7E2</x:v>
      </x:c>
      <x:c r="I289" s="79" t="str">
        <x:v>PRIUS_GEN3 / ZVW30</x:v>
      </x:c>
      <x:c r="J289" s="79" t="str">
        <x:v>ZVW30 Custom PIDs for Torque (Android App) 12Nov12.xlsx - US</x:v>
      </x:c>
      <x:c r="K289" s="79" t="str">
        <x:v>2012-11-12</x:v>
      </x:c>
      <x:c r="L289" s="79" t="str">
        <x:v>READ-ONLY DIAGNOSTIC CANDIDATE</x:v>
      </x:c>
      <x:c r="M289" s="79" t="str">
        <x:v>CANDIDATE</x:v>
      </x:c>
      <x:c r="N289" s="80" t="str">
        <x:v>Later US source; validate on ZVW30 before firmware use</x:v>
      </x:c>
    </x:row>
    <x:row r="290">
      <x:c r="A290" s="78" t="str">
        <x:v>Internal Resistance R08</x:v>
      </x:c>
      <x:c r="B290" s="79" t="str">
        <x:v>R08</x:v>
      </x:c>
      <x:c r="C290" s="79" t="str">
        <x:v>2195</x:v>
      </x:c>
      <x:c r="D290" s="79" t="str">
        <x:v>H / 1000</x:v>
      </x:c>
      <x:c r="E290" s="79" t="n">
        <x:v>0</x:v>
      </x:c>
      <x:c r="F290" s="79" t="n">
        <x:v>0.255</x:v>
      </x:c>
      <x:c r="G290" s="79" t="str">
        <x:v>ohm</x:v>
      </x:c>
      <x:c r="H290" s="79" t="str">
        <x:v>7E2</x:v>
      </x:c>
      <x:c r="I290" s="79" t="str">
        <x:v>PRIUS_GEN3 / ZVW30</x:v>
      </x:c>
      <x:c r="J290" s="79" t="str">
        <x:v>ZVW30 Custom PIDs for Torque (Android App) 12Nov12.xlsx - US</x:v>
      </x:c>
      <x:c r="K290" s="79" t="str">
        <x:v>2012-11-12</x:v>
      </x:c>
      <x:c r="L290" s="79" t="str">
        <x:v>READ-ONLY DIAGNOSTIC CANDIDATE</x:v>
      </x:c>
      <x:c r="M290" s="79" t="str">
        <x:v>CANDIDATE</x:v>
      </x:c>
      <x:c r="N290" s="80" t="str">
        <x:v>Later US source; validate on ZVW30 before firmware use</x:v>
      </x:c>
    </x:row>
    <x:row r="291">
      <x:c r="A291" s="78" t="str">
        <x:v>Internal Resistance R09</x:v>
      </x:c>
      <x:c r="B291" s="79" t="str">
        <x:v>R09</x:v>
      </x:c>
      <x:c r="C291" s="79" t="str">
        <x:v>2195</x:v>
      </x:c>
      <x:c r="D291" s="79" t="str">
        <x:v>I / 1000</x:v>
      </x:c>
      <x:c r="E291" s="79" t="n">
        <x:v>0</x:v>
      </x:c>
      <x:c r="F291" s="79" t="n">
        <x:v>0.255</x:v>
      </x:c>
      <x:c r="G291" s="79" t="str">
        <x:v>ohm</x:v>
      </x:c>
      <x:c r="H291" s="79" t="str">
        <x:v>7E2</x:v>
      </x:c>
      <x:c r="I291" s="79" t="str">
        <x:v>PRIUS_GEN3 / ZVW30</x:v>
      </x:c>
      <x:c r="J291" s="79" t="str">
        <x:v>ZVW30 Custom PIDs for Torque (Android App) 12Nov12.xlsx - US</x:v>
      </x:c>
      <x:c r="K291" s="79" t="str">
        <x:v>2012-11-12</x:v>
      </x:c>
      <x:c r="L291" s="79" t="str">
        <x:v>READ-ONLY DIAGNOSTIC CANDIDATE</x:v>
      </x:c>
      <x:c r="M291" s="79" t="str">
        <x:v>CANDIDATE</x:v>
      </x:c>
      <x:c r="N291" s="80" t="str">
        <x:v>Later US source; validate on ZVW30 before firmware use</x:v>
      </x:c>
    </x:row>
    <x:row r="292">
      <x:c r="A292" s="78" t="str">
        <x:v>Internal Resistance R10</x:v>
      </x:c>
      <x:c r="B292" s="79" t="str">
        <x:v>R10</x:v>
      </x:c>
      <x:c r="C292" s="79" t="str">
        <x:v>2195</x:v>
      </x:c>
      <x:c r="D292" s="79" t="str">
        <x:v>J / 1000</x:v>
      </x:c>
      <x:c r="E292" s="79" t="n">
        <x:v>0</x:v>
      </x:c>
      <x:c r="F292" s="79" t="n">
        <x:v>0.255</x:v>
      </x:c>
      <x:c r="G292" s="79" t="str">
        <x:v>ohm</x:v>
      </x:c>
      <x:c r="H292" s="79" t="str">
        <x:v>7E2</x:v>
      </x:c>
      <x:c r="I292" s="79" t="str">
        <x:v>PRIUS_GEN3 / ZVW30</x:v>
      </x:c>
      <x:c r="J292" s="79" t="str">
        <x:v>ZVW30 Custom PIDs for Torque (Android App) 12Nov12.xlsx - US</x:v>
      </x:c>
      <x:c r="K292" s="79" t="str">
        <x:v>2012-11-12</x:v>
      </x:c>
      <x:c r="L292" s="79" t="str">
        <x:v>READ-ONLY DIAGNOSTIC CANDIDATE</x:v>
      </x:c>
      <x:c r="M292" s="79" t="str">
        <x:v>CANDIDATE</x:v>
      </x:c>
      <x:c r="N292" s="80" t="str">
        <x:v>Later US source; validate on ZVW30 before firmware use</x:v>
      </x:c>
    </x:row>
    <x:row r="293">
      <x:c r="A293" s="78" t="str">
        <x:v>Internal Resistance R11</x:v>
      </x:c>
      <x:c r="B293" s="79" t="str">
        <x:v>R11</x:v>
      </x:c>
      <x:c r="C293" s="79" t="str">
        <x:v>2195</x:v>
      </x:c>
      <x:c r="D293" s="79" t="str">
        <x:v>K / 1000</x:v>
      </x:c>
      <x:c r="E293" s="79" t="n">
        <x:v>0</x:v>
      </x:c>
      <x:c r="F293" s="79" t="n">
        <x:v>0.255</x:v>
      </x:c>
      <x:c r="G293" s="79" t="str">
        <x:v>ohm</x:v>
      </x:c>
      <x:c r="H293" s="79" t="str">
        <x:v>7E2</x:v>
      </x:c>
      <x:c r="I293" s="79" t="str">
        <x:v>PRIUS_GEN3 / ZVW30</x:v>
      </x:c>
      <x:c r="J293" s="79" t="str">
        <x:v>ZVW30 Custom PIDs for Torque (Android App) 12Nov12.xlsx - US</x:v>
      </x:c>
      <x:c r="K293" s="79" t="str">
        <x:v>2012-11-12</x:v>
      </x:c>
      <x:c r="L293" s="79" t="str">
        <x:v>READ-ONLY DIAGNOSTIC CANDIDATE</x:v>
      </x:c>
      <x:c r="M293" s="79" t="str">
        <x:v>CANDIDATE</x:v>
      </x:c>
      <x:c r="N293" s="80" t="str">
        <x:v>Later US source; validate on ZVW30 before firmware use</x:v>
      </x:c>
    </x:row>
    <x:row r="294">
      <x:c r="A294" s="78" t="str">
        <x:v>Internal Resistance R12</x:v>
      </x:c>
      <x:c r="B294" s="79" t="str">
        <x:v>R12</x:v>
      </x:c>
      <x:c r="C294" s="79" t="str">
        <x:v>2195</x:v>
      </x:c>
      <x:c r="D294" s="79" t="str">
        <x:v>L / 1000</x:v>
      </x:c>
      <x:c r="E294" s="79" t="n">
        <x:v>0</x:v>
      </x:c>
      <x:c r="F294" s="79" t="n">
        <x:v>0.255</x:v>
      </x:c>
      <x:c r="G294" s="79" t="str">
        <x:v>ohm</x:v>
      </x:c>
      <x:c r="H294" s="79" t="str">
        <x:v>7E2</x:v>
      </x:c>
      <x:c r="I294" s="79" t="str">
        <x:v>PRIUS_GEN3 / ZVW30</x:v>
      </x:c>
      <x:c r="J294" s="79" t="str">
        <x:v>ZVW30 Custom PIDs for Torque (Android App) 12Nov12.xlsx - US</x:v>
      </x:c>
      <x:c r="K294" s="79" t="str">
        <x:v>2012-11-12</x:v>
      </x:c>
      <x:c r="L294" s="79" t="str">
        <x:v>READ-ONLY DIAGNOSTIC CANDIDATE</x:v>
      </x:c>
      <x:c r="M294" s="79" t="str">
        <x:v>CANDIDATE</x:v>
      </x:c>
      <x:c r="N294" s="80" t="str">
        <x:v>Later US source; validate on ZVW30 before firmware use</x:v>
      </x:c>
    </x:row>
    <x:row r="295">
      <x:c r="A295" s="78" t="str">
        <x:v>Internal Resistance R13</x:v>
      </x:c>
      <x:c r="B295" s="79" t="str">
        <x:v>R13</x:v>
      </x:c>
      <x:c r="C295" s="79" t="str">
        <x:v>2195</x:v>
      </x:c>
      <x:c r="D295" s="79" t="str">
        <x:v>M / 1000</x:v>
      </x:c>
      <x:c r="E295" s="79" t="n">
        <x:v>0</x:v>
      </x:c>
      <x:c r="F295" s="79" t="n">
        <x:v>0.255</x:v>
      </x:c>
      <x:c r="G295" s="79" t="str">
        <x:v>ohm</x:v>
      </x:c>
      <x:c r="H295" s="79" t="str">
        <x:v>7E2</x:v>
      </x:c>
      <x:c r="I295" s="79" t="str">
        <x:v>PRIUS_GEN3 / ZVW30</x:v>
      </x:c>
      <x:c r="J295" s="79" t="str">
        <x:v>ZVW30 Custom PIDs for Torque (Android App) 12Nov12.xlsx - US</x:v>
      </x:c>
      <x:c r="K295" s="79" t="str">
        <x:v>2012-11-12</x:v>
      </x:c>
      <x:c r="L295" s="79" t="str">
        <x:v>READ-ONLY DIAGNOSTIC CANDIDATE</x:v>
      </x:c>
      <x:c r="M295" s="79" t="str">
        <x:v>CANDIDATE</x:v>
      </x:c>
      <x:c r="N295" s="80" t="str">
        <x:v>Later US source; validate on ZVW30 before firmware use</x:v>
      </x:c>
    </x:row>
    <x:row r="296">
      <x:c r="A296" s="78" t="str">
        <x:v>Internal Resistance R14</x:v>
      </x:c>
      <x:c r="B296" s="79" t="str">
        <x:v>R14</x:v>
      </x:c>
      <x:c r="C296" s="79" t="str">
        <x:v>2195</x:v>
      </x:c>
      <x:c r="D296" s="79" t="str">
        <x:v>N / 1000</x:v>
      </x:c>
      <x:c r="E296" s="79" t="n">
        <x:v>0</x:v>
      </x:c>
      <x:c r="F296" s="79" t="n">
        <x:v>0.255</x:v>
      </x:c>
      <x:c r="G296" s="79" t="str">
        <x:v>ohm</x:v>
      </x:c>
      <x:c r="H296" s="79" t="str">
        <x:v>7E2</x:v>
      </x:c>
      <x:c r="I296" s="79" t="str">
        <x:v>PRIUS_GEN3 / ZVW30</x:v>
      </x:c>
      <x:c r="J296" s="79" t="str">
        <x:v>ZVW30 Custom PIDs for Torque (Android App) 12Nov12.xlsx - US</x:v>
      </x:c>
      <x:c r="K296" s="79" t="str">
        <x:v>2012-11-12</x:v>
      </x:c>
      <x:c r="L296" s="79" t="str">
        <x:v>READ-ONLY DIAGNOSTIC CANDIDATE</x:v>
      </x:c>
      <x:c r="M296" s="79" t="str">
        <x:v>CANDIDATE</x:v>
      </x:c>
      <x:c r="N296" s="80" t="str">
        <x:v>Later US source; validate on ZVW30 before firmware use</x:v>
      </x:c>
    </x:row>
    <x:row r="297">
      <x:c r="A297" s="78" t="str">
        <x:v>Batt Pack Current Val</x:v>
      </x:c>
      <x:c r="B297" s="79" t="str">
        <x:v>Bty Curr</x:v>
      </x:c>
      <x:c r="C297" s="79" t="str">
        <x:v>2198</x:v>
      </x:c>
      <x:c r="D297" s="79" t="str">
        <x:v>(A * 256 + B) / 100 - 327.68</x:v>
      </x:c>
      <x:c r="E297" s="79" t="n">
        <x:v>-200</x:v>
      </x:c>
      <x:c r="F297" s="79" t="n">
        <x:v>200</x:v>
      </x:c>
      <x:c r="G297" s="79" t="str">
        <x:v>Amperes</x:v>
      </x:c>
      <x:c r="H297" s="79" t="str">
        <x:v>7E2</x:v>
      </x:c>
      <x:c r="I297" s="79" t="str">
        <x:v>PRIUS_GEN3 / ZVW30</x:v>
      </x:c>
      <x:c r="J297" s="79" t="str">
        <x:v>ZVW30 Custom PIDs for Torque (Android App) 12Nov12.xlsx - US</x:v>
      </x:c>
      <x:c r="K297" s="79" t="str">
        <x:v>2012-11-12</x:v>
      </x:c>
      <x:c r="L297" s="79" t="str">
        <x:v>READ-ONLY DIAGNOSTIC CANDIDATE</x:v>
      </x:c>
      <x:c r="M297" s="79" t="str">
        <x:v>CANDIDATE</x:v>
      </x:c>
      <x:c r="N297" s="80" t="str">
        <x:v>Later US source; validate on ZVW30 before firmware use</x:v>
      </x:c>
    </x:row>
    <x:row r="298">
      <x:c r="A298" s="78" t="str">
        <x:v>HV battery charge control</x:v>
      </x:c>
      <x:c r="B298" s="79" t="str">
        <x:v>Chg ctrl</x:v>
      </x:c>
      <x:c r="C298" s="79" t="str">
        <x:v>2198</x:v>
      </x:c>
      <x:c r="D298" s="79" t="str">
        <x:v>(C / 2 - 64) * 1.341022089595028</x:v>
      </x:c>
      <x:c r="E298" s="79" t="n">
        <x:v>-50</x:v>
      </x:c>
      <x:c r="F298" s="79" t="n">
        <x:v>0</x:v>
      </x:c>
      <x:c r="G298" s="79" t="str">
        <x:v>HP</x:v>
      </x:c>
      <x:c r="H298" s="79" t="str">
        <x:v>7E2</x:v>
      </x:c>
      <x:c r="I298" s="79" t="str">
        <x:v>PRIUS_GEN3 / ZVW30</x:v>
      </x:c>
      <x:c r="J298" s="79" t="str">
        <x:v>ZVW30 Custom PIDs for Torque (Android App) 12Nov12.xlsx - US</x:v>
      </x:c>
      <x:c r="K298" s="79" t="str">
        <x:v>2012-11-12</x:v>
      </x:c>
      <x:c r="L298" s="79" t="str">
        <x:v>READ-ONLY DIAGNOSTIC CANDIDATE</x:v>
      </x:c>
      <x:c r="M298" s="79" t="str">
        <x:v>CANDIDATE</x:v>
      </x:c>
      <x:c r="N298" s="80" t="str">
        <x:v>Later US source; validate on ZVW30 before firmware use</x:v>
      </x:c>
    </x:row>
    <x:row r="299">
      <x:c r="A299" s="78" t="str">
        <x:v>HV battery discharge control</x:v>
      </x:c>
      <x:c r="B299" s="79" t="str">
        <x:v>Dischg ctrl</x:v>
      </x:c>
      <x:c r="C299" s="79" t="str">
        <x:v>2198</x:v>
      </x:c>
      <x:c r="D299" s="79" t="str">
        <x:v>(D / 2 - 64) * 1.341022089595028</x:v>
      </x:c>
      <x:c r="E299" s="79" t="n">
        <x:v>0</x:v>
      </x:c>
      <x:c r="F299" s="79" t="n">
        <x:v>50</x:v>
      </x:c>
      <x:c r="G299" s="79" t="str">
        <x:v>HP</x:v>
      </x:c>
      <x:c r="H299" s="79" t="str">
        <x:v>7E2</x:v>
      </x:c>
      <x:c r="I299" s="79" t="str">
        <x:v>PRIUS_GEN3 / ZVW30</x:v>
      </x:c>
      <x:c r="J299" s="79" t="str">
        <x:v>ZVW30 Custom PIDs for Torque (Android App) 12Nov12.xlsx - US</x:v>
      </x:c>
      <x:c r="K299" s="79" t="str">
        <x:v>2012-11-12</x:v>
      </x:c>
      <x:c r="L299" s="79" t="str">
        <x:v>READ-ONLY DIAGNOSTIC CANDIDATE</x:v>
      </x:c>
      <x:c r="M299" s="79" t="str">
        <x:v>CANDIDATE</x:v>
      </x:c>
      <x:c r="N299" s="80" t="str">
        <x:v>Later US source; validate on ZVW30 before firmware use</x:v>
      </x:c>
    </x:row>
    <x:row r="300">
      <x:c r="A300" s="78" t="str">
        <x:v>Delta SOC</x:v>
      </x:c>
      <x:c r="B300" s="79" t="str">
        <x:v>Delta SOC</x:v>
      </x:c>
      <x:c r="C300" s="79" t="str">
        <x:v>2198</x:v>
      </x:c>
      <x:c r="D300" s="79" t="str">
        <x:v>E / 2</x:v>
      </x:c>
      <x:c r="E300" s="79" t="n">
        <x:v>0</x:v>
      </x:c>
      <x:c r="F300" s="79" t="n">
        <x:v>100</x:v>
      </x:c>
      <x:c r="G300" s="79" t="str">
        <x:v>%</x:v>
      </x:c>
      <x:c r="H300" s="79" t="str">
        <x:v>7E2</x:v>
      </x:c>
      <x:c r="I300" s="79" t="str">
        <x:v>PRIUS_GEN3 / ZVW30</x:v>
      </x:c>
      <x:c r="J300" s="79" t="str">
        <x:v>ZVW30 Custom PIDs for Torque (Android App) 12Nov12.xlsx - US</x:v>
      </x:c>
      <x:c r="K300" s="79" t="str">
        <x:v>2012-11-12</x:v>
      </x:c>
      <x:c r="L300" s="79" t="str">
        <x:v>READ-ONLY DIAGNOSTIC CANDIDATE</x:v>
      </x:c>
      <x:c r="M300" s="79" t="str">
        <x:v>CANDIDATE</x:v>
      </x:c>
      <x:c r="N300" s="80" t="str">
        <x:v>Later US source; validate on ZVW30 before firmware use</x:v>
      </x:c>
    </x:row>
    <x:row r="301">
      <x:c r="A301" s="78" t="str">
        <x:v>SOC after IG-ON</x:v>
      </x:c>
      <x:c r="B301" s="79" t="str">
        <x:v>SOC ig-on</x:v>
      </x:c>
      <x:c r="C301" s="79" t="str">
        <x:v>2198</x:v>
      </x:c>
      <x:c r="D301" s="79" t="str">
        <x:v>F / 2</x:v>
      </x:c>
      <x:c r="E301" s="79" t="n">
        <x:v>30</x:v>
      </x:c>
      <x:c r="F301" s="79" t="n">
        <x:v>90</x:v>
      </x:c>
      <x:c r="G301" s="79" t="str">
        <x:v>%</x:v>
      </x:c>
      <x:c r="H301" s="79" t="str">
        <x:v>7E2</x:v>
      </x:c>
      <x:c r="I301" s="79" t="str">
        <x:v>PRIUS_GEN3 / ZVW30</x:v>
      </x:c>
      <x:c r="J301" s="79" t="str">
        <x:v>ZVW30 Custom PIDs for Torque (Android App) 12Nov12.xlsx - US</x:v>
      </x:c>
      <x:c r="K301" s="79" t="str">
        <x:v>2012-11-12</x:v>
      </x:c>
      <x:c r="L301" s="79" t="str">
        <x:v>READ-ONLY DIAGNOSTIC CANDIDATE</x:v>
      </x:c>
      <x:c r="M301" s="79" t="str">
        <x:v>CANDIDATE</x:v>
      </x:c>
      <x:c r="N301" s="80" t="str">
        <x:v>Later US source; validate on ZVW30 before firmware use</x:v>
      </x:c>
    </x:row>
    <x:row r="302">
      <x:c r="A302" s="78" t="str">
        <x:v>SOC Max</x:v>
      </x:c>
      <x:c r="B302" s="79" t="str">
        <x:v>SOC max</x:v>
      </x:c>
      <x:c r="C302" s="79" t="str">
        <x:v>2198</x:v>
      </x:c>
      <x:c r="D302" s="79" t="str">
        <x:v>G / 2</x:v>
      </x:c>
      <x:c r="E302" s="79" t="n">
        <x:v>30</x:v>
      </x:c>
      <x:c r="F302" s="79" t="n">
        <x:v>90</x:v>
      </x:c>
      <x:c r="G302" s="79" t="str">
        <x:v>%</x:v>
      </x:c>
      <x:c r="H302" s="79" t="str">
        <x:v>7E2</x:v>
      </x:c>
      <x:c r="I302" s="79" t="str">
        <x:v>PRIUS_GEN3 / ZVW30</x:v>
      </x:c>
      <x:c r="J302" s="79" t="str">
        <x:v>ZVW30 Custom PIDs for Torque (Android App) 12Nov12.xlsx - US</x:v>
      </x:c>
      <x:c r="K302" s="79" t="str">
        <x:v>2012-11-12</x:v>
      </x:c>
      <x:c r="L302" s="79" t="str">
        <x:v>READ-ONLY DIAGNOSTIC CANDIDATE</x:v>
      </x:c>
      <x:c r="M302" s="79" t="str">
        <x:v>CANDIDATE</x:v>
      </x:c>
      <x:c r="N302" s="80" t="str">
        <x:v>Later US source; validate on ZVW30 before firmware use</x:v>
      </x:c>
    </x:row>
    <x:row r="303">
      <x:c r="A303" s="78" t="str">
        <x:v>SOC Min</x:v>
      </x:c>
      <x:c r="B303" s="79" t="str">
        <x:v>SOC min</x:v>
      </x:c>
      <x:c r="C303" s="79" t="str">
        <x:v>2198</x:v>
      </x:c>
      <x:c r="D303" s="79" t="str">
        <x:v>H / 2</x:v>
      </x:c>
      <x:c r="E303" s="79" t="n">
        <x:v>30</x:v>
      </x:c>
      <x:c r="F303" s="79" t="n">
        <x:v>90</x:v>
      </x:c>
      <x:c r="G303" s="79" t="str">
        <x:v>%</x:v>
      </x:c>
      <x:c r="H303" s="79" t="str">
        <x:v>7E2</x:v>
      </x:c>
      <x:c r="I303" s="79" t="str">
        <x:v>PRIUS_GEN3 / ZVW30</x:v>
      </x:c>
      <x:c r="J303" s="79" t="str">
        <x:v>ZVW30 Custom PIDs for Torque (Android App) 12Nov12.xlsx - US</x:v>
      </x:c>
      <x:c r="K303" s="79" t="str">
        <x:v>2012-11-12</x:v>
      </x:c>
      <x:c r="L303" s="79" t="str">
        <x:v>READ-ONLY DIAGNOSTIC CANDIDATE</x:v>
      </x:c>
      <x:c r="M303" s="79" t="str">
        <x:v>CANDIDATE</x:v>
      </x:c>
      <x:c r="N303" s="80" t="str">
        <x:v>Later US source; validate on ZVW30 before firmware use</x:v>
      </x:c>
    </x:row>
    <x:row r="304">
      <x:c r="A304" s="78" t="str">
        <x:v>ECU Control Mode (Driving control mode=1,Current sensor offset mode=2,External charge control mode=3,Power supply end mode=4)</x:v>
      </x:c>
      <x:c r="B304" s="79" t="str">
        <x:v>ECU mode</x:v>
      </x:c>
      <x:c r="C304" s="79" t="str">
        <x:v>219B</x:v>
      </x:c>
      <x:c r="D304" s="79" t="str">
        <x:v>A</x:v>
      </x:c>
      <x:c r="E304" s="79" t="n">
        <x:v>1</x:v>
      </x:c>
      <x:c r="F304" s="79" t="n">
        <x:v>4</x:v>
      </x:c>
      <x:c r="G304" s="79"/>
      <x:c r="H304" s="79" t="str">
        <x:v>7E2</x:v>
      </x:c>
      <x:c r="I304" s="79" t="str">
        <x:v>PRIUS_GEN3 / ZVW30</x:v>
      </x:c>
      <x:c r="J304" s="79" t="str">
        <x:v>ZVW30 Custom PIDs for Torque (Android App) 12Nov12.xlsx - US</x:v>
      </x:c>
      <x:c r="K304" s="79" t="str">
        <x:v>2012-11-12</x:v>
      </x:c>
      <x:c r="L304" s="79" t="str">
        <x:v>READ-ONLY DIAGNOSTIC CANDIDATE</x:v>
      </x:c>
      <x:c r="M304" s="79" t="str">
        <x:v>CANDIDATE</x:v>
      </x:c>
      <x:c r="N304" s="80" t="str">
        <x:v>Later US source; validate on ZVW30 before firmware use</x:v>
      </x:c>
    </x:row>
    <x:row r="305">
      <x:c r="A305" s="78" t="str">
        <x:v>Cooling Fan Mode 1</x:v>
      </x:c>
      <x:c r="B305" s="79" t="str">
        <x:v>Fan Mode</x:v>
      </x:c>
      <x:c r="C305" s="79" t="str">
        <x:v>219B</x:v>
      </x:c>
      <x:c r="D305" s="79" t="str">
        <x:v>B</x:v>
      </x:c>
      <x:c r="E305" s="79" t="n">
        <x:v>0</x:v>
      </x:c>
      <x:c r="F305" s="79" t="n">
        <x:v>6</x:v>
      </x:c>
      <x:c r="G305" s="79"/>
      <x:c r="H305" s="79" t="str">
        <x:v>7E2</x:v>
      </x:c>
      <x:c r="I305" s="79" t="str">
        <x:v>PRIUS_GEN3 / ZVW30</x:v>
      </x:c>
      <x:c r="J305" s="79" t="str">
        <x:v>ZVW30 Custom PIDs for Torque (Android App) 12Nov12.xlsx - US</x:v>
      </x:c>
      <x:c r="K305" s="79" t="str">
        <x:v>2012-11-12</x:v>
      </x:c>
      <x:c r="L305" s="79" t="str">
        <x:v>READ-ONLY DIAGNOSTIC CANDIDATE</x:v>
      </x:c>
      <x:c r="M305" s="79" t="str">
        <x:v>CANDIDATE</x:v>
      </x:c>
      <x:c r="N305" s="80" t="str">
        <x:v>Later US source; validate on ZVW30 before firmware use</x:v>
      </x:c>
    </x:row>
    <x:row r="306">
      <x:c r="A306" s="78" t="str">
        <x:v>Standby Blower Request Status</x:v>
      </x:c>
      <x:c r="B306" s="79" t="str">
        <x:v>SBRS</x:v>
      </x:c>
      <x:c r="C306" s="79" t="str">
        <x:v>219B</x:v>
      </x:c>
      <x:c r="D306" s="79" t="str">
        <x:v>{C:7}</x:v>
      </x:c>
      <x:c r="E306" s="79" t="n">
        <x:v>0</x:v>
      </x:c>
      <x:c r="F306" s="79" t="n">
        <x:v>1</x:v>
      </x:c>
      <x:c r="G306" s="79" t="str">
        <x:v>Off/On</x:v>
      </x:c>
      <x:c r="H306" s="79" t="str">
        <x:v>7E2</x:v>
      </x:c>
      <x:c r="I306" s="79" t="str">
        <x:v>PRIUS_GEN3 / ZVW30</x:v>
      </x:c>
      <x:c r="J306" s="79" t="str">
        <x:v>ZVW30 Custom PIDs for Torque (Android App) 12Nov12.xlsx - US</x:v>
      </x:c>
      <x:c r="K306" s="79" t="str">
        <x:v>2012-11-12</x:v>
      </x:c>
      <x:c r="L306" s="79" t="str">
        <x:v>READ-ONLY DIAGNOSTIC CANDIDATE</x:v>
      </x:c>
      <x:c r="M306" s="79" t="str">
        <x:v>CANDIDATE</x:v>
      </x:c>
      <x:c r="N306" s="80" t="str">
        <x:v>Later US source; validate on ZVW30 before firmware use</x:v>
      </x:c>
    </x:row>
    <x:row r="307">
      <x:c r="A307" s="78" t="str">
        <x:v>Short Circuit Wave Highest Value</x:v>
      </x:c>
      <x:c r="B307" s="79" t="str">
        <x:v>S/C Wave Hi</x:v>
      </x:c>
      <x:c r="C307" s="79" t="str">
        <x:v>219B</x:v>
      </x:c>
      <x:c r="D307" s="79" t="str">
        <x:v>D * 4.98 / 255</x:v>
      </x:c>
      <x:c r="E307" s="79" t="n">
        <x:v>0</x:v>
      </x:c>
      <x:c r="F307" s="79" t="n">
        <x:v>4.98</x:v>
      </x:c>
      <x:c r="G307" s="79" t="str">
        <x:v>V</x:v>
      </x:c>
      <x:c r="H307" s="79" t="str">
        <x:v>7E2</x:v>
      </x:c>
      <x:c r="I307" s="79" t="str">
        <x:v>PRIUS_GEN3 / ZVW30</x:v>
      </x:c>
      <x:c r="J307" s="79" t="str">
        <x:v>ZVW30 Custom PIDs for Torque (Android App) 12Nov12.xlsx - US</x:v>
      </x:c>
      <x:c r="K307" s="79" t="str">
        <x:v>2012-11-12</x:v>
      </x:c>
      <x:c r="L307" s="79" t="str">
        <x:v>READ-ONLY DIAGNOSTIC CANDIDATE</x:v>
      </x:c>
      <x:c r="M307" s="79" t="str">
        <x:v>CANDIDATE</x:v>
      </x:c>
      <x:c r="N307" s="80" t="str">
        <x:v>Later US source; validate on ZVW30 before firmware use</x:v>
      </x:c>
    </x:row>
    <x:row r="308">
      <x:c r="A308" s="78" t="str">
        <x:v>Model Code_7E2</x:v>
      </x:c>
      <x:c r="B308" s="79" t="str">
        <x:v>MCode_7E2</x:v>
      </x:c>
      <x:c r="C308" s="79" t="str">
        <x:v>21C1</x:v>
      </x:c>
      <x:c r="D308" s="79" t="str">
        <x:v>ABCDEFG</x:v>
      </x:c>
      <x:c r="E308" s="79" t="n">
        <x:v>0</x:v>
      </x:c>
      <x:c r="F308" s="79" t="n">
        <x:v>0</x:v>
      </x:c>
      <x:c r="G308" s="79"/>
      <x:c r="H308" s="79" t="str">
        <x:v>7E2</x:v>
      </x:c>
      <x:c r="I308" s="79" t="str">
        <x:v>PRIUS_GEN3 / ZVW30</x:v>
      </x:c>
      <x:c r="J308" s="79" t="str">
        <x:v>ZVW30 Custom PIDs for Torque (Android App) 12Nov12.xlsx - US</x:v>
      </x:c>
      <x:c r="K308" s="79" t="str">
        <x:v>2012-11-12</x:v>
      </x:c>
      <x:c r="L308" s="79" t="str">
        <x:v>READ-ONLY DIAGNOSTIC CANDIDATE</x:v>
      </x:c>
      <x:c r="M308" s="79" t="str">
        <x:v>CANDIDATE</x:v>
      </x:c>
      <x:c r="N308" s="80" t="str">
        <x:v>Later US source; validate on ZVW30 before firmware use</x:v>
      </x:c>
    </x:row>
    <x:row r="309">
      <x:c r="A309" s="78" t="str">
        <x:v>Engine Code (P410)</x:v>
      </x:c>
      <x:c r="B309" s="79" t="str">
        <x:v>Eng Code</x:v>
      </x:c>
      <x:c r="C309" s="79" t="str">
        <x:v>21C1</x:v>
      </x:c>
      <x:c r="D309" s="79" t="str">
        <x:v>HIJKLM</x:v>
      </x:c>
      <x:c r="E309" s="79" t="n">
        <x:v>0</x:v>
      </x:c>
      <x:c r="F309" s="79" t="n">
        <x:v>0</x:v>
      </x:c>
      <x:c r="G309" s="79"/>
      <x:c r="H309" s="79" t="str">
        <x:v>7E2</x:v>
      </x:c>
      <x:c r="I309" s="79" t="str">
        <x:v>PRIUS_GEN3 / ZVW30</x:v>
      </x:c>
      <x:c r="J309" s="79" t="str">
        <x:v>ZVW30 Custom PIDs for Torque (Android App) 12Nov12.xlsx - US</x:v>
      </x:c>
      <x:c r="K309" s="79" t="str">
        <x:v>2012-11-12</x:v>
      </x:c>
      <x:c r="L309" s="79" t="str">
        <x:v>READ-ONLY DIAGNOSTIC CANDIDATE</x:v>
      </x:c>
      <x:c r="M309" s="79" t="str">
        <x:v>CANDIDATE</x:v>
      </x:c>
      <x:c r="N309" s="80" t="str">
        <x:v>Later US source; validate on ZVW30 before firmware use</x:v>
      </x:c>
    </x:row>
    <x:row r="310">
      <x:c r="A310" s="78" t="str">
        <x:v>Destination (America=A=65)</x:v>
      </x:c>
      <x:c r="B310" s="79" t="str">
        <x:v>Dest</x:v>
      </x:c>
      <x:c r="C310" s="79" t="str">
        <x:v>21C1</x:v>
      </x:c>
      <x:c r="D310" s="79" t="str">
        <x:v>P</x:v>
      </x:c>
      <x:c r="E310" s="79" t="n">
        <x:v>0</x:v>
      </x:c>
      <x:c r="F310" s="79" t="n">
        <x:v>0</x:v>
      </x:c>
      <x:c r="G310" s="79"/>
      <x:c r="H310" s="79" t="str">
        <x:v>7E2</x:v>
      </x:c>
      <x:c r="I310" s="79" t="str">
        <x:v>PRIUS_GEN3 / ZVW30</x:v>
      </x:c>
      <x:c r="J310" s="79" t="str">
        <x:v>ZVW30 Custom PIDs for Torque (Android App) 12Nov12.xlsx - US</x:v>
      </x:c>
      <x:c r="K310" s="79" t="str">
        <x:v>2012-11-12</x:v>
      </x:c>
      <x:c r="L310" s="79" t="str">
        <x:v>READ-ONLY DIAGNOSTIC CANDIDATE</x:v>
      </x:c>
      <x:c r="M310" s="79" t="str">
        <x:v>CANDIDATE</x:v>
      </x:c>
      <x:c r="N310" s="80" t="str">
        <x:v>Later US source; validate on ZVW30 before firmware use</x:v>
      </x:c>
    </x:row>
    <x:row r="311">
      <x:c r="A311" s="78" t="str">
        <x:v>ECU Code</x:v>
      </x:c>
      <x:c r="B311" s="79" t="str">
        <x:v>ECU Code</x:v>
      </x:c>
      <x:c r="C311" s="79" t="str">
        <x:v>21C2</x:v>
      </x:c>
      <x:c r="D311" s="79" t="str">
        <x:v>ABCDE</x:v>
      </x:c>
      <x:c r="E311" s="79" t="n">
        <x:v>0</x:v>
      </x:c>
      <x:c r="F311" s="79" t="n">
        <x:v>0</x:v>
      </x:c>
      <x:c r="G311" s="79"/>
      <x:c r="H311" s="79" t="str">
        <x:v>7E2</x:v>
      </x:c>
      <x:c r="I311" s="79" t="str">
        <x:v>PRIUS_GEN3 / ZVW30</x:v>
      </x:c>
      <x:c r="J311" s="79" t="str">
        <x:v>ZVW30 Custom PIDs for Torque (Android App) 12Nov12.xlsx - US</x:v>
      </x:c>
      <x:c r="K311" s="79" t="str">
        <x:v>2012-11-12</x:v>
      </x:c>
      <x:c r="L311" s="79" t="str">
        <x:v>READ-ONLY DIAGNOSTIC CANDIDATE</x:v>
      </x:c>
      <x:c r="M311" s="79" t="str">
        <x:v>CANDIDATE</x:v>
      </x:c>
      <x:c r="N311" s="80" t="str">
        <x:v>Later US source; validate on ZVW30 before firmware use</x:v>
      </x:c>
    </x:row>
    <x:row r="312">
      <x:c r="A312" s="78" t="str">
        <x:v>Number of Current Code</x:v>
      </x:c>
      <x:c r="B312" s="79" t="str">
        <x:v>#Curr Code</x:v>
      </x:c>
      <x:c r="C312" s="79" t="str">
        <x:v>21E1</x:v>
      </x:c>
      <x:c r="D312" s="79" t="str">
        <x:v>A</x:v>
      </x:c>
      <x:c r="E312" s="79" t="n">
        <x:v>0</x:v>
      </x:c>
      <x:c r="F312" s="79" t="n">
        <x:v>255</x:v>
      </x:c>
      <x:c r="G312" s="79"/>
      <x:c r="H312" s="79" t="str">
        <x:v>7E2</x:v>
      </x:c>
      <x:c r="I312" s="79" t="str">
        <x:v>PRIUS_GEN3 / ZVW30</x:v>
      </x:c>
      <x:c r="J312" s="79" t="str">
        <x:v>ZVW30 Custom PIDs for Torque (Android App) 12Nov12.xlsx - US</x:v>
      </x:c>
      <x:c r="K312" s="79" t="str">
        <x:v>2012-11-12</x:v>
      </x:c>
      <x:c r="L312" s="79" t="str">
        <x:v>READ-ONLY DIAGNOSTIC CANDIDATE</x:v>
      </x:c>
      <x:c r="M312" s="79" t="str">
        <x:v>CANDIDATE</x:v>
      </x:c>
      <x:c r="N312" s="80" t="str">
        <x:v>Later US source; validate on ZVW30 before firmware use</x:v>
      </x:c>
    </x:row>
    <x:row r="313">
      <x:c r="A313" s="81" t="str">
        <x:v>Number of History Code</x:v>
      </x:c>
      <x:c r="B313" s="82" t="str">
        <x:v>#Hist Code</x:v>
      </x:c>
      <x:c r="C313" s="82" t="str">
        <x:v>21E1</x:v>
      </x:c>
      <x:c r="D313" s="82" t="str">
        <x:v>B</x:v>
      </x:c>
      <x:c r="E313" s="82" t="n">
        <x:v>0</x:v>
      </x:c>
      <x:c r="F313" s="82" t="n">
        <x:v>255</x:v>
      </x:c>
      <x:c r="G313" s="82"/>
      <x:c r="H313" s="82" t="str">
        <x:v>7E2</x:v>
      </x:c>
      <x:c r="I313" s="82" t="str">
        <x:v>PRIUS_GEN3 / ZVW30</x:v>
      </x:c>
      <x:c r="J313" s="82" t="str">
        <x:v>ZVW30 Custom PIDs for Torque (Android App) 12Nov12.xlsx - US</x:v>
      </x:c>
      <x:c r="K313" s="82" t="str">
        <x:v>2012-11-12</x:v>
      </x:c>
      <x:c r="L313" s="82" t="str">
        <x:v>READ-ONLY DIAGNOSTIC CANDIDATE</x:v>
      </x:c>
      <x:c r="M313" s="82" t="str">
        <x:v>CANDIDATE</x:v>
      </x:c>
      <x:c r="N313" s="83" t="str">
        <x:v>Later US source; validate on ZVW30 before firmware use</x:v>
      </x:c>
    </x:row>
  </x:sheetData>
  <x:pageMargins left="0.7" right="0.7" top="0.75" bottom="0.75" header="0.3" footer="0.3"/>
  <x:tableParts count="1">
    <x:tablePart xmlns:r="http://schemas.openxmlformats.org/officeDocument/2006/relationships" r:id="R0ec5754838554b0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PHV Battery Power</x:v>
      </x:c>
      <x:c r="B2" s="79" t="str">
        <x:v>PHV Bat Pwr</x:v>
      </x:c>
      <x:c r="C2" s="79" t="str"/>
      <x:c r="D2" s="79" t="str">
        <x:v>VAL{Power Resource VB} * VAL{Power Resource IB} 0.001341022089595</x:v>
      </x:c>
      <x:c r="E2" s="79" t="str">
        <x:v>-60</x:v>
      </x:c>
      <x:c r="F2" s="79" t="str">
        <x:v>60</x:v>
      </x:c>
      <x:c r="G2" s="79" t="str">
        <x:v>hp</x:v>
      </x:c>
      <x:c r="H2" s="79" t="str"/>
      <x:c r="I2" s="79" t="str">
        <x:v>PRIUS_PHV_GEN1 / ZVW35</x:v>
      </x:c>
      <x:c r="J2" s="79" t="str">
        <x:v>PiP Adv (US).csv</x:v>
      </x:c>
      <x:c r="K2" s="79" t="str">
        <x:v>2013-01-22</x:v>
      </x:c>
      <x:c r="L2" s="79" t="str">
        <x:v>DERIVED / NO REQUEST</x:v>
      </x:c>
      <x:c r="M2" s="79" t="str">
        <x:v>CANDIDATE</x:v>
      </x:c>
      <x:c r="N2" s="80" t="str">
        <x:v>Advanced PHV source; never merge unchanged into ordinary Gen 3</x:v>
      </x:c>
    </x:row>
    <x:row r="3">
      <x:c r="A3" s="78" t="str">
        <x:v>Gas Engine Power</x:v>
      </x:c>
      <x:c r="B3" s="79" t="str">
        <x:v>ICE Power</x:v>
      </x:c>
      <x:c r="C3" s="79" t="str"/>
      <x:c r="D3" s="79" t="str">
        <x:v>VAL{Actual Engine Torque} * VAL{Engine Speed_7E0} / 5252</x:v>
      </x:c>
      <x:c r="E3" s="79" t="str">
        <x:v>0</x:v>
      </x:c>
      <x:c r="F3" s="79" t="str">
        <x:v>100</x:v>
      </x:c>
      <x:c r="G3" s="79" t="str">
        <x:v>hp</x:v>
      </x:c>
      <x:c r="H3" s="79" t="str"/>
      <x:c r="I3" s="79" t="str">
        <x:v>PRIUS_PHV_GEN1 / ZVW35</x:v>
      </x:c>
      <x:c r="J3" s="79" t="str">
        <x:v>PiP Adv (US).csv</x:v>
      </x:c>
      <x:c r="K3" s="79" t="str">
        <x:v>2013-01-22</x:v>
      </x:c>
      <x:c r="L3" s="79" t="str">
        <x:v>DERIVED / NO REQUEST</x:v>
      </x:c>
      <x:c r="M3" s="79" t="str">
        <x:v>CANDIDATE</x:v>
      </x:c>
      <x:c r="N3" s="80" t="str">
        <x:v>Advanced PHV source; never merge unchanged into ordinary Gen 3</x:v>
      </x:c>
    </x:row>
    <x:row r="4">
      <x:c r="A4" s="78" t="str">
        <x:v>MG1 Power</x:v>
      </x:c>
      <x:c r="B4" s="79" t="str">
        <x:v>MG1 Power</x:v>
      </x:c>
      <x:c r="C4" s="79" t="str"/>
      <x:c r="D4" s="79" t="str">
        <x:v>VAL{MG1 torque} * VAL{MG1 revolution} / 5252</x:v>
      </x:c>
      <x:c r="E4" s="79" t="str">
        <x:v>0</x:v>
      </x:c>
      <x:c r="F4" s="79" t="str">
        <x:v>100</x:v>
      </x:c>
      <x:c r="G4" s="79" t="str">
        <x:v>hp</x:v>
      </x:c>
      <x:c r="H4" s="79" t="str"/>
      <x:c r="I4" s="79" t="str">
        <x:v>PRIUS_PHV_GEN1 / ZVW35</x:v>
      </x:c>
      <x:c r="J4" s="79" t="str">
        <x:v>PiP Adv (US).csv</x:v>
      </x:c>
      <x:c r="K4" s="79" t="str">
        <x:v>2013-01-22</x:v>
      </x:c>
      <x:c r="L4" s="79" t="str">
        <x:v>DERIVED / NO REQUEST</x:v>
      </x:c>
      <x:c r="M4" s="79" t="str">
        <x:v>CANDIDATE</x:v>
      </x:c>
      <x:c r="N4" s="80" t="str">
        <x:v>Advanced PHV source; never merge unchanged into ordinary Gen 3</x:v>
      </x:c>
    </x:row>
    <x:row r="5">
      <x:c r="A5" s="78" t="str">
        <x:v>MG2 Power</x:v>
      </x:c>
      <x:c r="B5" s="79" t="str">
        <x:v>MG2 Power</x:v>
      </x:c>
      <x:c r="C5" s="79" t="str"/>
      <x:c r="D5" s="79" t="str">
        <x:v>VAL{MG2 torque} * VAL{MG2 revolution} / 5252</x:v>
      </x:c>
      <x:c r="E5" s="79" t="str">
        <x:v>0</x:v>
      </x:c>
      <x:c r="F5" s="79" t="str">
        <x:v>100</x:v>
      </x:c>
      <x:c r="G5" s="79" t="str">
        <x:v>hp</x:v>
      </x:c>
      <x:c r="H5" s="79" t="str"/>
      <x:c r="I5" s="79" t="str">
        <x:v>PRIUS_PHV_GEN1 / ZVW35</x:v>
      </x:c>
      <x:c r="J5" s="79" t="str">
        <x:v>PiP Adv (US).csv</x:v>
      </x:c>
      <x:c r="K5" s="79" t="str">
        <x:v>2013-01-22</x:v>
      </x:c>
      <x:c r="L5" s="79" t="str">
        <x:v>DERIVED / NO REQUEST</x:v>
      </x:c>
      <x:c r="M5" s="79" t="str">
        <x:v>CANDIDATE</x:v>
      </x:c>
      <x:c r="N5" s="80" t="str">
        <x:v>Advanced PHV source; never merge unchanged into ordinary Gen 3</x:v>
      </x:c>
    </x:row>
    <x:row r="6">
      <x:c r="A6" s="78" t="str">
        <x:v>FR Wheel Speed</x:v>
      </x:c>
      <x:c r="B6" s="79" t="str">
        <x:v>FR WS</x:v>
      </x:c>
      <x:c r="C6" s="79" t="str">
        <x:v>2103</x:v>
      </x:c>
      <x:c r="D6" s="79" t="str">
        <x:v>A * 32 / 25 * 15625 / 25146</x:v>
      </x:c>
      <x:c r="E6" s="79" t="str">
        <x:v>0</x:v>
      </x:c>
      <x:c r="F6" s="79" t="str">
        <x:v>120</x:v>
      </x:c>
      <x:c r="G6" s="79" t="str">
        <x:v>mph</x:v>
      </x:c>
      <x:c r="H6" s="79" t="str">
        <x:v>7B0</x:v>
      </x:c>
      <x:c r="I6" s="79" t="str">
        <x:v>PRIUS_PHV_GEN1 / ZVW35</x:v>
      </x:c>
      <x:c r="J6" s="79" t="str">
        <x:v>PiP Adv (US).csv</x:v>
      </x:c>
      <x:c r="K6" s="79" t="str">
        <x:v>2013-01-22</x:v>
      </x:c>
      <x:c r="L6" s="79" t="str">
        <x:v>READ-ONLY DIAGNOSTIC CANDIDATE</x:v>
      </x:c>
      <x:c r="M6" s="79" t="str">
        <x:v>CANDIDATE</x:v>
      </x:c>
      <x:c r="N6" s="80" t="str">
        <x:v>Advanced PHV source; never merge unchanged into ordinary Gen 3</x:v>
      </x:c>
    </x:row>
    <x:row r="7">
      <x:c r="A7" s="78" t="str">
        <x:v>FL Wheel Speed</x:v>
      </x:c>
      <x:c r="B7" s="79" t="str">
        <x:v>FL WS</x:v>
      </x:c>
      <x:c r="C7" s="79" t="str">
        <x:v>2103</x:v>
      </x:c>
      <x:c r="D7" s="79" t="str">
        <x:v>B * 32 / 25 * 15625 / 25146</x:v>
      </x:c>
      <x:c r="E7" s="79" t="str">
        <x:v>0</x:v>
      </x:c>
      <x:c r="F7" s="79" t="str">
        <x:v>120</x:v>
      </x:c>
      <x:c r="G7" s="79" t="str">
        <x:v>mph</x:v>
      </x:c>
      <x:c r="H7" s="79" t="str">
        <x:v>7B0</x:v>
      </x:c>
      <x:c r="I7" s="79" t="str">
        <x:v>PRIUS_PHV_GEN1 / ZVW35</x:v>
      </x:c>
      <x:c r="J7" s="79" t="str">
        <x:v>PiP Adv (US).csv</x:v>
      </x:c>
      <x:c r="K7" s="79" t="str">
        <x:v>2013-01-22</x:v>
      </x:c>
      <x:c r="L7" s="79" t="str">
        <x:v>READ-ONLY DIAGNOSTIC CANDIDATE</x:v>
      </x:c>
      <x:c r="M7" s="79" t="str">
        <x:v>CANDIDATE</x:v>
      </x:c>
      <x:c r="N7" s="80" t="str">
        <x:v>Advanced PHV source; never merge unchanged into ordinary Gen 3</x:v>
      </x:c>
    </x:row>
    <x:row r="8">
      <x:c r="A8" s="78" t="str">
        <x:v>RR Wheel Speed</x:v>
      </x:c>
      <x:c r="B8" s="79" t="str">
        <x:v>RR WS</x:v>
      </x:c>
      <x:c r="C8" s="79" t="str">
        <x:v>2103</x:v>
      </x:c>
      <x:c r="D8" s="79" t="str">
        <x:v>C * 32 / 25 * 15625 / 25146</x:v>
      </x:c>
      <x:c r="E8" s="79" t="str">
        <x:v>0</x:v>
      </x:c>
      <x:c r="F8" s="79" t="str">
        <x:v>120</x:v>
      </x:c>
      <x:c r="G8" s="79" t="str">
        <x:v>mph</x:v>
      </x:c>
      <x:c r="H8" s="79" t="str">
        <x:v>7B0</x:v>
      </x:c>
      <x:c r="I8" s="79" t="str">
        <x:v>PRIUS_PHV_GEN1 / ZVW35</x:v>
      </x:c>
      <x:c r="J8" s="79" t="str">
        <x:v>PiP Adv (US).csv</x:v>
      </x:c>
      <x:c r="K8" s="79" t="str">
        <x:v>2013-01-22</x:v>
      </x:c>
      <x:c r="L8" s="79" t="str">
        <x:v>READ-ONLY DIAGNOSTIC CANDIDATE</x:v>
      </x:c>
      <x:c r="M8" s="79" t="str">
        <x:v>CANDIDATE</x:v>
      </x:c>
      <x:c r="N8" s="80" t="str">
        <x:v>Advanced PHV source; never merge unchanged into ordinary Gen 3</x:v>
      </x:c>
    </x:row>
    <x:row r="9">
      <x:c r="A9" s="78" t="str">
        <x:v>RL Wheel Speed</x:v>
      </x:c>
      <x:c r="B9" s="79" t="str">
        <x:v>RL WS</x:v>
      </x:c>
      <x:c r="C9" s="79" t="str">
        <x:v>2103</x:v>
      </x:c>
      <x:c r="D9" s="79" t="str">
        <x:v>D * 32 / 25 * 15625 / 25146</x:v>
      </x:c>
      <x:c r="E9" s="79" t="str">
        <x:v>0</x:v>
      </x:c>
      <x:c r="F9" s="79" t="str">
        <x:v>120</x:v>
      </x:c>
      <x:c r="G9" s="79" t="str">
        <x:v>mph</x:v>
      </x:c>
      <x:c r="H9" s="79" t="str">
        <x:v>7B0</x:v>
      </x:c>
      <x:c r="I9" s="79" t="str">
        <x:v>PRIUS_PHV_GEN1 / ZVW35</x:v>
      </x:c>
      <x:c r="J9" s="79" t="str">
        <x:v>PiP Adv (US).csv</x:v>
      </x:c>
      <x:c r="K9" s="79" t="str">
        <x:v>2013-01-22</x:v>
      </x:c>
      <x:c r="L9" s="79" t="str">
        <x:v>READ-ONLY DIAGNOSTIC CANDIDATE</x:v>
      </x:c>
      <x:c r="M9" s="79" t="str">
        <x:v>CANDIDATE</x:v>
      </x:c>
      <x:c r="N9" s="80" t="str">
        <x:v>Advanced PHV source; never merge unchanged into ordinary Gen 3</x:v>
      </x:c>
    </x:row>
    <x:row r="10">
      <x:c r="A10" s="78" t="str">
        <x:v>Deceleration Sensor</x:v>
      </x:c>
      <x:c r="B10" s="79" t="str">
        <x:v>DecelSen</x:v>
      </x:c>
      <x:c r="C10" s="79" t="str">
        <x:v>2105</x:v>
      </x:c>
      <x:c r="D10" s="79" t="str">
        <x:v>A * 36.36 / 255 - 18.18</x:v>
      </x:c>
      <x:c r="E10" s="79" t="str">
        <x:v>-18.18</x:v>
      </x:c>
      <x:c r="F10" s="79" t="str">
        <x:v>18.18</x:v>
      </x:c>
      <x:c r="G10" s="79" t="str">
        <x:v>m/s2</x:v>
      </x:c>
      <x:c r="H10" s="79" t="str">
        <x:v>7B0</x:v>
      </x:c>
      <x:c r="I10" s="79" t="str">
        <x:v>PRIUS_PHV_GEN1 / ZVW35</x:v>
      </x:c>
      <x:c r="J10" s="79" t="str">
        <x:v>PiP Adv (US).csv</x:v>
      </x:c>
      <x:c r="K10" s="79" t="str">
        <x:v>2013-01-22</x:v>
      </x:c>
      <x:c r="L10" s="79" t="str">
        <x:v>READ-ONLY DIAGNOSTIC CANDIDATE</x:v>
      </x:c>
      <x:c r="M10" s="79" t="str">
        <x:v>CANDIDATE</x:v>
      </x:c>
      <x:c r="N10" s="80" t="str">
        <x:v>Advanced PHV source; never merge unchanged into ordinary Gen 3</x:v>
      </x:c>
    </x:row>
    <x:row r="11">
      <x:c r="A11" s="78" t="str">
        <x:v>Deceleration Sensor2</x:v>
      </x:c>
      <x:c r="B11" s="79" t="str">
        <x:v>DecelSen2</x:v>
      </x:c>
      <x:c r="C11" s="79" t="str">
        <x:v>2105</x:v>
      </x:c>
      <x:c r="D11" s="79" t="str">
        <x:v>B * 36.36 / 255 - 18.18</x:v>
      </x:c>
      <x:c r="E11" s="79" t="str">
        <x:v>-18.18</x:v>
      </x:c>
      <x:c r="F11" s="79" t="str">
        <x:v>18.18</x:v>
      </x:c>
      <x:c r="G11" s="79" t="str">
        <x:v>m/s2</x:v>
      </x:c>
      <x:c r="H11" s="79" t="str">
        <x:v>7B0</x:v>
      </x:c>
      <x:c r="I11" s="79" t="str">
        <x:v>PRIUS_PHV_GEN1 / ZVW35</x:v>
      </x:c>
      <x:c r="J11" s="79" t="str">
        <x:v>PiP Adv (US).csv</x:v>
      </x:c>
      <x:c r="K11" s="79" t="str">
        <x:v>2013-01-22</x:v>
      </x:c>
      <x:c r="L11" s="79" t="str">
        <x:v>READ-ONLY DIAGNOSTIC CANDIDATE</x:v>
      </x:c>
      <x:c r="M11" s="79" t="str">
        <x:v>CANDIDATE</x:v>
      </x:c>
      <x:c r="N11" s="80" t="str">
        <x:v>Advanced PHV source; never merge unchanged into ordinary Gen 3</x:v>
      </x:c>
    </x:row>
    <x:row r="12">
      <x:c r="A12" s="78" t="str">
        <x:v>Yaw Rate Sensor</x:v>
      </x:c>
      <x:c r="B12" s="79" t="str">
        <x:v>YR1</x:v>
      </x:c>
      <x:c r="C12" s="79" t="str">
        <x:v>2106</x:v>
      </x:c>
      <x:c r="D12" s="79" t="str">
        <x:v>A - 128</x:v>
      </x:c>
      <x:c r="E12" s="79" t="str">
        <x:v>-128</x:v>
      </x:c>
      <x:c r="F12" s="79" t="str">
        <x:v>127</x:v>
      </x:c>
      <x:c r="G12" s="79" t="str">
        <x:v>degrees/s</x:v>
      </x:c>
      <x:c r="H12" s="79" t="str">
        <x:v>7B0</x:v>
      </x:c>
      <x:c r="I12" s="79" t="str">
        <x:v>PRIUS_PHV_GEN1 / ZVW35</x:v>
      </x:c>
      <x:c r="J12" s="79" t="str">
        <x:v>PiP Adv (US).csv</x:v>
      </x:c>
      <x:c r="K12" s="79" t="str">
        <x:v>2013-01-22</x:v>
      </x:c>
      <x:c r="L12" s="79" t="str">
        <x:v>READ-ONLY DIAGNOSTIC CANDIDATE</x:v>
      </x:c>
      <x:c r="M12" s="79" t="str">
        <x:v>CANDIDATE</x:v>
      </x:c>
      <x:c r="N12" s="80" t="str">
        <x:v>Advanced PHV source; never merge unchanged into ordinary Gen 3</x:v>
      </x:c>
    </x:row>
    <x:row r="13">
      <x:c r="A13" s="78" t="str">
        <x:v>Yaw Rate Sensor2</x:v>
      </x:c>
      <x:c r="B13" s="79" t="str">
        <x:v>YR2</x:v>
      </x:c>
      <x:c r="C13" s="79" t="str">
        <x:v>2106</x:v>
      </x:c>
      <x:c r="D13" s="79" t="str">
        <x:v>B - 128</x:v>
      </x:c>
      <x:c r="E13" s="79" t="str">
        <x:v>-128</x:v>
      </x:c>
      <x:c r="F13" s="79" t="str">
        <x:v>127</x:v>
      </x:c>
      <x:c r="G13" s="79" t="str">
        <x:v>degrees/s</x:v>
      </x:c>
      <x:c r="H13" s="79" t="str">
        <x:v>7B0</x:v>
      </x:c>
      <x:c r="I13" s="79" t="str">
        <x:v>PRIUS_PHV_GEN1 / ZVW35</x:v>
      </x:c>
      <x:c r="J13" s="79" t="str">
        <x:v>PiP Adv (US).csv</x:v>
      </x:c>
      <x:c r="K13" s="79" t="str">
        <x:v>2013-01-22</x:v>
      </x:c>
      <x:c r="L13" s="79" t="str">
        <x:v>READ-ONLY DIAGNOSTIC CANDIDATE</x:v>
      </x:c>
      <x:c r="M13" s="79" t="str">
        <x:v>CANDIDATE</x:v>
      </x:c>
      <x:c r="N13" s="80" t="str">
        <x:v>Advanced PHV source; never merge unchanged into ordinary Gen 3</x:v>
      </x:c>
    </x:row>
    <x:row r="14">
      <x:c r="A14" s="78" t="str">
        <x:v>Steering Angle Sensor</x:v>
      </x:c>
      <x:c r="B14" s="79" t="str">
        <x:v>SteerSen</x:v>
      </x:c>
      <x:c r="C14" s="79" t="str">
        <x:v>2106</x:v>
      </x:c>
      <x:c r="D14" s="79" t="str">
        <x:v>(C * 256 + D) / 10 - 3276.8</x:v>
      </x:c>
      <x:c r="E14" s="79" t="str">
        <x:v>-720</x:v>
      </x:c>
      <x:c r="F14" s="79" t="str">
        <x:v>720</x:v>
      </x:c>
      <x:c r="G14" s="79" t="str">
        <x:v>degrees</x:v>
      </x:c>
      <x:c r="H14" s="79" t="str">
        <x:v>7B0</x:v>
      </x:c>
      <x:c r="I14" s="79" t="str">
        <x:v>PRIUS_PHV_GEN1 / ZVW35</x:v>
      </x:c>
      <x:c r="J14" s="79" t="str">
        <x:v>PiP Adv (US).csv</x:v>
      </x:c>
      <x:c r="K14" s="79" t="str">
        <x:v>2013-01-22</x:v>
      </x:c>
      <x:c r="L14" s="79" t="str">
        <x:v>READ-ONLY DIAGNOSTIC CANDIDATE</x:v>
      </x:c>
      <x:c r="M14" s="79" t="str">
        <x:v>CANDIDATE</x:v>
      </x:c>
      <x:c r="N14" s="80" t="str">
        <x:v>Advanced PHV source; never merge unchanged into ordinary Gen 3</x:v>
      </x:c>
    </x:row>
    <x:row r="15">
      <x:c r="A15" s="78" t="str">
        <x:v>Wheel Cylinder Pressure Sensor</x:v>
      </x:c>
      <x:c r="B15" s="79" t="str">
        <x:v>WC Pres</x:v>
      </x:c>
      <x:c r="C15" s="79" t="str">
        <x:v>2107</x:v>
      </x:c>
      <x:c r="D15" s="79" t="str">
        <x:v>A / 51</x:v>
      </x:c>
      <x:c r="E15" s="79" t="str">
        <x:v>0</x:v>
      </x:c>
      <x:c r="F15" s="79" t="str">
        <x:v>5</x:v>
      </x:c>
      <x:c r="G15" s="79" t="str">
        <x:v>V</x:v>
      </x:c>
      <x:c r="H15" s="79" t="str">
        <x:v>7B0</x:v>
      </x:c>
      <x:c r="I15" s="79" t="str">
        <x:v>PRIUS_PHV_GEN1 / ZVW35</x:v>
      </x:c>
      <x:c r="J15" s="79" t="str">
        <x:v>PiP Adv (US).csv</x:v>
      </x:c>
      <x:c r="K15" s="79" t="str">
        <x:v>2013-01-22</x:v>
      </x:c>
      <x:c r="L15" s="79" t="str">
        <x:v>READ-ONLY DIAGNOSTIC CANDIDATE</x:v>
      </x:c>
      <x:c r="M15" s="79" t="str">
        <x:v>CANDIDATE</x:v>
      </x:c>
      <x:c r="N15" s="80" t="str">
        <x:v>Advanced PHV source; never merge unchanged into ordinary Gen 3</x:v>
      </x:c>
    </x:row>
    <x:row r="16">
      <x:c r="A16" s="78" t="str">
        <x:v>Reservoir Warning SW</x:v>
      </x:c>
      <x:c r="B16" s="79" t="str">
        <x:v>BrkFluid</x:v>
      </x:c>
      <x:c r="C16" s="79" t="str">
        <x:v>211D</x:v>
      </x:c>
      <x:c r="D16" s="79" t="str">
        <x:v>{A:6}</x:v>
      </x:c>
      <x:c r="E16" s="79" t="str">
        <x:v>0</x:v>
      </x:c>
      <x:c r="F16" s="79" t="str">
        <x:v>1</x:v>
      </x:c>
      <x:c r="G16" s="79" t="str">
        <x:v>Off/On</x:v>
      </x:c>
      <x:c r="H16" s="79" t="str">
        <x:v>7B0</x:v>
      </x:c>
      <x:c r="I16" s="79" t="str">
        <x:v>PRIUS_PHV_GEN1 / ZVW35</x:v>
      </x:c>
      <x:c r="J16" s="79" t="str">
        <x:v>PiP Adv (US).csv</x:v>
      </x:c>
      <x:c r="K16" s="79" t="str">
        <x:v>2013-01-22</x:v>
      </x:c>
      <x:c r="L16" s="79" t="str">
        <x:v>READ-ONLY DIAGNOSTIC CANDIDATE</x:v>
      </x:c>
      <x:c r="M16" s="79" t="str">
        <x:v>CANDIDATE</x:v>
      </x:c>
      <x:c r="N16" s="80" t="str">
        <x:v>Advanced PHV source; never merge unchanged into ordinary Gen 3</x:v>
      </x:c>
    </x:row>
    <x:row r="17">
      <x:c r="A17" s="78" t="str">
        <x:v>Main Idle SW</x:v>
      </x:c>
      <x:c r="B17" s="79" t="str">
        <x:v>IdleSW</x:v>
      </x:c>
      <x:c r="C17" s="79" t="str">
        <x:v>211D</x:v>
      </x:c>
      <x:c r="D17" s="79" t="str">
        <x:v>{A:5}</x:v>
      </x:c>
      <x:c r="E17" s="79" t="str">
        <x:v>0</x:v>
      </x:c>
      <x:c r="F17" s="79" t="str">
        <x:v>1</x:v>
      </x:c>
      <x:c r="G17" s="79" t="str">
        <x:v>Off/On</x:v>
      </x:c>
      <x:c r="H17" s="79" t="str">
        <x:v>7B0</x:v>
      </x:c>
      <x:c r="I17" s="79" t="str">
        <x:v>PRIUS_PHV_GEN1 / ZVW35</x:v>
      </x:c>
      <x:c r="J17" s="79" t="str">
        <x:v>PiP Adv (US).csv</x:v>
      </x:c>
      <x:c r="K17" s="79" t="str">
        <x:v>2013-01-22</x:v>
      </x:c>
      <x:c r="L17" s="79" t="str">
        <x:v>READ-ONLY DIAGNOSTIC CANDIDATE</x:v>
      </x:c>
      <x:c r="M17" s="79" t="str">
        <x:v>CANDIDATE</x:v>
      </x:c>
      <x:c r="N17" s="80" t="str">
        <x:v>Advanced PHV source; never merge unchanged into ordinary Gen 3</x:v>
      </x:c>
    </x:row>
    <x:row r="18">
      <x:c r="A18" s="78" t="str">
        <x:v>Stop Light SW</x:v>
      </x:c>
      <x:c r="B18" s="79" t="str">
        <x:v>StpSW</x:v>
      </x:c>
      <x:c r="C18" s="79" t="str">
        <x:v>211F</x:v>
      </x:c>
      <x:c r="D18" s="79" t="str">
        <x:v>{A:7}</x:v>
      </x:c>
      <x:c r="E18" s="79" t="str">
        <x:v>0</x:v>
      </x:c>
      <x:c r="F18" s="79" t="str">
        <x:v>1</x:v>
      </x:c>
      <x:c r="G18" s="79" t="str">
        <x:v>Off/On</x:v>
      </x:c>
      <x:c r="H18" s="79" t="str">
        <x:v>7B0</x:v>
      </x:c>
      <x:c r="I18" s="79" t="str">
        <x:v>PRIUS_PHV_GEN1 / ZVW35</x:v>
      </x:c>
      <x:c r="J18" s="79" t="str">
        <x:v>PiP Adv (US).csv</x:v>
      </x:c>
      <x:c r="K18" s="79" t="str">
        <x:v>2013-01-22</x:v>
      </x:c>
      <x:c r="L18" s="79" t="str">
        <x:v>READ-ONLY DIAGNOSTIC CANDIDATE</x:v>
      </x:c>
      <x:c r="M18" s="79" t="str">
        <x:v>CANDIDATE</x:v>
      </x:c>
      <x:c r="N18" s="80" t="str">
        <x:v>Advanced PHV source; never merge unchanged into ordinary Gen 3</x:v>
      </x:c>
    </x:row>
    <x:row r="19">
      <x:c r="A19" s="78" t="str">
        <x:v>Parking Brake SW</x:v>
      </x:c>
      <x:c r="B19" s="79" t="str">
        <x:v>PKBSW</x:v>
      </x:c>
      <x:c r="C19" s="79" t="str">
        <x:v>211F</x:v>
      </x:c>
      <x:c r="D19" s="79" t="str">
        <x:v>{A:6}</x:v>
      </x:c>
      <x:c r="E19" s="79" t="str">
        <x:v>0</x:v>
      </x:c>
      <x:c r="F19" s="79" t="str">
        <x:v>1</x:v>
      </x:c>
      <x:c r="G19" s="79" t="str">
        <x:v>Off/On</x:v>
      </x:c>
      <x:c r="H19" s="79" t="str">
        <x:v>7B0</x:v>
      </x:c>
      <x:c r="I19" s="79" t="str">
        <x:v>PRIUS_PHV_GEN1 / ZVW35</x:v>
      </x:c>
      <x:c r="J19" s="79" t="str">
        <x:v>PiP Adv (US).csv</x:v>
      </x:c>
      <x:c r="K19" s="79" t="str">
        <x:v>2013-01-22</x:v>
      </x:c>
      <x:c r="L19" s="79" t="str">
        <x:v>READ-ONLY DIAGNOSTIC CANDIDATE</x:v>
      </x:c>
      <x:c r="M19" s="79" t="str">
        <x:v>CANDIDATE</x:v>
      </x:c>
      <x:c r="N19" s="80" t="str">
        <x:v>Advanced PHV source; never merge unchanged into ordinary Gen 3</x:v>
      </x:c>
    </x:row>
    <x:row r="20">
      <x:c r="A20" s="78" t="str">
        <x:v>Vehicle Speed_7B0</x:v>
      </x:c>
      <x:c r="B20" s="79" t="str">
        <x:v>MPH_7B0</x:v>
      </x:c>
      <x:c r="C20" s="79" t="str">
        <x:v>2121</x:v>
      </x:c>
      <x:c r="D20" s="79" t="str">
        <x:v>A * 202 / 255</x:v>
      </x:c>
      <x:c r="E20" s="79" t="str">
        <x:v>0</x:v>
      </x:c>
      <x:c r="F20" s="79" t="str">
        <x:v>120</x:v>
      </x:c>
      <x:c r="G20" s="79" t="str">
        <x:v>mph</x:v>
      </x:c>
      <x:c r="H20" s="79" t="str">
        <x:v>7B0</x:v>
      </x:c>
      <x:c r="I20" s="79" t="str">
        <x:v>PRIUS_PHV_GEN1 / ZVW35</x:v>
      </x:c>
      <x:c r="J20" s="79" t="str">
        <x:v>PiP Adv (US).csv</x:v>
      </x:c>
      <x:c r="K20" s="79" t="str">
        <x:v>2013-01-22</x:v>
      </x:c>
      <x:c r="L20" s="79" t="str">
        <x:v>READ-ONLY DIAGNOSTIC CANDIDATE</x:v>
      </x:c>
      <x:c r="M20" s="79" t="str">
        <x:v>CANDIDATE</x:v>
      </x:c>
      <x:c r="N20" s="80" t="str">
        <x:v>Advanced PHV source; never merge unchanged into ordinary Gen 3</x:v>
      </x:c>
    </x:row>
    <x:row r="21">
      <x:c r="A21" s="78" t="str">
        <x:v>Stop Light Relay Output</x:v>
      </x:c>
      <x:c r="B21" s="79" t="str">
        <x:v>StpRelay</x:v>
      </x:c>
      <x:c r="C21" s="79" t="str">
        <x:v>213C</x:v>
      </x:c>
      <x:c r="D21" s="79" t="str">
        <x:v>{A:7}</x:v>
      </x:c>
      <x:c r="E21" s="79" t="str">
        <x:v>0</x:v>
      </x:c>
      <x:c r="F21" s="79" t="str">
        <x:v>1</x:v>
      </x:c>
      <x:c r="G21" s="79" t="str">
        <x:v>Off/On</x:v>
      </x:c>
      <x:c r="H21" s="79" t="str">
        <x:v>7B0</x:v>
      </x:c>
      <x:c r="I21" s="79" t="str">
        <x:v>PRIUS_PHV_GEN1 / ZVW35</x:v>
      </x:c>
      <x:c r="J21" s="79" t="str">
        <x:v>PiP Adv (US).csv</x:v>
      </x:c>
      <x:c r="K21" s="79" t="str">
        <x:v>2013-01-22</x:v>
      </x:c>
      <x:c r="L21" s="79" t="str">
        <x:v>READ-ONLY DIAGNOSTIC CANDIDATE</x:v>
      </x:c>
      <x:c r="M21" s="79" t="str">
        <x:v>CANDIDATE</x:v>
      </x:c>
      <x:c r="N21" s="80" t="str">
        <x:v>Advanced PHV source; never merge unchanged into ordinary Gen 3</x:v>
      </x:c>
    </x:row>
    <x:row r="22">
      <x:c r="A22" s="78" t="str">
        <x:v>ABS Warning Light</x:v>
      </x:c>
      <x:c r="B22" s="79" t="str">
        <x:v>ABS</x:v>
      </x:c>
      <x:c r="C22" s="79" t="str">
        <x:v>213D</x:v>
      </x:c>
      <x:c r="D22" s="79" t="str">
        <x:v>{A:7}</x:v>
      </x:c>
      <x:c r="E22" s="79" t="str">
        <x:v>0</x:v>
      </x:c>
      <x:c r="F22" s="79" t="str">
        <x:v>1</x:v>
      </x:c>
      <x:c r="G22" s="79" t="str">
        <x:v>Off/On</x:v>
      </x:c>
      <x:c r="H22" s="79" t="str">
        <x:v>7B0</x:v>
      </x:c>
      <x:c r="I22" s="79" t="str">
        <x:v>PRIUS_PHV_GEN1 / ZVW35</x:v>
      </x:c>
      <x:c r="J22" s="79" t="str">
        <x:v>PiP Adv (US).csv</x:v>
      </x:c>
      <x:c r="K22" s="79" t="str">
        <x:v>2013-01-22</x:v>
      </x:c>
      <x:c r="L22" s="79" t="str">
        <x:v>READ-ONLY DIAGNOSTIC CANDIDATE</x:v>
      </x:c>
      <x:c r="M22" s="79" t="str">
        <x:v>CANDIDATE</x:v>
      </x:c>
      <x:c r="N22" s="80" t="str">
        <x:v>Advanced PHV source; never merge unchanged into ordinary Gen 3</x:v>
      </x:c>
    </x:row>
    <x:row r="23">
      <x:c r="A23" s="78" t="str">
        <x:v>Brake Warning Light</x:v>
      </x:c>
      <x:c r="B23" s="79" t="str">
        <x:v>BrkWarn</x:v>
      </x:c>
      <x:c r="C23" s="79" t="str">
        <x:v>213D</x:v>
      </x:c>
      <x:c r="D23" s="79" t="str">
        <x:v>{A:6}</x:v>
      </x:c>
      <x:c r="E23" s="79" t="str">
        <x:v>0</x:v>
      </x:c>
      <x:c r="F23" s="79" t="str">
        <x:v>1</x:v>
      </x:c>
      <x:c r="G23" s="79" t="str">
        <x:v>Off/On</x:v>
      </x:c>
      <x:c r="H23" s="79" t="str">
        <x:v>7B0</x:v>
      </x:c>
      <x:c r="I23" s="79" t="str">
        <x:v>PRIUS_PHV_GEN1 / ZVW35</x:v>
      </x:c>
      <x:c r="J23" s="79" t="str">
        <x:v>PiP Adv (US).csv</x:v>
      </x:c>
      <x:c r="K23" s="79" t="str">
        <x:v>2013-01-22</x:v>
      </x:c>
      <x:c r="L23" s="79" t="str">
        <x:v>READ-ONLY DIAGNOSTIC CANDIDATE</x:v>
      </x:c>
      <x:c r="M23" s="79" t="str">
        <x:v>CANDIDATE</x:v>
      </x:c>
      <x:c r="N23" s="80" t="str">
        <x:v>Advanced PHV source; never merge unchanged into ordinary Gen 3</x:v>
      </x:c>
    </x:row>
    <x:row r="24">
      <x:c r="A24" s="78" t="str">
        <x:v>Slip Indicator Light</x:v>
      </x:c>
      <x:c r="B24" s="79" t="str">
        <x:v>Slip</x:v>
      </x:c>
      <x:c r="C24" s="79" t="str">
        <x:v>213D</x:v>
      </x:c>
      <x:c r="D24" s="79" t="str">
        <x:v>{A:5}</x:v>
      </x:c>
      <x:c r="E24" s="79" t="str">
        <x:v>0</x:v>
      </x:c>
      <x:c r="F24" s="79" t="str">
        <x:v>1</x:v>
      </x:c>
      <x:c r="G24" s="79" t="str">
        <x:v>Off/On</x:v>
      </x:c>
      <x:c r="H24" s="79" t="str">
        <x:v>7B0</x:v>
      </x:c>
      <x:c r="I24" s="79" t="str">
        <x:v>PRIUS_PHV_GEN1 / ZVW35</x:v>
      </x:c>
      <x:c r="J24" s="79" t="str">
        <x:v>PiP Adv (US).csv</x:v>
      </x:c>
      <x:c r="K24" s="79" t="str">
        <x:v>2013-01-22</x:v>
      </x:c>
      <x:c r="L24" s="79" t="str">
        <x:v>READ-ONLY DIAGNOSTIC CANDIDATE</x:v>
      </x:c>
      <x:c r="M24" s="79" t="str">
        <x:v>CANDIDATE</x:v>
      </x:c>
      <x:c r="N24" s="80" t="str">
        <x:v>Advanced PHV source; never merge unchanged into ordinary Gen 3</x:v>
      </x:c>
    </x:row>
    <x:row r="25">
      <x:c r="A25" s="78" t="str">
        <x:v>Buzzer</x:v>
      </x:c>
      <x:c r="B25" s="79" t="str">
        <x:v>Buzzer</x:v>
      </x:c>
      <x:c r="C25" s="79" t="str">
        <x:v>213D</x:v>
      </x:c>
      <x:c r="D25" s="79" t="str">
        <x:v>{A:4}</x:v>
      </x:c>
      <x:c r="E25" s="79" t="str">
        <x:v>0</x:v>
      </x:c>
      <x:c r="F25" s="79" t="str">
        <x:v>1</x:v>
      </x:c>
      <x:c r="G25" s="79" t="str">
        <x:v>Off/On</x:v>
      </x:c>
      <x:c r="H25" s="79" t="str">
        <x:v>7B0</x:v>
      </x:c>
      <x:c r="I25" s="79" t="str">
        <x:v>PRIUS_PHV_GEN1 / ZVW35</x:v>
      </x:c>
      <x:c r="J25" s="79" t="str">
        <x:v>PiP Adv (US).csv</x:v>
      </x:c>
      <x:c r="K25" s="79" t="str">
        <x:v>2013-01-22</x:v>
      </x:c>
      <x:c r="L25" s="79" t="str">
        <x:v>READ-ONLY DIAGNOSTIC CANDIDATE</x:v>
      </x:c>
      <x:c r="M25" s="79" t="str">
        <x:v>CANDIDATE</x:v>
      </x:c>
      <x:c r="N25" s="80" t="str">
        <x:v>Advanced PHV source; never merge unchanged into ordinary Gen 3</x:v>
      </x:c>
    </x:row>
    <x:row r="26">
      <x:c r="A26" s="78" t="str">
        <x:v>ECB Warning Light</x:v>
      </x:c>
      <x:c r="B26" s="79" t="str">
        <x:v>ECB</x:v>
      </x:c>
      <x:c r="C26" s="79" t="str">
        <x:v>213D</x:v>
      </x:c>
      <x:c r="D26" s="79" t="str">
        <x:v>{A:1}</x:v>
      </x:c>
      <x:c r="E26" s="79" t="str">
        <x:v>0</x:v>
      </x:c>
      <x:c r="F26" s="79" t="str">
        <x:v>1</x:v>
      </x:c>
      <x:c r="G26" s="79" t="str">
        <x:v>Off/On</x:v>
      </x:c>
      <x:c r="H26" s="79" t="str">
        <x:v>7B0</x:v>
      </x:c>
      <x:c r="I26" s="79" t="str">
        <x:v>PRIUS_PHV_GEN1 / ZVW35</x:v>
      </x:c>
      <x:c r="J26" s="79" t="str">
        <x:v>PiP Adv (US).csv</x:v>
      </x:c>
      <x:c r="K26" s="79" t="str">
        <x:v>2013-01-22</x:v>
      </x:c>
      <x:c r="L26" s="79" t="str">
        <x:v>READ-ONLY DIAGNOSTIC CANDIDATE</x:v>
      </x:c>
      <x:c r="M26" s="79" t="str">
        <x:v>CANDIDATE</x:v>
      </x:c>
      <x:c r="N26" s="80" t="str">
        <x:v>Advanced PHV source; never merge unchanged into ordinary Gen 3</x:v>
      </x:c>
    </x:row>
    <x:row r="27">
      <x:c r="A27" s="78" t="str">
        <x:v>FR Wheel Acceleration</x:v>
      </x:c>
      <x:c r="B27" s="79" t="str">
        <x:v>FR WA</x:v>
      </x:c>
      <x:c r="C27" s="79" t="str">
        <x:v>2142</x:v>
      </x:c>
      <x:c r="D27" s="79" t="str">
        <x:v>A * 400.11 / 255 - 200.84</x:v>
      </x:c>
      <x:c r="E27" s="79" t="str">
        <x:v>-200.84</x:v>
      </x:c>
      <x:c r="F27" s="79" t="str">
        <x:v>199.27</x:v>
      </x:c>
      <x:c r="G27" s="79" t="str">
        <x:v>m/s2</x:v>
      </x:c>
      <x:c r="H27" s="79" t="str">
        <x:v>7B0</x:v>
      </x:c>
      <x:c r="I27" s="79" t="str">
        <x:v>PRIUS_PHV_GEN1 / ZVW35</x:v>
      </x:c>
      <x:c r="J27" s="79" t="str">
        <x:v>PiP Adv (US).csv</x:v>
      </x:c>
      <x:c r="K27" s="79" t="str">
        <x:v>2013-01-22</x:v>
      </x:c>
      <x:c r="L27" s="79" t="str">
        <x:v>READ-ONLY DIAGNOSTIC CANDIDATE</x:v>
      </x:c>
      <x:c r="M27" s="79" t="str">
        <x:v>CANDIDATE</x:v>
      </x:c>
      <x:c r="N27" s="80" t="str">
        <x:v>Advanced PHV source; never merge unchanged into ordinary Gen 3</x:v>
      </x:c>
    </x:row>
    <x:row r="28">
      <x:c r="A28" s="78" t="str">
        <x:v>FL Wheel Acceleration</x:v>
      </x:c>
      <x:c r="B28" s="79" t="str">
        <x:v>FL WA</x:v>
      </x:c>
      <x:c r="C28" s="79" t="str">
        <x:v>2142</x:v>
      </x:c>
      <x:c r="D28" s="79" t="str">
        <x:v>B * 400.11 / 255 - 200.84</x:v>
      </x:c>
      <x:c r="E28" s="79" t="str">
        <x:v>-200.84</x:v>
      </x:c>
      <x:c r="F28" s="79" t="str">
        <x:v>199.27</x:v>
      </x:c>
      <x:c r="G28" s="79" t="str">
        <x:v>m/s2</x:v>
      </x:c>
      <x:c r="H28" s="79" t="str">
        <x:v>7B0</x:v>
      </x:c>
      <x:c r="I28" s="79" t="str">
        <x:v>PRIUS_PHV_GEN1 / ZVW35</x:v>
      </x:c>
      <x:c r="J28" s="79" t="str">
        <x:v>PiP Adv (US).csv</x:v>
      </x:c>
      <x:c r="K28" s="79" t="str">
        <x:v>2013-01-22</x:v>
      </x:c>
      <x:c r="L28" s="79" t="str">
        <x:v>READ-ONLY DIAGNOSTIC CANDIDATE</x:v>
      </x:c>
      <x:c r="M28" s="79" t="str">
        <x:v>CANDIDATE</x:v>
      </x:c>
      <x:c r="N28" s="80" t="str">
        <x:v>Advanced PHV source; never merge unchanged into ordinary Gen 3</x:v>
      </x:c>
    </x:row>
    <x:row r="29">
      <x:c r="A29" s="78" t="str">
        <x:v>RR Wheel Acceleration</x:v>
      </x:c>
      <x:c r="B29" s="79" t="str">
        <x:v>RR WA</x:v>
      </x:c>
      <x:c r="C29" s="79" t="str">
        <x:v>2142</x:v>
      </x:c>
      <x:c r="D29" s="79" t="str">
        <x:v>C * 400.11 / 255 - 200.84</x:v>
      </x:c>
      <x:c r="E29" s="79" t="str">
        <x:v>-200.84</x:v>
      </x:c>
      <x:c r="F29" s="79" t="str">
        <x:v>199.27</x:v>
      </x:c>
      <x:c r="G29" s="79" t="str">
        <x:v>m/s2</x:v>
      </x:c>
      <x:c r="H29" s="79" t="str">
        <x:v>7B0</x:v>
      </x:c>
      <x:c r="I29" s="79" t="str">
        <x:v>PRIUS_PHV_GEN1 / ZVW35</x:v>
      </x:c>
      <x:c r="J29" s="79" t="str">
        <x:v>PiP Adv (US).csv</x:v>
      </x:c>
      <x:c r="K29" s="79" t="str">
        <x:v>2013-01-22</x:v>
      </x:c>
      <x:c r="L29" s="79" t="str">
        <x:v>READ-ONLY DIAGNOSTIC CANDIDATE</x:v>
      </x:c>
      <x:c r="M29" s="79" t="str">
        <x:v>CANDIDATE</x:v>
      </x:c>
      <x:c r="N29" s="80" t="str">
        <x:v>Advanced PHV source; never merge unchanged into ordinary Gen 3</x:v>
      </x:c>
    </x:row>
    <x:row r="30">
      <x:c r="A30" s="78" t="str">
        <x:v>RL Wheel Acceleration</x:v>
      </x:c>
      <x:c r="B30" s="79" t="str">
        <x:v>RL WA</x:v>
      </x:c>
      <x:c r="C30" s="79" t="str">
        <x:v>2142</x:v>
      </x:c>
      <x:c r="D30" s="79" t="str">
        <x:v>D * 400.11 / 255 - 200.84</x:v>
      </x:c>
      <x:c r="E30" s="79" t="str">
        <x:v>-200.84</x:v>
      </x:c>
      <x:c r="F30" s="79" t="str">
        <x:v>199.27</x:v>
      </x:c>
      <x:c r="G30" s="79" t="str">
        <x:v>m/s2</x:v>
      </x:c>
      <x:c r="H30" s="79" t="str">
        <x:v>7B0</x:v>
      </x:c>
      <x:c r="I30" s="79" t="str">
        <x:v>PRIUS_PHV_GEN1 / ZVW35</x:v>
      </x:c>
      <x:c r="J30" s="79" t="str">
        <x:v>PiP Adv (US).csv</x:v>
      </x:c>
      <x:c r="K30" s="79" t="str">
        <x:v>2013-01-22</x:v>
      </x:c>
      <x:c r="L30" s="79" t="str">
        <x:v>READ-ONLY DIAGNOSTIC CANDIDATE</x:v>
      </x:c>
      <x:c r="M30" s="79" t="str">
        <x:v>CANDIDATE</x:v>
      </x:c>
      <x:c r="N30" s="80" t="str">
        <x:v>Advanced PHV source; never merge unchanged into ordinary Gen 3</x:v>
      </x:c>
    </x:row>
    <x:row r="31">
      <x:c r="A31" s="78" t="str">
        <x:v>Zero Point of Decele</x:v>
      </x:c>
      <x:c r="B31" s="79" t="str">
        <x:v>0Decel</x:v>
      </x:c>
      <x:c r="C31" s="79" t="str">
        <x:v>2146</x:v>
      </x:c>
      <x:c r="D31" s="79" t="str">
        <x:v>A * 50.02 / 255 - 25.11</x:v>
      </x:c>
      <x:c r="E31" s="79" t="str">
        <x:v>-25.11</x:v>
      </x:c>
      <x:c r="F31" s="79" t="str">
        <x:v>24.91</x:v>
      </x:c>
      <x:c r="G31" s="79" t="str">
        <x:v>m/s2</x:v>
      </x:c>
      <x:c r="H31" s="79" t="str">
        <x:v>7B0</x:v>
      </x:c>
      <x:c r="I31" s="79" t="str">
        <x:v>PRIUS_PHV_GEN1 / ZVW35</x:v>
      </x:c>
      <x:c r="J31" s="79" t="str">
        <x:v>PiP Adv (US).csv</x:v>
      </x:c>
      <x:c r="K31" s="79" t="str">
        <x:v>2013-01-22</x:v>
      </x:c>
      <x:c r="L31" s="79" t="str">
        <x:v>READ-ONLY DIAGNOSTIC CANDIDATE</x:v>
      </x:c>
      <x:c r="M31" s="79" t="str">
        <x:v>CANDIDATE</x:v>
      </x:c>
      <x:c r="N31" s="80" t="str">
        <x:v>Advanced PHV source; never merge unchanged into ordinary Gen 3</x:v>
      </x:c>
    </x:row>
    <x:row r="32">
      <x:c r="A32" s="78" t="str">
        <x:v>Zero Point of Decele2</x:v>
      </x:c>
      <x:c r="B32" s="79" t="str">
        <x:v>0Decel2</x:v>
      </x:c>
      <x:c r="C32" s="79" t="str">
        <x:v>2146</x:v>
      </x:c>
      <x:c r="D32" s="79" t="str">
        <x:v>B * 50.02 / 255 - 25.11</x:v>
      </x:c>
      <x:c r="E32" s="79" t="str">
        <x:v>-25.11</x:v>
      </x:c>
      <x:c r="F32" s="79" t="str">
        <x:v>24.91</x:v>
      </x:c>
      <x:c r="G32" s="79" t="str">
        <x:v>m/s2</x:v>
      </x:c>
      <x:c r="H32" s="79" t="str">
        <x:v>7B0</x:v>
      </x:c>
      <x:c r="I32" s="79" t="str">
        <x:v>PRIUS_PHV_GEN1 / ZVW35</x:v>
      </x:c>
      <x:c r="J32" s="79" t="str">
        <x:v>PiP Adv (US).csv</x:v>
      </x:c>
      <x:c r="K32" s="79" t="str">
        <x:v>2013-01-22</x:v>
      </x:c>
      <x:c r="L32" s="79" t="str">
        <x:v>READ-ONLY DIAGNOSTIC CANDIDATE</x:v>
      </x:c>
      <x:c r="M32" s="79" t="str">
        <x:v>CANDIDATE</x:v>
      </x:c>
      <x:c r="N32" s="80" t="str">
        <x:v>Advanced PHV source; never merge unchanged into ordinary Gen 3</x:v>
      </x:c>
    </x:row>
    <x:row r="33">
      <x:c r="A33" s="78" t="str">
        <x:v>Zero Point of Yaw Rate</x:v>
      </x:c>
      <x:c r="B33" s="79" t="str">
        <x:v>0Yaw</x:v>
      </x:c>
      <x:c r="C33" s="79" t="str">
        <x:v>2146</x:v>
      </x:c>
      <x:c r="D33" s="79" t="str">
        <x:v>C - 128</x:v>
      </x:c>
      <x:c r="E33" s="79" t="str">
        <x:v>-128</x:v>
      </x:c>
      <x:c r="F33" s="79" t="str">
        <x:v>127</x:v>
      </x:c>
      <x:c r="G33" s="79" t="str">
        <x:v>degrees/s</x:v>
      </x:c>
      <x:c r="H33" s="79" t="str">
        <x:v>7B0</x:v>
      </x:c>
      <x:c r="I33" s="79" t="str">
        <x:v>PRIUS_PHV_GEN1 / ZVW35</x:v>
      </x:c>
      <x:c r="J33" s="79" t="str">
        <x:v>PiP Adv (US).csv</x:v>
      </x:c>
      <x:c r="K33" s="79" t="str">
        <x:v>2013-01-22</x:v>
      </x:c>
      <x:c r="L33" s="79" t="str">
        <x:v>READ-ONLY DIAGNOSTIC CANDIDATE</x:v>
      </x:c>
      <x:c r="M33" s="79" t="str">
        <x:v>CANDIDATE</x:v>
      </x:c>
      <x:c r="N33" s="80" t="str">
        <x:v>Advanced PHV source; never merge unchanged into ordinary Gen 3</x:v>
      </x:c>
    </x:row>
    <x:row r="34">
      <x:c r="A34" s="78" t="str">
        <x:v>Zero Point of Steering Angle</x:v>
      </x:c>
      <x:c r="B34" s="79" t="str">
        <x:v>0Steer</x:v>
      </x:c>
      <x:c r="C34" s="79" t="str">
        <x:v>2146</x:v>
      </x:c>
      <x:c r="D34" s="79" t="str">
        <x:v>(D * 256 + E) / 10 - 3276.8</x:v>
      </x:c>
      <x:c r="E34" s="79" t="str">
        <x:v>-720</x:v>
      </x:c>
      <x:c r="F34" s="79" t="str">
        <x:v>720</x:v>
      </x:c>
      <x:c r="G34" s="79" t="str">
        <x:v>degrees</x:v>
      </x:c>
      <x:c r="H34" s="79" t="str">
        <x:v>7B0</x:v>
      </x:c>
      <x:c r="I34" s="79" t="str">
        <x:v>PRIUS_PHV_GEN1 / ZVW35</x:v>
      </x:c>
      <x:c r="J34" s="79" t="str">
        <x:v>PiP Adv (US).csv</x:v>
      </x:c>
      <x:c r="K34" s="79" t="str">
        <x:v>2013-01-22</x:v>
      </x:c>
      <x:c r="L34" s="79" t="str">
        <x:v>READ-ONLY DIAGNOSTIC CANDIDATE</x:v>
      </x:c>
      <x:c r="M34" s="79" t="str">
        <x:v>CANDIDATE</x:v>
      </x:c>
      <x:c r="N34" s="80" t="str">
        <x:v>Advanced PHV source; never merge unchanged into ordinary Gen 3</x:v>
      </x:c>
    </x:row>
    <x:row r="35">
      <x:c r="A35" s="78" t="str">
        <x:v>Lateral G</x:v>
      </x:c>
      <x:c r="B35" s="79" t="str">
        <x:v>Lateral G</x:v>
      </x:c>
      <x:c r="C35" s="79" t="str">
        <x:v>2147</x:v>
      </x:c>
      <x:c r="D35" s="79" t="str">
        <x:v>A * 50.02 / 255 - 25.11</x:v>
      </x:c>
      <x:c r="E35" s="79" t="str">
        <x:v>-25.11</x:v>
      </x:c>
      <x:c r="F35" s="79" t="str">
        <x:v>24.91</x:v>
      </x:c>
      <x:c r="G35" s="79" t="str">
        <x:v>m/s2</x:v>
      </x:c>
      <x:c r="H35" s="79" t="str">
        <x:v>7B0</x:v>
      </x:c>
      <x:c r="I35" s="79" t="str">
        <x:v>PRIUS_PHV_GEN1 / ZVW35</x:v>
      </x:c>
      <x:c r="J35" s="79" t="str">
        <x:v>PiP Adv (US).csv</x:v>
      </x:c>
      <x:c r="K35" s="79" t="str">
        <x:v>2013-01-22</x:v>
      </x:c>
      <x:c r="L35" s="79" t="str">
        <x:v>READ-ONLY DIAGNOSTIC CANDIDATE</x:v>
      </x:c>
      <x:c r="M35" s="79" t="str">
        <x:v>CANDIDATE</x:v>
      </x:c>
      <x:c r="N35" s="80" t="str">
        <x:v>Advanced PHV source; never merge unchanged into ordinary Gen 3</x:v>
      </x:c>
    </x:row>
    <x:row r="36">
      <x:c r="A36" s="78" t="str">
        <x:v>Forward and Rearward G</x:v>
      </x:c>
      <x:c r="B36" s="79" t="str">
        <x:v>Fwd/Rwd G</x:v>
      </x:c>
      <x:c r="C36" s="79" t="str">
        <x:v>2147</x:v>
      </x:c>
      <x:c r="D36" s="79" t="str">
        <x:v>B * 50.02 / 255 - 25.11</x:v>
      </x:c>
      <x:c r="E36" s="79" t="str">
        <x:v>-25.11</x:v>
      </x:c>
      <x:c r="F36" s="79" t="str">
        <x:v>24.91</x:v>
      </x:c>
      <x:c r="G36" s="79" t="str">
        <x:v>m/s2</x:v>
      </x:c>
      <x:c r="H36" s="79" t="str">
        <x:v>7B0</x:v>
      </x:c>
      <x:c r="I36" s="79" t="str">
        <x:v>PRIUS_PHV_GEN1 / ZVW35</x:v>
      </x:c>
      <x:c r="J36" s="79" t="str">
        <x:v>PiP Adv (US).csv</x:v>
      </x:c>
      <x:c r="K36" s="79" t="str">
        <x:v>2013-01-22</x:v>
      </x:c>
      <x:c r="L36" s="79" t="str">
        <x:v>READ-ONLY DIAGNOSTIC CANDIDATE</x:v>
      </x:c>
      <x:c r="M36" s="79" t="str">
        <x:v>CANDIDATE</x:v>
      </x:c>
      <x:c r="N36" s="80" t="str">
        <x:v>Advanced PHV source; never merge unchanged into ordinary Gen 3</x:v>
      </x:c>
    </x:row>
    <x:row r="37">
      <x:c r="A37" s="78" t="str">
        <x:v>Yaw Rate Value</x:v>
      </x:c>
      <x:c r="B37" s="79" t="str">
        <x:v>YR Val</x:v>
      </x:c>
      <x:c r="C37" s="79" t="str">
        <x:v>2147</x:v>
      </x:c>
      <x:c r="D37" s="79" t="str">
        <x:v>C - 128</x:v>
      </x:c>
      <x:c r="E37" s="79" t="str">
        <x:v>-128</x:v>
      </x:c>
      <x:c r="F37" s="79" t="str">
        <x:v>127</x:v>
      </x:c>
      <x:c r="G37" s="79" t="str">
        <x:v>degrees/s</x:v>
      </x:c>
      <x:c r="H37" s="79" t="str">
        <x:v>7B0</x:v>
      </x:c>
      <x:c r="I37" s="79" t="str">
        <x:v>PRIUS_PHV_GEN1 / ZVW35</x:v>
      </x:c>
      <x:c r="J37" s="79" t="str">
        <x:v>PiP Adv (US).csv</x:v>
      </x:c>
      <x:c r="K37" s="79" t="str">
        <x:v>2013-01-22</x:v>
      </x:c>
      <x:c r="L37" s="79" t="str">
        <x:v>READ-ONLY DIAGNOSTIC CANDIDATE</x:v>
      </x:c>
      <x:c r="M37" s="79" t="str">
        <x:v>CANDIDATE</x:v>
      </x:c>
      <x:c r="N37" s="80" t="str">
        <x:v>Advanced PHV source; never merge unchanged into ordinary Gen 3</x:v>
      </x:c>
    </x:row>
    <x:row r="38">
      <x:c r="A38" s="78" t="str">
        <x:v>Steering Angle Value</x:v>
      </x:c>
      <x:c r="B38" s="79" t="str">
        <x:v>SteerAngle</x:v>
      </x:c>
      <x:c r="C38" s="79" t="str">
        <x:v>2147</x:v>
      </x:c>
      <x:c r="D38" s="79" t="str">
        <x:v>(D * 256 + E) / 10 - 3276.8</x:v>
      </x:c>
      <x:c r="E38" s="79" t="str">
        <x:v>-720</x:v>
      </x:c>
      <x:c r="F38" s="79" t="str">
        <x:v>720</x:v>
      </x:c>
      <x:c r="G38" s="79" t="str">
        <x:v>degrees</x:v>
      </x:c>
      <x:c r="H38" s="79" t="str">
        <x:v>7B0</x:v>
      </x:c>
      <x:c r="I38" s="79" t="str">
        <x:v>PRIUS_PHV_GEN1 / ZVW35</x:v>
      </x:c>
      <x:c r="J38" s="79" t="str">
        <x:v>PiP Adv (US).csv</x:v>
      </x:c>
      <x:c r="K38" s="79" t="str">
        <x:v>2013-01-22</x:v>
      </x:c>
      <x:c r="L38" s="79" t="str">
        <x:v>READ-ONLY DIAGNOSTIC CANDIDATE</x:v>
      </x:c>
      <x:c r="M38" s="79" t="str">
        <x:v>CANDIDATE</x:v>
      </x:c>
      <x:c r="N38" s="80" t="str">
        <x:v>Advanced PHV source; never merge unchanged into ordinary Gen 3</x:v>
      </x:c>
    </x:row>
    <x:row r="39">
      <x:c r="A39" s="78" t="str">
        <x:v>FR Regenerative Request</x:v>
      </x:c>
      <x:c r="B39" s="79" t="str">
        <x:v>RegenReq</x:v>
      </x:c>
      <x:c r="C39" s="79" t="str">
        <x:v>2148</x:v>
      </x:c>
      <x:c r="D39" s="79" t="str">
        <x:v>(A * 256 + B) * 0.7375621</x:v>
      </x:c>
      <x:c r="E39" s="79" t="str">
        <x:v>0</x:v>
      </x:c>
      <x:c r="F39" s="79" t="str">
        <x:v>295</x:v>
      </x:c>
      <x:c r="G39" s="79" t="str">
        <x:v>ft�lb</x:v>
      </x:c>
      <x:c r="H39" s="79" t="str">
        <x:v>7B0</x:v>
      </x:c>
      <x:c r="I39" s="79" t="str">
        <x:v>PRIUS_PHV_GEN1 / ZVW35</x:v>
      </x:c>
      <x:c r="J39" s="79" t="str">
        <x:v>PiP Adv (US).csv</x:v>
      </x:c>
      <x:c r="K39" s="79" t="str">
        <x:v>2013-01-22</x:v>
      </x:c>
      <x:c r="L39" s="79" t="str">
        <x:v>READ-ONLY DIAGNOSTIC CANDIDATE</x:v>
      </x:c>
      <x:c r="M39" s="79" t="str">
        <x:v>CANDIDATE</x:v>
      </x:c>
      <x:c r="N39" s="80" t="str">
        <x:v>Advanced PHV source; never merge unchanged into ordinary Gen 3</x:v>
      </x:c>
    </x:row>
    <x:row r="40">
      <x:c r="A40" s="78" t="str">
        <x:v>FR Regenerative Operation</x:v>
      </x:c>
      <x:c r="B40" s="79" t="str">
        <x:v>RegenOp</x:v>
      </x:c>
      <x:c r="C40" s="79" t="str">
        <x:v>2148</x:v>
      </x:c>
      <x:c r="D40" s="79" t="str">
        <x:v>(C * 256 + D) * 0.7375621</x:v>
      </x:c>
      <x:c r="E40" s="79" t="str">
        <x:v>0</x:v>
      </x:c>
      <x:c r="F40" s="79" t="str">
        <x:v>295</x:v>
      </x:c>
      <x:c r="G40" s="79" t="str">
        <x:v>ft�lb</x:v>
      </x:c>
      <x:c r="H40" s="79" t="str">
        <x:v>7B0</x:v>
      </x:c>
      <x:c r="I40" s="79" t="str">
        <x:v>PRIUS_PHV_GEN1 / ZVW35</x:v>
      </x:c>
      <x:c r="J40" s="79" t="str">
        <x:v>PiP Adv (US).csv</x:v>
      </x:c>
      <x:c r="K40" s="79" t="str">
        <x:v>2013-01-22</x:v>
      </x:c>
      <x:c r="L40" s="79" t="str">
        <x:v>READ-ONLY DIAGNOSTIC CANDIDATE</x:v>
      </x:c>
      <x:c r="M40" s="79" t="str">
        <x:v>CANDIDATE</x:v>
      </x:c>
      <x:c r="N40" s="80" t="str">
        <x:v>Advanced PHV source; never merge unchanged into ordinary Gen 3</x:v>
      </x:c>
    </x:row>
    <x:row r="41">
      <x:c r="A41" s="78" t="str">
        <x:v>Regen Cooperation</x:v>
      </x:c>
      <x:c r="B41" s="79" t="str">
        <x:v>RegenCoop</x:v>
      </x:c>
      <x:c r="C41" s="79" t="str">
        <x:v>2158</x:v>
      </x:c>
      <x:c r="D41" s="79" t="str">
        <x:v>{A:7}</x:v>
      </x:c>
      <x:c r="E41" s="79" t="str">
        <x:v>0</x:v>
      </x:c>
      <x:c r="F41" s="79" t="str">
        <x:v>1</x:v>
      </x:c>
      <x:c r="G41" s="79" t="str">
        <x:v>Off/On</x:v>
      </x:c>
      <x:c r="H41" s="79" t="str">
        <x:v>7B0</x:v>
      </x:c>
      <x:c r="I41" s="79" t="str">
        <x:v>PRIUS_PHV_GEN1 / ZVW35</x:v>
      </x:c>
      <x:c r="J41" s="79" t="str">
        <x:v>PiP Adv (US).csv</x:v>
      </x:c>
      <x:c r="K41" s="79" t="str">
        <x:v>2013-01-22</x:v>
      </x:c>
      <x:c r="L41" s="79" t="str">
        <x:v>READ-ONLY DIAGNOSTIC CANDIDATE</x:v>
      </x:c>
      <x:c r="M41" s="79" t="str">
        <x:v>CANDIDATE</x:v>
      </x:c>
      <x:c r="N41" s="80" t="str">
        <x:v>Advanced PHV source; never merge unchanged into ordinary Gen 3</x:v>
      </x:c>
    </x:row>
    <x:row r="42">
      <x:c r="A42" s="78" t="str">
        <x:v>TRC(TRAC) Ctrl Status</x:v>
      </x:c>
      <x:c r="B42" s="79" t="str">
        <x:v>TRAC</x:v>
      </x:c>
      <x:c r="C42" s="79" t="str">
        <x:v>215A</x:v>
      </x:c>
      <x:c r="D42" s="79" t="str">
        <x:v>{A:7}</x:v>
      </x:c>
      <x:c r="E42" s="79" t="str">
        <x:v>0</x:v>
      </x:c>
      <x:c r="F42" s="79" t="str">
        <x:v>1</x:v>
      </x:c>
      <x:c r="G42" s="79" t="str">
        <x:v>Off/On</x:v>
      </x:c>
      <x:c r="H42" s="79" t="str">
        <x:v>7B0</x:v>
      </x:c>
      <x:c r="I42" s="79" t="str">
        <x:v>PRIUS_PHV_GEN1 / ZVW35</x:v>
      </x:c>
      <x:c r="J42" s="79" t="str">
        <x:v>PiP Adv (US).csv</x:v>
      </x:c>
      <x:c r="K42" s="79" t="str">
        <x:v>2013-01-22</x:v>
      </x:c>
      <x:c r="L42" s="79" t="str">
        <x:v>READ-ONLY DIAGNOSTIC CANDIDATE</x:v>
      </x:c>
      <x:c r="M42" s="79" t="str">
        <x:v>CANDIDATE</x:v>
      </x:c>
      <x:c r="N42" s="80" t="str">
        <x:v>Advanced PHV source; never merge unchanged into ordinary Gen 3</x:v>
      </x:c>
    </x:row>
    <x:row r="43">
      <x:c r="A43" s="78" t="str">
        <x:v>TRC(TRAC) Engine Ctrl Status</x:v>
      </x:c>
      <x:c r="B43" s="79" t="str">
        <x:v>TRC Eng</x:v>
      </x:c>
      <x:c r="C43" s="79" t="str">
        <x:v>215A</x:v>
      </x:c>
      <x:c r="D43" s="79" t="str">
        <x:v>{A:6}</x:v>
      </x:c>
      <x:c r="E43" s="79" t="str">
        <x:v>0</x:v>
      </x:c>
      <x:c r="F43" s="79" t="str">
        <x:v>1</x:v>
      </x:c>
      <x:c r="G43" s="79" t="str">
        <x:v>Off/On</x:v>
      </x:c>
      <x:c r="H43" s="79" t="str">
        <x:v>7B0</x:v>
      </x:c>
      <x:c r="I43" s="79" t="str">
        <x:v>PRIUS_PHV_GEN1 / ZVW35</x:v>
      </x:c>
      <x:c r="J43" s="79" t="str">
        <x:v>PiP Adv (US).csv</x:v>
      </x:c>
      <x:c r="K43" s="79" t="str">
        <x:v>2013-01-22</x:v>
      </x:c>
      <x:c r="L43" s="79" t="str">
        <x:v>READ-ONLY DIAGNOSTIC CANDIDATE</x:v>
      </x:c>
      <x:c r="M43" s="79" t="str">
        <x:v>CANDIDATE</x:v>
      </x:c>
      <x:c r="N43" s="80" t="str">
        <x:v>Advanced PHV source; never merge unchanged into ordinary Gen 3</x:v>
      </x:c>
    </x:row>
    <x:row r="44">
      <x:c r="A44" s="78" t="str">
        <x:v>TRC(TRAC) Brake Ctrl Status</x:v>
      </x:c>
      <x:c r="B44" s="79" t="str">
        <x:v>TRC Brk</x:v>
      </x:c>
      <x:c r="C44" s="79" t="str">
        <x:v>215A</x:v>
      </x:c>
      <x:c r="D44" s="79" t="str">
        <x:v>{A:5}</x:v>
      </x:c>
      <x:c r="E44" s="79" t="str">
        <x:v>0</x:v>
      </x:c>
      <x:c r="F44" s="79" t="str">
        <x:v>1</x:v>
      </x:c>
      <x:c r="G44" s="79" t="str">
        <x:v>Off/On</x:v>
      </x:c>
      <x:c r="H44" s="79" t="str">
        <x:v>7B0</x:v>
      </x:c>
      <x:c r="I44" s="79" t="str">
        <x:v>PRIUS_PHV_GEN1 / ZVW35</x:v>
      </x:c>
      <x:c r="J44" s="79" t="str">
        <x:v>PiP Adv (US).csv</x:v>
      </x:c>
      <x:c r="K44" s="79" t="str">
        <x:v>2013-01-22</x:v>
      </x:c>
      <x:c r="L44" s="79" t="str">
        <x:v>READ-ONLY DIAGNOSTIC CANDIDATE</x:v>
      </x:c>
      <x:c r="M44" s="79" t="str">
        <x:v>CANDIDATE</x:v>
      </x:c>
      <x:c r="N44" s="80" t="str">
        <x:v>Advanced PHV source; never merge unchanged into ordinary Gen 3</x:v>
      </x:c>
    </x:row>
    <x:row r="45">
      <x:c r="A45" s="78" t="str">
        <x:v>FR Wheel VSC Ctrl Status</x:v>
      </x:c>
      <x:c r="B45" s="79" t="str">
        <x:v>FR VSC</x:v>
      </x:c>
      <x:c r="C45" s="79" t="str">
        <x:v>215A</x:v>
      </x:c>
      <x:c r="D45" s="79" t="str">
        <x:v>{B:7}</x:v>
      </x:c>
      <x:c r="E45" s="79" t="str">
        <x:v>0</x:v>
      </x:c>
      <x:c r="F45" s="79" t="str">
        <x:v>1</x:v>
      </x:c>
      <x:c r="G45" s="79" t="str">
        <x:v>Off/On</x:v>
      </x:c>
      <x:c r="H45" s="79" t="str">
        <x:v>7B0</x:v>
      </x:c>
      <x:c r="I45" s="79" t="str">
        <x:v>PRIUS_PHV_GEN1 / ZVW35</x:v>
      </x:c>
      <x:c r="J45" s="79" t="str">
        <x:v>PiP Adv (US).csv</x:v>
      </x:c>
      <x:c r="K45" s="79" t="str">
        <x:v>2013-01-22</x:v>
      </x:c>
      <x:c r="L45" s="79" t="str">
        <x:v>READ-ONLY DIAGNOSTIC CANDIDATE</x:v>
      </x:c>
      <x:c r="M45" s="79" t="str">
        <x:v>CANDIDATE</x:v>
      </x:c>
      <x:c r="N45" s="80" t="str">
        <x:v>Advanced PHV source; never merge unchanged into ordinary Gen 3</x:v>
      </x:c>
    </x:row>
    <x:row r="46">
      <x:c r="A46" s="78" t="str">
        <x:v>FL Wheel VSC Ctrl Status</x:v>
      </x:c>
      <x:c r="B46" s="79" t="str">
        <x:v>FL VSC</x:v>
      </x:c>
      <x:c r="C46" s="79" t="str">
        <x:v>215A</x:v>
      </x:c>
      <x:c r="D46" s="79" t="str">
        <x:v>{B:6}</x:v>
      </x:c>
      <x:c r="E46" s="79" t="str">
        <x:v>0</x:v>
      </x:c>
      <x:c r="F46" s="79" t="str">
        <x:v>1</x:v>
      </x:c>
      <x:c r="G46" s="79" t="str">
        <x:v>Off/On</x:v>
      </x:c>
      <x:c r="H46" s="79" t="str">
        <x:v>7B0</x:v>
      </x:c>
      <x:c r="I46" s="79" t="str">
        <x:v>PRIUS_PHV_GEN1 / ZVW35</x:v>
      </x:c>
      <x:c r="J46" s="79" t="str">
        <x:v>PiP Adv (US).csv</x:v>
      </x:c>
      <x:c r="K46" s="79" t="str">
        <x:v>2013-01-22</x:v>
      </x:c>
      <x:c r="L46" s="79" t="str">
        <x:v>READ-ONLY DIAGNOSTIC CANDIDATE</x:v>
      </x:c>
      <x:c r="M46" s="79" t="str">
        <x:v>CANDIDATE</x:v>
      </x:c>
      <x:c r="N46" s="80" t="str">
        <x:v>Advanced PHV source; never merge unchanged into ordinary Gen 3</x:v>
      </x:c>
    </x:row>
    <x:row r="47">
      <x:c r="A47" s="78" t="str">
        <x:v>RR Wheel VSC Ctrl Status</x:v>
      </x:c>
      <x:c r="B47" s="79" t="str">
        <x:v>RR VSC</x:v>
      </x:c>
      <x:c r="C47" s="79" t="str">
        <x:v>215A</x:v>
      </x:c>
      <x:c r="D47" s="79" t="str">
        <x:v>{B:5}</x:v>
      </x:c>
      <x:c r="E47" s="79" t="str">
        <x:v>0</x:v>
      </x:c>
      <x:c r="F47" s="79" t="str">
        <x:v>1</x:v>
      </x:c>
      <x:c r="G47" s="79" t="str">
        <x:v>Off/On</x:v>
      </x:c>
      <x:c r="H47" s="79" t="str">
        <x:v>7B0</x:v>
      </x:c>
      <x:c r="I47" s="79" t="str">
        <x:v>PRIUS_PHV_GEN1 / ZVW35</x:v>
      </x:c>
      <x:c r="J47" s="79" t="str">
        <x:v>PiP Adv (US).csv</x:v>
      </x:c>
      <x:c r="K47" s="79" t="str">
        <x:v>2013-01-22</x:v>
      </x:c>
      <x:c r="L47" s="79" t="str">
        <x:v>READ-ONLY DIAGNOSTIC CANDIDATE</x:v>
      </x:c>
      <x:c r="M47" s="79" t="str">
        <x:v>CANDIDATE</x:v>
      </x:c>
      <x:c r="N47" s="80" t="str">
        <x:v>Advanced PHV source; never merge unchanged into ordinary Gen 3</x:v>
      </x:c>
    </x:row>
    <x:row r="48">
      <x:c r="A48" s="78" t="str">
        <x:v>RL Wheel VSC Ctrl Status</x:v>
      </x:c>
      <x:c r="B48" s="79" t="str">
        <x:v>RL VSC</x:v>
      </x:c>
      <x:c r="C48" s="79" t="str">
        <x:v>215A</x:v>
      </x:c>
      <x:c r="D48" s="79" t="str">
        <x:v>{B:4}</x:v>
      </x:c>
      <x:c r="E48" s="79" t="str">
        <x:v>0</x:v>
      </x:c>
      <x:c r="F48" s="79" t="str">
        <x:v>1</x:v>
      </x:c>
      <x:c r="G48" s="79" t="str">
        <x:v>Off/On</x:v>
      </x:c>
      <x:c r="H48" s="79" t="str">
        <x:v>7B0</x:v>
      </x:c>
      <x:c r="I48" s="79" t="str">
        <x:v>PRIUS_PHV_GEN1 / ZVW35</x:v>
      </x:c>
      <x:c r="J48" s="79" t="str">
        <x:v>PiP Adv (US).csv</x:v>
      </x:c>
      <x:c r="K48" s="79" t="str">
        <x:v>2013-01-22</x:v>
      </x:c>
      <x:c r="L48" s="79" t="str">
        <x:v>READ-ONLY DIAGNOSTIC CANDIDATE</x:v>
      </x:c>
      <x:c r="M48" s="79" t="str">
        <x:v>CANDIDATE</x:v>
      </x:c>
      <x:c r="N48" s="80" t="str">
        <x:v>Advanced PHV source; never merge unchanged into ordinary Gen 3</x:v>
      </x:c>
    </x:row>
    <x:row r="49">
      <x:c r="A49" s="78" t="str">
        <x:v>FR Wheel ABS Ctrl Status</x:v>
      </x:c>
      <x:c r="B49" s="79" t="str">
        <x:v>FR ABS</x:v>
      </x:c>
      <x:c r="C49" s="79" t="str">
        <x:v>215F</x:v>
      </x:c>
      <x:c r="D49" s="79" t="str">
        <x:v>{A:7}</x:v>
      </x:c>
      <x:c r="E49" s="79" t="str">
        <x:v>0</x:v>
      </x:c>
      <x:c r="F49" s="79" t="str">
        <x:v>1</x:v>
      </x:c>
      <x:c r="G49" s="79" t="str">
        <x:v>Off/On</x:v>
      </x:c>
      <x:c r="H49" s="79" t="str">
        <x:v>7B0</x:v>
      </x:c>
      <x:c r="I49" s="79" t="str">
        <x:v>PRIUS_PHV_GEN1 / ZVW35</x:v>
      </x:c>
      <x:c r="J49" s="79" t="str">
        <x:v>PiP Adv (US).csv</x:v>
      </x:c>
      <x:c r="K49" s="79" t="str">
        <x:v>2013-01-22</x:v>
      </x:c>
      <x:c r="L49" s="79" t="str">
        <x:v>READ-ONLY DIAGNOSTIC CANDIDATE</x:v>
      </x:c>
      <x:c r="M49" s="79" t="str">
        <x:v>CANDIDATE</x:v>
      </x:c>
      <x:c r="N49" s="80" t="str">
        <x:v>Advanced PHV source; never merge unchanged into ordinary Gen 3</x:v>
      </x:c>
    </x:row>
    <x:row r="50">
      <x:c r="A50" s="78" t="str">
        <x:v>FL Wheel ABS Ctrl Status</x:v>
      </x:c>
      <x:c r="B50" s="79" t="str">
        <x:v>FL ABS</x:v>
      </x:c>
      <x:c r="C50" s="79" t="str">
        <x:v>215F</x:v>
      </x:c>
      <x:c r="D50" s="79" t="str">
        <x:v>{A:6}</x:v>
      </x:c>
      <x:c r="E50" s="79" t="str">
        <x:v>0</x:v>
      </x:c>
      <x:c r="F50" s="79" t="str">
        <x:v>1</x:v>
      </x:c>
      <x:c r="G50" s="79" t="str">
        <x:v>Off/On</x:v>
      </x:c>
      <x:c r="H50" s="79" t="str">
        <x:v>7B0</x:v>
      </x:c>
      <x:c r="I50" s="79" t="str">
        <x:v>PRIUS_PHV_GEN1 / ZVW35</x:v>
      </x:c>
      <x:c r="J50" s="79" t="str">
        <x:v>PiP Adv (US).csv</x:v>
      </x:c>
      <x:c r="K50" s="79" t="str">
        <x:v>2013-01-22</x:v>
      </x:c>
      <x:c r="L50" s="79" t="str">
        <x:v>READ-ONLY DIAGNOSTIC CANDIDATE</x:v>
      </x:c>
      <x:c r="M50" s="79" t="str">
        <x:v>CANDIDATE</x:v>
      </x:c>
      <x:c r="N50" s="80" t="str">
        <x:v>Advanced PHV source; never merge unchanged into ordinary Gen 3</x:v>
      </x:c>
    </x:row>
    <x:row r="51">
      <x:c r="A51" s="78" t="str">
        <x:v>RR Wheel ABS Ctrl Status</x:v>
      </x:c>
      <x:c r="B51" s="79" t="str">
        <x:v>RR ABS</x:v>
      </x:c>
      <x:c r="C51" s="79" t="str">
        <x:v>215F</x:v>
      </x:c>
      <x:c r="D51" s="79" t="str">
        <x:v>{A:5}</x:v>
      </x:c>
      <x:c r="E51" s="79" t="str">
        <x:v>0</x:v>
      </x:c>
      <x:c r="F51" s="79" t="str">
        <x:v>1</x:v>
      </x:c>
      <x:c r="G51" s="79" t="str">
        <x:v>Off/On</x:v>
      </x:c>
      <x:c r="H51" s="79" t="str">
        <x:v>7B0</x:v>
      </x:c>
      <x:c r="I51" s="79" t="str">
        <x:v>PRIUS_PHV_GEN1 / ZVW35</x:v>
      </x:c>
      <x:c r="J51" s="79" t="str">
        <x:v>PiP Adv (US).csv</x:v>
      </x:c>
      <x:c r="K51" s="79" t="str">
        <x:v>2013-01-22</x:v>
      </x:c>
      <x:c r="L51" s="79" t="str">
        <x:v>READ-ONLY DIAGNOSTIC CANDIDATE</x:v>
      </x:c>
      <x:c r="M51" s="79" t="str">
        <x:v>CANDIDATE</x:v>
      </x:c>
      <x:c r="N51" s="80" t="str">
        <x:v>Advanced PHV source; never merge unchanged into ordinary Gen 3</x:v>
      </x:c>
    </x:row>
    <x:row r="52">
      <x:c r="A52" s="78" t="str">
        <x:v>RL Wheel ABS Ctrl Status</x:v>
      </x:c>
      <x:c r="B52" s="79" t="str">
        <x:v>RL ABS</x:v>
      </x:c>
      <x:c r="C52" s="79" t="str">
        <x:v>215F</x:v>
      </x:c>
      <x:c r="D52" s="79" t="str">
        <x:v>{A:4}</x:v>
      </x:c>
      <x:c r="E52" s="79" t="str">
        <x:v>0</x:v>
      </x:c>
      <x:c r="F52" s="79" t="str">
        <x:v>1</x:v>
      </x:c>
      <x:c r="G52" s="79" t="str">
        <x:v>Off/On</x:v>
      </x:c>
      <x:c r="H52" s="79" t="str">
        <x:v>7B0</x:v>
      </x:c>
      <x:c r="I52" s="79" t="str">
        <x:v>PRIUS_PHV_GEN1 / ZVW35</x:v>
      </x:c>
      <x:c r="J52" s="79" t="str">
        <x:v>PiP Adv (US).csv</x:v>
      </x:c>
      <x:c r="K52" s="79" t="str">
        <x:v>2013-01-22</x:v>
      </x:c>
      <x:c r="L52" s="79" t="str">
        <x:v>READ-ONLY DIAGNOSTIC CANDIDATE</x:v>
      </x:c>
      <x:c r="M52" s="79" t="str">
        <x:v>CANDIDATE</x:v>
      </x:c>
      <x:c r="N52" s="80" t="str">
        <x:v>Advanced PHV source; never merge unchanged into ordinary Gen 3</x:v>
      </x:c>
    </x:row>
    <x:row r="53">
      <x:c r="A53" s="78" t="str">
        <x:v>RR Wheel EBD Ctrl Status</x:v>
      </x:c>
      <x:c r="B53" s="79" t="str">
        <x:v>RR EBD</x:v>
      </x:c>
      <x:c r="C53" s="79" t="str">
        <x:v>215F</x:v>
      </x:c>
      <x:c r="D53" s="79" t="str">
        <x:v>{A:1}</x:v>
      </x:c>
      <x:c r="E53" s="79" t="str">
        <x:v>0</x:v>
      </x:c>
      <x:c r="F53" s="79" t="str">
        <x:v>1</x:v>
      </x:c>
      <x:c r="G53" s="79" t="str">
        <x:v>Off/On</x:v>
      </x:c>
      <x:c r="H53" s="79" t="str">
        <x:v>7B0</x:v>
      </x:c>
      <x:c r="I53" s="79" t="str">
        <x:v>PRIUS_PHV_GEN1 / ZVW35</x:v>
      </x:c>
      <x:c r="J53" s="79" t="str">
        <x:v>PiP Adv (US).csv</x:v>
      </x:c>
      <x:c r="K53" s="79" t="str">
        <x:v>2013-01-22</x:v>
      </x:c>
      <x:c r="L53" s="79" t="str">
        <x:v>READ-ONLY DIAGNOSTIC CANDIDATE</x:v>
      </x:c>
      <x:c r="M53" s="79" t="str">
        <x:v>CANDIDATE</x:v>
      </x:c>
      <x:c r="N53" s="80" t="str">
        <x:v>Advanced PHV source; never merge unchanged into ordinary Gen 3</x:v>
      </x:c>
    </x:row>
    <x:row r="54">
      <x:c r="A54" s="78" t="str">
        <x:v>RL Wheel EBD Ctrl Status</x:v>
      </x:c>
      <x:c r="B54" s="79" t="str">
        <x:v>RL EBD</x:v>
      </x:c>
      <x:c r="C54" s="79" t="str">
        <x:v>215F</x:v>
      </x:c>
      <x:c r="D54" s="79" t="str">
        <x:v>{A:0}</x:v>
      </x:c>
      <x:c r="E54" s="79" t="str">
        <x:v>0</x:v>
      </x:c>
      <x:c r="F54" s="79" t="str">
        <x:v>1</x:v>
      </x:c>
      <x:c r="G54" s="79" t="str">
        <x:v>Off/On</x:v>
      </x:c>
      <x:c r="H54" s="79" t="str">
        <x:v>7B0</x:v>
      </x:c>
      <x:c r="I54" s="79" t="str">
        <x:v>PRIUS_PHV_GEN1 / ZVW35</x:v>
      </x:c>
      <x:c r="J54" s="79" t="str">
        <x:v>PiP Adv (US).csv</x:v>
      </x:c>
      <x:c r="K54" s="79" t="str">
        <x:v>2013-01-22</x:v>
      </x:c>
      <x:c r="L54" s="79" t="str">
        <x:v>READ-ONLY DIAGNOSTIC CANDIDATE</x:v>
      </x:c>
      <x:c r="M54" s="79" t="str">
        <x:v>CANDIDATE</x:v>
      </x:c>
      <x:c r="N54" s="80" t="str">
        <x:v>Advanced PHV source; never merge unchanged into ordinary Gen 3</x:v>
      </x:c>
    </x:row>
    <x:row r="55">
      <x:c r="A55" s="78" t="str">
        <x:v>BA Ctrl Status</x:v>
      </x:c>
      <x:c r="B55" s="79" t="str">
        <x:v>BA</x:v>
      </x:c>
      <x:c r="C55" s="79" t="str">
        <x:v>215F</x:v>
      </x:c>
      <x:c r="D55" s="79" t="str">
        <x:v>{B:4}</x:v>
      </x:c>
      <x:c r="E55" s="79" t="str">
        <x:v>0</x:v>
      </x:c>
      <x:c r="F55" s="79" t="str">
        <x:v>1</x:v>
      </x:c>
      <x:c r="G55" s="79" t="str">
        <x:v>Off/On</x:v>
      </x:c>
      <x:c r="H55" s="79" t="str">
        <x:v>7B0</x:v>
      </x:c>
      <x:c r="I55" s="79" t="str">
        <x:v>PRIUS_PHV_GEN1 / ZVW35</x:v>
      </x:c>
      <x:c r="J55" s="79" t="str">
        <x:v>PiP Adv (US).csv</x:v>
      </x:c>
      <x:c r="K55" s="79" t="str">
        <x:v>2013-01-22</x:v>
      </x:c>
      <x:c r="L55" s="79" t="str">
        <x:v>READ-ONLY DIAGNOSTIC CANDIDATE</x:v>
      </x:c>
      <x:c r="M55" s="79" t="str">
        <x:v>CANDIDATE</x:v>
      </x:c>
      <x:c r="N55" s="80" t="str">
        <x:v>Advanced PHV source; never merge unchanged into ordinary Gen 3</x:v>
      </x:c>
    </x:row>
    <x:row r="56">
      <x:c r="A56" s="78" t="str">
        <x:v>PBA Ctrl Status</x:v>
      </x:c>
      <x:c r="B56" s="79" t="str">
        <x:v>PBA</x:v>
      </x:c>
      <x:c r="C56" s="79" t="str">
        <x:v>215F</x:v>
      </x:c>
      <x:c r="D56" s="79" t="str">
        <x:v>{B:3}</x:v>
      </x:c>
      <x:c r="E56" s="79" t="str">
        <x:v>0</x:v>
      </x:c>
      <x:c r="F56" s="79" t="str">
        <x:v>1</x:v>
      </x:c>
      <x:c r="G56" s="79" t="str">
        <x:v>Off/On</x:v>
      </x:c>
      <x:c r="H56" s="79" t="str">
        <x:v>7B0</x:v>
      </x:c>
      <x:c r="I56" s="79" t="str">
        <x:v>PRIUS_PHV_GEN1 / ZVW35</x:v>
      </x:c>
      <x:c r="J56" s="79" t="str">
        <x:v>PiP Adv (US).csv</x:v>
      </x:c>
      <x:c r="K56" s="79" t="str">
        <x:v>2013-01-22</x:v>
      </x:c>
      <x:c r="L56" s="79" t="str">
        <x:v>READ-ONLY DIAGNOSTIC CANDIDATE</x:v>
      </x:c>
      <x:c r="M56" s="79" t="str">
        <x:v>CANDIDATE</x:v>
      </x:c>
      <x:c r="N56" s="80" t="str">
        <x:v>Advanced PHV source; never merge unchanged into ordinary Gen 3</x:v>
      </x:c>
    </x:row>
    <x:row r="57">
      <x:c r="A57" s="78" t="str">
        <x:v>Zero Point of Yaw Rate2</x:v>
      </x:c>
      <x:c r="B57" s="79" t="str">
        <x:v>0Yaw2</x:v>
      </x:c>
      <x:c r="C57" s="79" t="str">
        <x:v>21A1</x:v>
      </x:c>
      <x:c r="D57" s="79" t="str">
        <x:v>A -128</x:v>
      </x:c>
      <x:c r="E57" s="79" t="str">
        <x:v>-128</x:v>
      </x:c>
      <x:c r="F57" s="79" t="str">
        <x:v>127</x:v>
      </x:c>
      <x:c r="G57" s="79" t="str">
        <x:v>degrees/s</x:v>
      </x:c>
      <x:c r="H57" s="79" t="str">
        <x:v>7B0</x:v>
      </x:c>
      <x:c r="I57" s="79" t="str">
        <x:v>PRIUS_PHV_GEN1 / ZVW35</x:v>
      </x:c>
      <x:c r="J57" s="79" t="str">
        <x:v>PiP Adv (US).csv</x:v>
      </x:c>
      <x:c r="K57" s="79" t="str">
        <x:v>2013-01-22</x:v>
      </x:c>
      <x:c r="L57" s="79" t="str">
        <x:v>READ-ONLY DIAGNOSTIC CANDIDATE</x:v>
      </x:c>
      <x:c r="M57" s="79" t="str">
        <x:v>CANDIDATE</x:v>
      </x:c>
      <x:c r="N57" s="80" t="str">
        <x:v>Advanced PHV source; never merge unchanged into ordinary Gen 3</x:v>
      </x:c>
    </x:row>
    <x:row r="58">
      <x:c r="A58" s="78" t="str">
        <x:v>SLA Solenoid Current</x:v>
      </x:c>
      <x:c r="B58" s="79" t="str">
        <x:v>SLA curr</x:v>
      </x:c>
      <x:c r="C58" s="79" t="str">
        <x:v>21A3</x:v>
      </x:c>
      <x:c r="D58" s="79" t="str">
        <x:v>A * 3 / 255</x:v>
      </x:c>
      <x:c r="E58" s="79" t="str">
        <x:v>0</x:v>
      </x:c>
      <x:c r="F58" s="79" t="str">
        <x:v>3</x:v>
      </x:c>
      <x:c r="G58" s="79" t="str">
        <x:v>A</x:v>
      </x:c>
      <x:c r="H58" s="79" t="str">
        <x:v>7B0</x:v>
      </x:c>
      <x:c r="I58" s="79" t="str">
        <x:v>PRIUS_PHV_GEN1 / ZVW35</x:v>
      </x:c>
      <x:c r="J58" s="79" t="str">
        <x:v>PiP Adv (US).csv</x:v>
      </x:c>
      <x:c r="K58" s="79" t="str">
        <x:v>2013-01-22</x:v>
      </x:c>
      <x:c r="L58" s="79" t="str">
        <x:v>READ-ONLY DIAGNOSTIC CANDIDATE</x:v>
      </x:c>
      <x:c r="M58" s="79" t="str">
        <x:v>CANDIDATE</x:v>
      </x:c>
      <x:c r="N58" s="80" t="str">
        <x:v>Advanced PHV source; never merge unchanged into ordinary Gen 3</x:v>
      </x:c>
    </x:row>
    <x:row r="59">
      <x:c r="A59" s="78" t="str">
        <x:v>SLR Solenoid Current</x:v>
      </x:c>
      <x:c r="B59" s="79" t="str">
        <x:v>SLR curr</x:v>
      </x:c>
      <x:c r="C59" s="79" t="str">
        <x:v>21A3</x:v>
      </x:c>
      <x:c r="D59" s="79" t="str">
        <x:v>B * 3 / 255</x:v>
      </x:c>
      <x:c r="E59" s="79" t="str">
        <x:v>0</x:v>
      </x:c>
      <x:c r="F59" s="79" t="str">
        <x:v>3</x:v>
      </x:c>
      <x:c r="G59" s="79" t="str">
        <x:v>A</x:v>
      </x:c>
      <x:c r="H59" s="79" t="str">
        <x:v>7B0</x:v>
      </x:c>
      <x:c r="I59" s="79" t="str">
        <x:v>PRIUS_PHV_GEN1 / ZVW35</x:v>
      </x:c>
      <x:c r="J59" s="79" t="str">
        <x:v>PiP Adv (US).csv</x:v>
      </x:c>
      <x:c r="K59" s="79" t="str">
        <x:v>2013-01-22</x:v>
      </x:c>
      <x:c r="L59" s="79" t="str">
        <x:v>READ-ONLY DIAGNOSTIC CANDIDATE</x:v>
      </x:c>
      <x:c r="M59" s="79" t="str">
        <x:v>CANDIDATE</x:v>
      </x:c>
      <x:c r="N59" s="80" t="str">
        <x:v>Advanced PHV source; never merge unchanged into ordinary Gen 3</x:v>
      </x:c>
    </x:row>
    <x:row r="60">
      <x:c r="A60" s="78" t="str">
        <x:v>SSC Solenoid Current</x:v>
      </x:c>
      <x:c r="B60" s="79" t="str">
        <x:v>SSC curr</x:v>
      </x:c>
      <x:c r="C60" s="79" t="str">
        <x:v>21A3</x:v>
      </x:c>
      <x:c r="D60" s="79" t="str">
        <x:v>C * 3 / 255</x:v>
      </x:c>
      <x:c r="E60" s="79" t="str">
        <x:v>0</x:v>
      </x:c>
      <x:c r="F60" s="79" t="str">
        <x:v>3</x:v>
      </x:c>
      <x:c r="G60" s="79" t="str">
        <x:v>A</x:v>
      </x:c>
      <x:c r="H60" s="79" t="str">
        <x:v>7B0</x:v>
      </x:c>
      <x:c r="I60" s="79" t="str">
        <x:v>PRIUS_PHV_GEN1 / ZVW35</x:v>
      </x:c>
      <x:c r="J60" s="79" t="str">
        <x:v>PiP Adv (US).csv</x:v>
      </x:c>
      <x:c r="K60" s="79" t="str">
        <x:v>2013-01-22</x:v>
      </x:c>
      <x:c r="L60" s="79" t="str">
        <x:v>READ-ONLY DIAGNOSTIC CANDIDATE</x:v>
      </x:c>
      <x:c r="M60" s="79" t="str">
        <x:v>CANDIDATE</x:v>
      </x:c>
      <x:c r="N60" s="80" t="str">
        <x:v>Advanced PHV source; never merge unchanged into ordinary Gen 3</x:v>
      </x:c>
    </x:row>
    <x:row r="61">
      <x:c r="A61" s="78" t="str">
        <x:v>SCC Solenoid Current</x:v>
      </x:c>
      <x:c r="B61" s="79" t="str">
        <x:v>SCC curr</x:v>
      </x:c>
      <x:c r="C61" s="79" t="str">
        <x:v>21A3</x:v>
      </x:c>
      <x:c r="D61" s="79" t="str">
        <x:v>D * 3 / 255</x:v>
      </x:c>
      <x:c r="E61" s="79" t="str">
        <x:v>0</x:v>
      </x:c>
      <x:c r="F61" s="79" t="str">
        <x:v>3</x:v>
      </x:c>
      <x:c r="G61" s="79" t="str">
        <x:v>A</x:v>
      </x:c>
      <x:c r="H61" s="79" t="str">
        <x:v>7B0</x:v>
      </x:c>
      <x:c r="I61" s="79" t="str">
        <x:v>PRIUS_PHV_GEN1 / ZVW35</x:v>
      </x:c>
      <x:c r="J61" s="79" t="str">
        <x:v>PiP Adv (US).csv</x:v>
      </x:c>
      <x:c r="K61" s="79" t="str">
        <x:v>2013-01-22</x:v>
      </x:c>
      <x:c r="L61" s="79" t="str">
        <x:v>READ-ONLY DIAGNOSTIC CANDIDATE</x:v>
      </x:c>
      <x:c r="M61" s="79" t="str">
        <x:v>CANDIDATE</x:v>
      </x:c>
      <x:c r="N61" s="80" t="str">
        <x:v>Advanced PHV source; never merge unchanged into ordinary Gen 3</x:v>
      </x:c>
    </x:row>
    <x:row r="62">
      <x:c r="A62" s="78" t="str">
        <x:v>SMC Solenoid Current</x:v>
      </x:c>
      <x:c r="B62" s="79" t="str">
        <x:v>SMC curr</x:v>
      </x:c>
      <x:c r="C62" s="79" t="str">
        <x:v>21A3</x:v>
      </x:c>
      <x:c r="D62" s="79" t="str">
        <x:v>E * 3 / 255</x:v>
      </x:c>
      <x:c r="E62" s="79" t="str">
        <x:v>0</x:v>
      </x:c>
      <x:c r="F62" s="79" t="str">
        <x:v>3</x:v>
      </x:c>
      <x:c r="G62" s="79" t="str">
        <x:v>A</x:v>
      </x:c>
      <x:c r="H62" s="79" t="str">
        <x:v>7B0</x:v>
      </x:c>
      <x:c r="I62" s="79" t="str">
        <x:v>PRIUS_PHV_GEN1 / ZVW35</x:v>
      </x:c>
      <x:c r="J62" s="79" t="str">
        <x:v>PiP Adv (US).csv</x:v>
      </x:c>
      <x:c r="K62" s="79" t="str">
        <x:v>2013-01-22</x:v>
      </x:c>
      <x:c r="L62" s="79" t="str">
        <x:v>READ-ONLY DIAGNOSTIC CANDIDATE</x:v>
      </x:c>
      <x:c r="M62" s="79" t="str">
        <x:v>CANDIDATE</x:v>
      </x:c>
      <x:c r="N62" s="80" t="str">
        <x:v>Advanced PHV source; never merge unchanged into ordinary Gen 3</x:v>
      </x:c>
    </x:row>
    <x:row r="63">
      <x:c r="A63" s="78" t="str">
        <x:v>SRC Solenoid Current</x:v>
      </x:c>
      <x:c r="B63" s="79" t="str">
        <x:v>SRC curr</x:v>
      </x:c>
      <x:c r="C63" s="79" t="str">
        <x:v>21A3</x:v>
      </x:c>
      <x:c r="D63" s="79" t="str">
        <x:v>F * 3 / 255</x:v>
      </x:c>
      <x:c r="E63" s="79" t="str">
        <x:v>0</x:v>
      </x:c>
      <x:c r="F63" s="79" t="str">
        <x:v>3</x:v>
      </x:c>
      <x:c r="G63" s="79" t="str">
        <x:v>A</x:v>
      </x:c>
      <x:c r="H63" s="79" t="str">
        <x:v>7B0</x:v>
      </x:c>
      <x:c r="I63" s="79" t="str">
        <x:v>PRIUS_PHV_GEN1 / ZVW35</x:v>
      </x:c>
      <x:c r="J63" s="79" t="str">
        <x:v>PiP Adv (US).csv</x:v>
      </x:c>
      <x:c r="K63" s="79" t="str">
        <x:v>2013-01-22</x:v>
      </x:c>
      <x:c r="L63" s="79" t="str">
        <x:v>READ-ONLY DIAGNOSTIC CANDIDATE</x:v>
      </x:c>
      <x:c r="M63" s="79" t="str">
        <x:v>CANDIDATE</x:v>
      </x:c>
      <x:c r="N63" s="80" t="str">
        <x:v>Advanced PHV source; never merge unchanged into ordinary Gen 3</x:v>
      </x:c>
    </x:row>
    <x:row r="64">
      <x:c r="A64" s="78" t="str">
        <x:v>Inspection Mode (Other=Off,Inspect=On)</x:v>
      </x:c>
      <x:c r="B64" s="79" t="str">
        <x:v>Insp Mode</x:v>
      </x:c>
      <x:c r="C64" s="79" t="str">
        <x:v>21A6</x:v>
      </x:c>
      <x:c r="D64" s="79" t="str">
        <x:v>{A:7}</x:v>
      </x:c>
      <x:c r="E64" s="79" t="str">
        <x:v>0</x:v>
      </x:c>
      <x:c r="F64" s="79" t="str">
        <x:v>1</x:v>
      </x:c>
      <x:c r="G64" s="79" t="str">
        <x:v>Off/On</x:v>
      </x:c>
      <x:c r="H64" s="79" t="str">
        <x:v>7B0</x:v>
      </x:c>
      <x:c r="I64" s="79" t="str">
        <x:v>PRIUS_PHV_GEN1 / ZVW35</x:v>
      </x:c>
      <x:c r="J64" s="79" t="str">
        <x:v>PiP Adv (US).csv</x:v>
      </x:c>
      <x:c r="K64" s="79" t="str">
        <x:v>2013-01-22</x:v>
      </x:c>
      <x:c r="L64" s="79" t="str">
        <x:v>READ-ONLY DIAGNOSTIC CANDIDATE</x:v>
      </x:c>
      <x:c r="M64" s="79" t="str">
        <x:v>CANDIDATE</x:v>
      </x:c>
      <x:c r="N64" s="80" t="str">
        <x:v>Advanced PHV source; never merge unchanged into ordinary Gen 3</x:v>
      </x:c>
    </x:row>
    <x:row r="65">
      <x:c r="A65" s="78" t="str">
        <x:v>Hazard Switch History (Incomplete=Off,Complete=On)</x:v>
      </x:c>
      <x:c r="B65" s="79" t="str">
        <x:v>Haz Hist</x:v>
      </x:c>
      <x:c r="C65" s="79" t="str">
        <x:v>21BC</x:v>
      </x:c>
      <x:c r="D65" s="79" t="str">
        <x:v>{A:5}</x:v>
      </x:c>
      <x:c r="E65" s="79" t="str">
        <x:v>0</x:v>
      </x:c>
      <x:c r="F65" s="79" t="str">
        <x:v>1</x:v>
      </x:c>
      <x:c r="G65" s="79" t="str">
        <x:v>Off/On</x:v>
      </x:c>
      <x:c r="H65" s="79" t="str">
        <x:v>7B0</x:v>
      </x:c>
      <x:c r="I65" s="79" t="str">
        <x:v>PRIUS_PHV_GEN1 / ZVW35</x:v>
      </x:c>
      <x:c r="J65" s="79" t="str">
        <x:v>PiP Adv (US).csv</x:v>
      </x:c>
      <x:c r="K65" s="79" t="str">
        <x:v>2013-01-22</x:v>
      </x:c>
      <x:c r="L65" s="79" t="str">
        <x:v>READ-ONLY DIAGNOSTIC CANDIDATE</x:v>
      </x:c>
      <x:c r="M65" s="79" t="str">
        <x:v>CANDIDATE</x:v>
      </x:c>
      <x:c r="N65" s="80" t="str">
        <x:v>Advanced PHV source; never merge unchanged into ordinary Gen 3</x:v>
      </x:c>
    </x:row>
    <x:row r="66">
      <x:c r="A66" s="78" t="str">
        <x:v>FR Speed Open (Normal=0,Error=1)</x:v>
      </x:c>
      <x:c r="B66" s="79" t="str">
        <x:v>FRS Open</x:v>
      </x:c>
      <x:c r="C66" s="79" t="str">
        <x:v>21BE</x:v>
      </x:c>
      <x:c r="D66" s="79" t="str">
        <x:v>{A:7}</x:v>
      </x:c>
      <x:c r="E66" s="79" t="str">
        <x:v>0</x:v>
      </x:c>
      <x:c r="F66" s="79" t="str">
        <x:v>1</x:v>
      </x:c>
      <x:c r="G66" s="79" t="str">
        <x:v>Off/On</x:v>
      </x:c>
      <x:c r="H66" s="79" t="str">
        <x:v>7B0</x:v>
      </x:c>
      <x:c r="I66" s="79" t="str">
        <x:v>PRIUS_PHV_GEN1 / ZVW35</x:v>
      </x:c>
      <x:c r="J66" s="79" t="str">
        <x:v>PiP Adv (US).csv</x:v>
      </x:c>
      <x:c r="K66" s="79" t="str">
        <x:v>2013-01-22</x:v>
      </x:c>
      <x:c r="L66" s="79" t="str">
        <x:v>READ-ONLY DIAGNOSTIC CANDIDATE</x:v>
      </x:c>
      <x:c r="M66" s="79" t="str">
        <x:v>CANDIDATE</x:v>
      </x:c>
      <x:c r="N66" s="80" t="str">
        <x:v>Advanced PHV source; never merge unchanged into ordinary Gen 3</x:v>
      </x:c>
    </x:row>
    <x:row r="67">
      <x:c r="A67" s="78" t="str">
        <x:v>FL Speed Open (Normal=0,Error=1)</x:v>
      </x:c>
      <x:c r="B67" s="79" t="str">
        <x:v>FLS Open</x:v>
      </x:c>
      <x:c r="C67" s="79" t="str">
        <x:v>21BE</x:v>
      </x:c>
      <x:c r="D67" s="79" t="str">
        <x:v>{A:6}</x:v>
      </x:c>
      <x:c r="E67" s="79" t="str">
        <x:v>0</x:v>
      </x:c>
      <x:c r="F67" s="79" t="str">
        <x:v>1</x:v>
      </x:c>
      <x:c r="G67" s="79" t="str">
        <x:v>Off/On</x:v>
      </x:c>
      <x:c r="H67" s="79" t="str">
        <x:v>7B0</x:v>
      </x:c>
      <x:c r="I67" s="79" t="str">
        <x:v>PRIUS_PHV_GEN1 / ZVW35</x:v>
      </x:c>
      <x:c r="J67" s="79" t="str">
        <x:v>PiP Adv (US).csv</x:v>
      </x:c>
      <x:c r="K67" s="79" t="str">
        <x:v>2013-01-22</x:v>
      </x:c>
      <x:c r="L67" s="79" t="str">
        <x:v>READ-ONLY DIAGNOSTIC CANDIDATE</x:v>
      </x:c>
      <x:c r="M67" s="79" t="str">
        <x:v>CANDIDATE</x:v>
      </x:c>
      <x:c r="N67" s="80" t="str">
        <x:v>Advanced PHV source; never merge unchanged into ordinary Gen 3</x:v>
      </x:c>
    </x:row>
    <x:row r="68">
      <x:c r="A68" s="78" t="str">
        <x:v>RR Speed Open (Normal=0,Error=1)</x:v>
      </x:c>
      <x:c r="B68" s="79" t="str">
        <x:v>RRS Open</x:v>
      </x:c>
      <x:c r="C68" s="79" t="str">
        <x:v>21BE</x:v>
      </x:c>
      <x:c r="D68" s="79" t="str">
        <x:v>{A:5}</x:v>
      </x:c>
      <x:c r="E68" s="79" t="str">
        <x:v>0</x:v>
      </x:c>
      <x:c r="F68" s="79" t="str">
        <x:v>1</x:v>
      </x:c>
      <x:c r="G68" s="79" t="str">
        <x:v>Off/On</x:v>
      </x:c>
      <x:c r="H68" s="79" t="str">
        <x:v>7B0</x:v>
      </x:c>
      <x:c r="I68" s="79" t="str">
        <x:v>PRIUS_PHV_GEN1 / ZVW35</x:v>
      </x:c>
      <x:c r="J68" s="79" t="str">
        <x:v>PiP Adv (US).csv</x:v>
      </x:c>
      <x:c r="K68" s="79" t="str">
        <x:v>2013-01-22</x:v>
      </x:c>
      <x:c r="L68" s="79" t="str">
        <x:v>READ-ONLY DIAGNOSTIC CANDIDATE</x:v>
      </x:c>
      <x:c r="M68" s="79" t="str">
        <x:v>CANDIDATE</x:v>
      </x:c>
      <x:c r="N68" s="80" t="str">
        <x:v>Advanced PHV source; never merge unchanged into ordinary Gen 3</x:v>
      </x:c>
    </x:row>
    <x:row r="69">
      <x:c r="A69" s="78" t="str">
        <x:v>RL Speed Open (Normal=0,Error=1)</x:v>
      </x:c>
      <x:c r="B69" s="79" t="str">
        <x:v>RLS Open</x:v>
      </x:c>
      <x:c r="C69" s="79" t="str">
        <x:v>21BE</x:v>
      </x:c>
      <x:c r="D69" s="79" t="str">
        <x:v>{A:4}</x:v>
      </x:c>
      <x:c r="E69" s="79" t="str">
        <x:v>0</x:v>
      </x:c>
      <x:c r="F69" s="79" t="str">
        <x:v>1</x:v>
      </x:c>
      <x:c r="G69" s="79" t="str">
        <x:v>Off/On</x:v>
      </x:c>
      <x:c r="H69" s="79" t="str">
        <x:v>7B0</x:v>
      </x:c>
      <x:c r="I69" s="79" t="str">
        <x:v>PRIUS_PHV_GEN1 / ZVW35</x:v>
      </x:c>
      <x:c r="J69" s="79" t="str">
        <x:v>PiP Adv (US).csv</x:v>
      </x:c>
      <x:c r="K69" s="79" t="str">
        <x:v>2013-01-22</x:v>
      </x:c>
      <x:c r="L69" s="79" t="str">
        <x:v>READ-ONLY DIAGNOSTIC CANDIDATE</x:v>
      </x:c>
      <x:c r="M69" s="79" t="str">
        <x:v>CANDIDATE</x:v>
      </x:c>
      <x:c r="N69" s="80" t="str">
        <x:v>Advanced PHV source; never merge unchanged into ordinary Gen 3</x:v>
      </x:c>
    </x:row>
    <x:row r="70">
      <x:c r="A70" s="78" t="str">
        <x:v>Yaw Rate Open (Normal=0,Error=1)</x:v>
      </x:c>
      <x:c r="B70" s="79" t="str">
        <x:v>YR Open</x:v>
      </x:c>
      <x:c r="C70" s="79" t="str">
        <x:v>21BE</x:v>
      </x:c>
      <x:c r="D70" s="79" t="str">
        <x:v>{A:2}</x:v>
      </x:c>
      <x:c r="E70" s="79" t="str">
        <x:v>0</x:v>
      </x:c>
      <x:c r="F70" s="79" t="str">
        <x:v>1</x:v>
      </x:c>
      <x:c r="G70" s="79" t="str">
        <x:v>Off/On</x:v>
      </x:c>
      <x:c r="H70" s="79" t="str">
        <x:v>7B0</x:v>
      </x:c>
      <x:c r="I70" s="79" t="str">
        <x:v>PRIUS_PHV_GEN1 / ZVW35</x:v>
      </x:c>
      <x:c r="J70" s="79" t="str">
        <x:v>PiP Adv (US).csv</x:v>
      </x:c>
      <x:c r="K70" s="79" t="str">
        <x:v>2013-01-22</x:v>
      </x:c>
      <x:c r="L70" s="79" t="str">
        <x:v>READ-ONLY DIAGNOSTIC CANDIDATE</x:v>
      </x:c>
      <x:c r="M70" s="79" t="str">
        <x:v>CANDIDATE</x:v>
      </x:c>
      <x:c r="N70" s="80" t="str">
        <x:v>Advanced PHV source; never merge unchanged into ordinary Gen 3</x:v>
      </x:c>
    </x:row>
    <x:row r="71">
      <x:c r="A71" s="78" t="str">
        <x:v>Deceleration Open (Normal=0,Error=1)</x:v>
      </x:c>
      <x:c r="B71" s="79" t="str">
        <x:v>Decel Open</x:v>
      </x:c>
      <x:c r="C71" s="79" t="str">
        <x:v>21BE</x:v>
      </x:c>
      <x:c r="D71" s="79" t="str">
        <x:v>{A:1}</x:v>
      </x:c>
      <x:c r="E71" s="79" t="str">
        <x:v>0</x:v>
      </x:c>
      <x:c r="F71" s="79" t="str">
        <x:v>1</x:v>
      </x:c>
      <x:c r="G71" s="79" t="str">
        <x:v>Off/On</x:v>
      </x:c>
      <x:c r="H71" s="79" t="str">
        <x:v>7B0</x:v>
      </x:c>
      <x:c r="I71" s="79" t="str">
        <x:v>PRIUS_PHV_GEN1 / ZVW35</x:v>
      </x:c>
      <x:c r="J71" s="79" t="str">
        <x:v>PiP Adv (US).csv</x:v>
      </x:c>
      <x:c r="K71" s="79" t="str">
        <x:v>2013-01-22</x:v>
      </x:c>
      <x:c r="L71" s="79" t="str">
        <x:v>READ-ONLY DIAGNOSTIC CANDIDATE</x:v>
      </x:c>
      <x:c r="M71" s="79" t="str">
        <x:v>CANDIDATE</x:v>
      </x:c>
      <x:c r="N71" s="80" t="str">
        <x:v>Advanced PHV source; never merge unchanged into ordinary Gen 3</x:v>
      </x:c>
    </x:row>
    <x:row r="72">
      <x:c r="A72" s="78" t="str">
        <x:v>Steering Open (Normal=0,Error=1)</x:v>
      </x:c>
      <x:c r="B72" s="79" t="str">
        <x:v>Steer Open</x:v>
      </x:c>
      <x:c r="C72" s="79" t="str">
        <x:v>21BE</x:v>
      </x:c>
      <x:c r="D72" s="79" t="str">
        <x:v>{A:0}</x:v>
      </x:c>
      <x:c r="E72" s="79" t="str">
        <x:v>0</x:v>
      </x:c>
      <x:c r="F72" s="79" t="str">
        <x:v>1</x:v>
      </x:c>
      <x:c r="G72" s="79" t="str">
        <x:v>Off/On</x:v>
      </x:c>
      <x:c r="H72" s="79" t="str">
        <x:v>7B0</x:v>
      </x:c>
      <x:c r="I72" s="79" t="str">
        <x:v>PRIUS_PHV_GEN1 / ZVW35</x:v>
      </x:c>
      <x:c r="J72" s="79" t="str">
        <x:v>PiP Adv (US).csv</x:v>
      </x:c>
      <x:c r="K72" s="79" t="str">
        <x:v>2013-01-22</x:v>
      </x:c>
      <x:c r="L72" s="79" t="str">
        <x:v>READ-ONLY DIAGNOSTIC CANDIDATE</x:v>
      </x:c>
      <x:c r="M72" s="79" t="str">
        <x:v>CANDIDATE</x:v>
      </x:c>
      <x:c r="N72" s="80" t="str">
        <x:v>Advanced PHV source; never merge unchanged into ordinary Gen 3</x:v>
      </x:c>
    </x:row>
    <x:row r="73">
      <x:c r="A73" s="78" t="str">
        <x:v>Master Cylinder Open (Normal=0,Error=1)</x:v>
      </x:c>
      <x:c r="B73" s="79" t="str">
        <x:v>MC Open</x:v>
      </x:c>
      <x:c r="C73" s="79" t="str">
        <x:v>21BE</x:v>
      </x:c>
      <x:c r="D73" s="79" t="str">
        <x:v>{B:7}</x:v>
      </x:c>
      <x:c r="E73" s="79" t="str">
        <x:v>0</x:v>
      </x:c>
      <x:c r="F73" s="79" t="str">
        <x:v>1</x:v>
      </x:c>
      <x:c r="G73" s="79" t="str">
        <x:v>Off/On</x:v>
      </x:c>
      <x:c r="H73" s="79" t="str">
        <x:v>7B0</x:v>
      </x:c>
      <x:c r="I73" s="79" t="str">
        <x:v>PRIUS_PHV_GEN1 / ZVW35</x:v>
      </x:c>
      <x:c r="J73" s="79" t="str">
        <x:v>PiP Adv (US).csv</x:v>
      </x:c>
      <x:c r="K73" s="79" t="str">
        <x:v>2013-01-22</x:v>
      </x:c>
      <x:c r="L73" s="79" t="str">
        <x:v>READ-ONLY DIAGNOSTIC CANDIDATE</x:v>
      </x:c>
      <x:c r="M73" s="79" t="str">
        <x:v>CANDIDATE</x:v>
      </x:c>
      <x:c r="N73" s="80" t="str">
        <x:v>Advanced PHV source; never merge unchanged into ordinary Gen 3</x:v>
      </x:c>
    </x:row>
    <x:row r="74">
      <x:c r="A74" s="78" t="str">
        <x:v>Stroke Open (Normal=0,Error=1)</x:v>
      </x:c>
      <x:c r="B74" s="79" t="str">
        <x:v>Stroke Open</x:v>
      </x:c>
      <x:c r="C74" s="79" t="str">
        <x:v>21BE</x:v>
      </x:c>
      <x:c r="D74" s="79" t="str">
        <x:v>{B:5}</x:v>
      </x:c>
      <x:c r="E74" s="79" t="str">
        <x:v>0</x:v>
      </x:c>
      <x:c r="F74" s="79" t="str">
        <x:v>1</x:v>
      </x:c>
      <x:c r="G74" s="79" t="str">
        <x:v>Off/On</x:v>
      </x:c>
      <x:c r="H74" s="79" t="str">
        <x:v>7B0</x:v>
      </x:c>
      <x:c r="I74" s="79" t="str">
        <x:v>PRIUS_PHV_GEN1 / ZVW35</x:v>
      </x:c>
      <x:c r="J74" s="79" t="str">
        <x:v>PiP Adv (US).csv</x:v>
      </x:c>
      <x:c r="K74" s="79" t="str">
        <x:v>2013-01-22</x:v>
      </x:c>
      <x:c r="L74" s="79" t="str">
        <x:v>READ-ONLY DIAGNOSTIC CANDIDATE</x:v>
      </x:c>
      <x:c r="M74" s="79" t="str">
        <x:v>CANDIDATE</x:v>
      </x:c>
      <x:c r="N74" s="80" t="str">
        <x:v>Advanced PHV source; never merge unchanged into ordinary Gen 3</x:v>
      </x:c>
    </x:row>
    <x:row r="75">
      <x:c r="A75" s="78" t="str">
        <x:v>FR Wheel Cylinder Open (Normal=0,Error=1)</x:v>
      </x:c>
      <x:c r="B75" s="79" t="str">
        <x:v>FRWC Open</x:v>
      </x:c>
      <x:c r="C75" s="79" t="str">
        <x:v>21BE</x:v>
      </x:c>
      <x:c r="D75" s="79" t="str">
        <x:v>{B:3}</x:v>
      </x:c>
      <x:c r="E75" s="79" t="str">
        <x:v>0</x:v>
      </x:c>
      <x:c r="F75" s="79" t="str">
        <x:v>1</x:v>
      </x:c>
      <x:c r="G75" s="79" t="str">
        <x:v>Off/On</x:v>
      </x:c>
      <x:c r="H75" s="79" t="str">
        <x:v>7B0</x:v>
      </x:c>
      <x:c r="I75" s="79" t="str">
        <x:v>PRIUS_PHV_GEN1 / ZVW35</x:v>
      </x:c>
      <x:c r="J75" s="79" t="str">
        <x:v>PiP Adv (US).csv</x:v>
      </x:c>
      <x:c r="K75" s="79" t="str">
        <x:v>2013-01-22</x:v>
      </x:c>
      <x:c r="L75" s="79" t="str">
        <x:v>READ-ONLY DIAGNOSTIC CANDIDATE</x:v>
      </x:c>
      <x:c r="M75" s="79" t="str">
        <x:v>CANDIDATE</x:v>
      </x:c>
      <x:c r="N75" s="80" t="str">
        <x:v>Advanced PHV source; never merge unchanged into ordinary Gen 3</x:v>
      </x:c>
    </x:row>
    <x:row r="76">
      <x:c r="A76" s="78" t="str">
        <x:v>Accumulator Open (Normal=0,Error=1)</x:v>
      </x:c>
      <x:c r="B76" s="79" t="str">
        <x:v>Acc Open</x:v>
      </x:c>
      <x:c r="C76" s="79" t="str">
        <x:v>21BE</x:v>
      </x:c>
      <x:c r="D76" s="79" t="str">
        <x:v>{C:7}</x:v>
      </x:c>
      <x:c r="E76" s="79" t="str">
        <x:v>0</x:v>
      </x:c>
      <x:c r="F76" s="79" t="str">
        <x:v>1</x:v>
      </x:c>
      <x:c r="G76" s="79" t="str">
        <x:v>Off/On</x:v>
      </x:c>
      <x:c r="H76" s="79" t="str">
        <x:v>7B0</x:v>
      </x:c>
      <x:c r="I76" s="79" t="str">
        <x:v>PRIUS_PHV_GEN1 / ZVW35</x:v>
      </x:c>
      <x:c r="J76" s="79" t="str">
        <x:v>PiP Adv (US).csv</x:v>
      </x:c>
      <x:c r="K76" s="79" t="str">
        <x:v>2013-01-22</x:v>
      </x:c>
      <x:c r="L76" s="79" t="str">
        <x:v>READ-ONLY DIAGNOSTIC CANDIDATE</x:v>
      </x:c>
      <x:c r="M76" s="79" t="str">
        <x:v>CANDIDATE</x:v>
      </x:c>
      <x:c r="N76" s="80" t="str">
        <x:v>Advanced PHV source; never merge unchanged into ordinary Gen 3</x:v>
      </x:c>
    </x:row>
    <x:row r="77">
      <x:c r="A77" s="78" t="str">
        <x:v>HV Communication Open (Normal=0,Error=1)</x:v>
      </x:c>
      <x:c r="B77" s="79" t="str">
        <x:v>HVC Open</x:v>
      </x:c>
      <x:c r="C77" s="79" t="str">
        <x:v>21BE</x:v>
      </x:c>
      <x:c r="D77" s="79" t="str">
        <x:v>{C:6}</x:v>
      </x:c>
      <x:c r="E77" s="79" t="str">
        <x:v>0</x:v>
      </x:c>
      <x:c r="F77" s="79" t="str">
        <x:v>1</x:v>
      </x:c>
      <x:c r="G77" s="79" t="str">
        <x:v>Off/On</x:v>
      </x:c>
      <x:c r="H77" s="79" t="str">
        <x:v>7B0</x:v>
      </x:c>
      <x:c r="I77" s="79" t="str">
        <x:v>PRIUS_PHV_GEN1 / ZVW35</x:v>
      </x:c>
      <x:c r="J77" s="79" t="str">
        <x:v>PiP Adv (US).csv</x:v>
      </x:c>
      <x:c r="K77" s="79" t="str">
        <x:v>2013-01-22</x:v>
      </x:c>
      <x:c r="L77" s="79" t="str">
        <x:v>READ-ONLY DIAGNOSTIC CANDIDATE</x:v>
      </x:c>
      <x:c r="M77" s="79" t="str">
        <x:v>CANDIDATE</x:v>
      </x:c>
      <x:c r="N77" s="80" t="str">
        <x:v>Advanced PHV source; never merge unchanged into ordinary Gen 3</x:v>
      </x:c>
    </x:row>
    <x:row r="78">
      <x:c r="A78" s="78" t="str">
        <x:v>Tail Cancel SW</x:v>
      </x:c>
      <x:c r="B78" s="79" t="str">
        <x:v>Tail Cancel</x:v>
      </x:c>
      <x:c r="C78" s="79" t="str">
        <x:v>2112</x:v>
      </x:c>
      <x:c r="D78" s="79" t="str">
        <x:v>{A:5}</x:v>
      </x:c>
      <x:c r="E78" s="79" t="str">
        <x:v>0</x:v>
      </x:c>
      <x:c r="F78" s="79" t="str">
        <x:v>1</x:v>
      </x:c>
      <x:c r="G78" s="79" t="str">
        <x:v>Off/On</x:v>
      </x:c>
      <x:c r="H78" s="79" t="str">
        <x:v>7C0</x:v>
      </x:c>
      <x:c r="I78" s="79" t="str">
        <x:v>PRIUS_PHV_GEN1 / ZVW35</x:v>
      </x:c>
      <x:c r="J78" s="79" t="str">
        <x:v>PiP Adv (US).csv</x:v>
      </x:c>
      <x:c r="K78" s="79" t="str">
        <x:v>2013-01-22</x:v>
      </x:c>
      <x:c r="L78" s="79" t="str">
        <x:v>READ-ONLY DIAGNOSTIC CANDIDATE</x:v>
      </x:c>
      <x:c r="M78" s="79" t="str">
        <x:v>CANDIDATE</x:v>
      </x:c>
      <x:c r="N78" s="80" t="str">
        <x:v>Advanced PHV source; never merge unchanged into ordinary Gen 3</x:v>
      </x:c>
    </x:row>
    <x:row r="79">
      <x:c r="A79" s="78" t="str">
        <x:v>P-Seatbelt Buckle SW</x:v>
      </x:c>
      <x:c r="B79" s="79" t="str">
        <x:v>P-Seatbelt</x:v>
      </x:c>
      <x:c r="C79" s="79" t="str">
        <x:v>2112</x:v>
      </x:c>
      <x:c r="D79" s="79" t="str">
        <x:v>{B:7}</x:v>
      </x:c>
      <x:c r="E79" s="79" t="str">
        <x:v>0</x:v>
      </x:c>
      <x:c r="F79" s="79" t="str">
        <x:v>1</x:v>
      </x:c>
      <x:c r="G79" s="79" t="str">
        <x:v>Off/On</x:v>
      </x:c>
      <x:c r="H79" s="79" t="str">
        <x:v>7C0</x:v>
      </x:c>
      <x:c r="I79" s="79" t="str">
        <x:v>PRIUS_PHV_GEN1 / ZVW35</x:v>
      </x:c>
      <x:c r="J79" s="79" t="str">
        <x:v>PiP Adv (US).csv</x:v>
      </x:c>
      <x:c r="K79" s="79" t="str">
        <x:v>2013-01-22</x:v>
      </x:c>
      <x:c r="L79" s="79" t="str">
        <x:v>READ-ONLY DIAGNOSTIC CANDIDATE</x:v>
      </x:c>
      <x:c r="M79" s="79" t="str">
        <x:v>CANDIDATE</x:v>
      </x:c>
      <x:c r="N79" s="80" t="str">
        <x:v>Advanced PHV source; never merge unchanged into ordinary Gen 3</x:v>
      </x:c>
    </x:row>
    <x:row r="80">
      <x:c r="A80" s="78" t="str">
        <x:v>Check Engine SW</x:v>
      </x:c>
      <x:c r="B80" s="79" t="str">
        <x:v>Pwr SW</x:v>
      </x:c>
      <x:c r="C80" s="79" t="str">
        <x:v>2112</x:v>
      </x:c>
      <x:c r="D80" s="79" t="str">
        <x:v>{B:0}</x:v>
      </x:c>
      <x:c r="E80" s="79" t="str">
        <x:v>0</x:v>
      </x:c>
      <x:c r="F80" s="79" t="str">
        <x:v>1</x:v>
      </x:c>
      <x:c r="G80" s="79" t="str">
        <x:v>Off/On</x:v>
      </x:c>
      <x:c r="H80" s="79" t="str">
        <x:v>7C0</x:v>
      </x:c>
      <x:c r="I80" s="79" t="str">
        <x:v>PRIUS_PHV_GEN1 / ZVW35</x:v>
      </x:c>
      <x:c r="J80" s="79" t="str">
        <x:v>PiP Adv (US).csv</x:v>
      </x:c>
      <x:c r="K80" s="79" t="str">
        <x:v>2013-01-22</x:v>
      </x:c>
      <x:c r="L80" s="79" t="str">
        <x:v>READ-ONLY DIAGNOSTIC CANDIDATE</x:v>
      </x:c>
      <x:c r="M80" s="79" t="str">
        <x:v>CANDIDATE</x:v>
      </x:c>
      <x:c r="N80" s="80" t="str">
        <x:v>Advanced PHV source; never merge unchanged into ordinary Gen 3</x:v>
      </x:c>
    </x:row>
    <x:row r="81">
      <x:c r="A81" s="78" t="str">
        <x:v>Oil Pressure Switch</x:v>
      </x:c>
      <x:c r="B81" s="79" t="str">
        <x:v>Oil Pres</x:v>
      </x:c>
      <x:c r="C81" s="79" t="str">
        <x:v>2112</x:v>
      </x:c>
      <x:c r="D81" s="79" t="str">
        <x:v>{E:4}</x:v>
      </x:c>
      <x:c r="E81" s="79" t="str">
        <x:v>0</x:v>
      </x:c>
      <x:c r="F81" s="79" t="str">
        <x:v>1</x:v>
      </x:c>
      <x:c r="G81" s="79" t="str">
        <x:v>Off/On</x:v>
      </x:c>
      <x:c r="H81" s="79" t="str">
        <x:v>7C0</x:v>
      </x:c>
      <x:c r="I81" s="79" t="str">
        <x:v>PRIUS_PHV_GEN1 / ZVW35</x:v>
      </x:c>
      <x:c r="J81" s="79" t="str">
        <x:v>PiP Adv (US).csv</x:v>
      </x:c>
      <x:c r="K81" s="79" t="str">
        <x:v>2013-01-22</x:v>
      </x:c>
      <x:c r="L81" s="79" t="str">
        <x:v>READ-ONLY DIAGNOSTIC CANDIDATE</x:v>
      </x:c>
      <x:c r="M81" s="79" t="str">
        <x:v>CANDIDATE</x:v>
      </x:c>
      <x:c r="N81" s="80" t="str">
        <x:v>Advanced PHV source; never merge unchanged into ordinary Gen 3</x:v>
      </x:c>
    </x:row>
    <x:row r="82">
      <x:c r="A82" s="78" t="str">
        <x:v>+B Voltage Value</x:v>
      </x:c>
      <x:c r="B82" s="79" t="str">
        <x:v>Aux B Volt</x:v>
      </x:c>
      <x:c r="C82" s="79" t="str">
        <x:v>2113</x:v>
      </x:c>
      <x:c r="D82" s="79" t="str">
        <x:v>A / 10</x:v>
      </x:c>
      <x:c r="E82" s="79" t="str">
        <x:v>0</x:v>
      </x:c>
      <x:c r="F82" s="79" t="str">
        <x:v>20</x:v>
      </x:c>
      <x:c r="G82" s="79" t="str">
        <x:v>V</x:v>
      </x:c>
      <x:c r="H82" s="79" t="str">
        <x:v>7C0</x:v>
      </x:c>
      <x:c r="I82" s="79" t="str">
        <x:v>PRIUS_PHV_GEN1 / ZVW35</x:v>
      </x:c>
      <x:c r="J82" s="79" t="str">
        <x:v>PiP Adv (US).csv</x:v>
      </x:c>
      <x:c r="K82" s="79" t="str">
        <x:v>2013-01-22</x:v>
      </x:c>
      <x:c r="L82" s="79" t="str">
        <x:v>READ-ONLY DIAGNOSTIC CANDIDATE</x:v>
      </x:c>
      <x:c r="M82" s="79" t="str">
        <x:v>CANDIDATE</x:v>
      </x:c>
      <x:c r="N82" s="80" t="str">
        <x:v>Advanced PHV source; never merge unchanged into ordinary Gen 3</x:v>
      </x:c>
    </x:row>
    <x:row r="83">
      <x:c r="A83" s="78" t="str">
        <x:v>Vehicle Speed Meter_7C0</x:v>
      </x:c>
      <x:c r="B83" s="79" t="str">
        <x:v>MPH_7C0</x:v>
      </x:c>
      <x:c r="C83" s="79" t="str">
        <x:v>2121</x:v>
      </x:c>
      <x:c r="D83" s="79" t="str">
        <x:v>A * 15625 / 25146</x:v>
      </x:c>
      <x:c r="E83" s="79" t="str">
        <x:v>0</x:v>
      </x:c>
      <x:c r="F83" s="79" t="str">
        <x:v>124</x:v>
      </x:c>
      <x:c r="G83" s="79" t="str">
        <x:v>mph</x:v>
      </x:c>
      <x:c r="H83" s="79" t="str">
        <x:v>7C0</x:v>
      </x:c>
      <x:c r="I83" s="79" t="str">
        <x:v>PRIUS_PHV_GEN1 / ZVW35</x:v>
      </x:c>
      <x:c r="J83" s="79" t="str">
        <x:v>PiP Adv (US).csv</x:v>
      </x:c>
      <x:c r="K83" s="79" t="str">
        <x:v>2013-01-22</x:v>
      </x:c>
      <x:c r="L83" s="79" t="str">
        <x:v>READ-ONLY DIAGNOSTIC CANDIDATE</x:v>
      </x:c>
      <x:c r="M83" s="79" t="str">
        <x:v>CANDIDATE</x:v>
      </x:c>
      <x:c r="N83" s="80" t="str">
        <x:v>Advanced PHV source; never merge unchanged into ordinary Gen 3</x:v>
      </x:c>
    </x:row>
    <x:row r="84">
      <x:c r="A84" s="78" t="str">
        <x:v>Coolant Temperature_7C0</x:v>
      </x:c>
      <x:c r="B84" s="79" t="str">
        <x:v>Coolant_7C0</x:v>
      </x:c>
      <x:c r="C84" s="79" t="str">
        <x:v>2123</x:v>
      </x:c>
      <x:c r="D84" s="79" t="str">
        <x:v>A * 301.5 / 255 - 40</x:v>
      </x:c>
      <x:c r="E84" s="79" t="str">
        <x:v>-40</x:v>
      </x:c>
      <x:c r="F84" s="79" t="str">
        <x:v>261.5</x:v>
      </x:c>
      <x:c r="G84" s="79" t="str">
        <x:v>F</x:v>
      </x:c>
      <x:c r="H84" s="79" t="str">
        <x:v>7C0</x:v>
      </x:c>
      <x:c r="I84" s="79" t="str">
        <x:v>PRIUS_PHV_GEN1 / ZVW35</x:v>
      </x:c>
      <x:c r="J84" s="79" t="str">
        <x:v>PiP Adv (US).csv</x:v>
      </x:c>
      <x:c r="K84" s="79" t="str">
        <x:v>2013-01-22</x:v>
      </x:c>
      <x:c r="L84" s="79" t="str">
        <x:v>READ-ONLY DIAGNOSTIC CANDIDATE</x:v>
      </x:c>
      <x:c r="M84" s="79" t="str">
        <x:v>CANDIDATE</x:v>
      </x:c>
      <x:c r="N84" s="80" t="str">
        <x:v>Advanced PHV source; never merge unchanged into ordinary Gen 3</x:v>
      </x:c>
    </x:row>
    <x:row r="85">
      <x:c r="A85" s="78" t="str">
        <x:v>Fuel Input</x:v>
      </x:c>
      <x:c r="B85" s="79" t="str">
        <x:v>Fuel Level</x:v>
      </x:c>
      <x:c r="C85" s="79" t="str">
        <x:v>2129</x:v>
      </x:c>
      <x:c r="D85" s="79" t="str">
        <x:v>A * 500 / 3785</x:v>
      </x:c>
      <x:c r="E85" s="79" t="str">
        <x:v>0</x:v>
      </x:c>
      <x:c r="F85" s="79" t="str">
        <x:v>13</x:v>
      </x:c>
      <x:c r="G85" s="79" t="str">
        <x:v>US Gallons</x:v>
      </x:c>
      <x:c r="H85" s="79" t="str">
        <x:v>7C0</x:v>
      </x:c>
      <x:c r="I85" s="79" t="str">
        <x:v>PRIUS_PHV_GEN1 / ZVW35</x:v>
      </x:c>
      <x:c r="J85" s="79" t="str">
        <x:v>PiP Adv (US).csv</x:v>
      </x:c>
      <x:c r="K85" s="79" t="str">
        <x:v>2013-01-22</x:v>
      </x:c>
      <x:c r="L85" s="79" t="str">
        <x:v>READ-ONLY DIAGNOSTIC CANDIDATE</x:v>
      </x:c>
      <x:c r="M85" s="79" t="str">
        <x:v>CANDIDATE</x:v>
      </x:c>
      <x:c r="N85" s="80" t="str">
        <x:v>Advanced PHV source; never merge unchanged into ordinary Gen 3</x:v>
      </x:c>
    </x:row>
    <x:row r="86">
      <x:c r="A86" s="78" t="str">
        <x:v>Distance Since Oil Change for U.S.A. (reset)</x:v>
      </x:c>
      <x:c r="B86" s="79" t="str">
        <x:v>Oil Chg Dist</x:v>
      </x:c>
      <x:c r="C86" s="79" t="str">
        <x:v>2141</x:v>
      </x:c>
      <x:c r="D86" s="79" t="str">
        <x:v>A * 100</x:v>
      </x:c>
      <x:c r="E86" s="79" t="str">
        <x:v>0</x:v>
      </x:c>
      <x:c r="F86" s="79" t="str">
        <x:v>25500</x:v>
      </x:c>
      <x:c r="G86" s="79" t="str">
        <x:v>mile</x:v>
      </x:c>
      <x:c r="H86" s="79" t="str">
        <x:v>7C0</x:v>
      </x:c>
      <x:c r="I86" s="79" t="str">
        <x:v>PRIUS_PHV_GEN1 / ZVW35</x:v>
      </x:c>
      <x:c r="J86" s="79" t="str">
        <x:v>PiP Adv (US).csv</x:v>
      </x:c>
      <x:c r="K86" s="79" t="str">
        <x:v>2013-01-22</x:v>
      </x:c>
      <x:c r="L86" s="79" t="str">
        <x:v>READ-ONLY DIAGNOSTIC CANDIDATE</x:v>
      </x:c>
      <x:c r="M86" s="79" t="str">
        <x:v>CANDIDATE</x:v>
      </x:c>
      <x:c r="N86" s="80" t="str">
        <x:v>Advanced PHV source; never merge unchanged into ordinary Gen 3</x:v>
      </x:c>
    </x:row>
    <x:row r="87">
      <x:c r="A87" s="78" t="str">
        <x:v>Rheostat value (dark=0,bright=255)</x:v>
      </x:c>
      <x:c r="B87" s="79" t="str">
        <x:v>Rheostat</x:v>
      </x:c>
      <x:c r="C87" s="79" t="str">
        <x:v>2168</x:v>
      </x:c>
      <x:c r="D87" s="79" t="str">
        <x:v>A</x:v>
      </x:c>
      <x:c r="E87" s="79" t="str">
        <x:v>0</x:v>
      </x:c>
      <x:c r="F87" s="79" t="str">
        <x:v>255</x:v>
      </x:c>
      <x:c r="G87" s="79" t="str"/>
      <x:c r="H87" s="79" t="str">
        <x:v>7C0</x:v>
      </x:c>
      <x:c r="I87" s="79" t="str">
        <x:v>PRIUS_PHV_GEN1 / ZVW35</x:v>
      </x:c>
      <x:c r="J87" s="79" t="str">
        <x:v>PiP Adv (US).csv</x:v>
      </x:c>
      <x:c r="K87" s="79" t="str">
        <x:v>2013-01-22</x:v>
      </x:c>
      <x:c r="L87" s="79" t="str">
        <x:v>READ-ONLY DIAGNOSTIC CANDIDATE</x:v>
      </x:c>
      <x:c r="M87" s="79" t="str">
        <x:v>CANDIDATE</x:v>
      </x:c>
      <x:c r="N87" s="80" t="str">
        <x:v>Advanced PHV source; never merge unchanged into ordinary Gen 3</x:v>
      </x:c>
    </x:row>
    <x:row r="88">
      <x:c r="A88" s="78" t="str">
        <x:v>Key Remind Sound (buzzer/Normal, Fast, Slow)</x:v>
      </x:c>
      <x:c r="B88" s="79" t="str">
        <x:v>KeyBuz</x:v>
      </x:c>
      <x:c r="C88" s="79" t="str">
        <x:v>21A1</x:v>
      </x:c>
      <x:c r="D88" s="79" t="str">
        <x:v>A</x:v>
      </x:c>
      <x:c r="E88" s="79" t="str">
        <x:v>0</x:v>
      </x:c>
      <x:c r="F88" s="79" t="str">
        <x:v>255</x:v>
      </x:c>
      <x:c r="G88" s="79" t="str"/>
      <x:c r="H88" s="79" t="str">
        <x:v>7C0</x:v>
      </x:c>
      <x:c r="I88" s="79" t="str">
        <x:v>PRIUS_PHV_GEN1 / ZVW35</x:v>
      </x:c>
      <x:c r="J88" s="79" t="str">
        <x:v>PiP Adv (US).csv</x:v>
      </x:c>
      <x:c r="K88" s="79" t="str">
        <x:v>2013-01-22</x:v>
      </x:c>
      <x:c r="L88" s="79" t="str">
        <x:v>READ-ONLY DIAGNOSTIC CANDIDATE</x:v>
      </x:c>
      <x:c r="M88" s="79" t="str">
        <x:v>CANDIDATE</x:v>
      </x:c>
      <x:c r="N88" s="80" t="str">
        <x:v>Advanced PHV source; never merge unchanged into ordinary Gen 3</x:v>
      </x:c>
    </x:row>
    <x:row r="89">
      <x:c r="A89" s="78" t="str">
        <x:v>Seat Belt Beep Query (Dis A=0,Ena R=32,Ena P=64,Dis D=96,Ena D=128,Dis P=160,192=Dis R,Ena A=160)</x:v>
      </x:c>
      <x:c r="B89" s="79" t="str">
        <x:v>SBB Query</x:v>
      </x:c>
      <x:c r="C89" s="79" t="str">
        <x:v>21A7</x:v>
      </x:c>
      <x:c r="D89" s="79" t="str">
        <x:v>A</x:v>
      </x:c>
      <x:c r="E89" s="79" t="str">
        <x:v>0</x:v>
      </x:c>
      <x:c r="F89" s="79" t="str">
        <x:v>192</x:v>
      </x:c>
      <x:c r="G89" s="79" t="str"/>
      <x:c r="H89" s="79" t="str">
        <x:v>7C0</x:v>
      </x:c>
      <x:c r="I89" s="79" t="str">
        <x:v>PRIUS_PHV_GEN1 / ZVW35</x:v>
      </x:c>
      <x:c r="J89" s="79" t="str">
        <x:v>PiP Adv (US).csv</x:v>
      </x:c>
      <x:c r="K89" s="79" t="str">
        <x:v>2013-01-22</x:v>
      </x:c>
      <x:c r="L89" s="79" t="str">
        <x:v>READ-ONLY DIAGNOSTIC CANDIDATE</x:v>
      </x:c>
      <x:c r="M89" s="79" t="str">
        <x:v>CANDIDATE</x:v>
      </x:c>
      <x:c r="N89" s="80" t="str">
        <x:v>Advanced PHV source; never merge unchanged into ordinary Gen 3</x:v>
      </x:c>
    </x:row>
    <x:row r="90">
      <x:c r="A90" s="78" t="str">
        <x:v>Reverse Beep Query (Ena=0,Dis=64)</x:v>
      </x:c>
      <x:c r="B90" s="79" t="str">
        <x:v>RB Query</x:v>
      </x:c>
      <x:c r="C90" s="79" t="str">
        <x:v>21AC</x:v>
      </x:c>
      <x:c r="D90" s="79" t="str">
        <x:v>A</x:v>
      </x:c>
      <x:c r="E90" s="79" t="str">
        <x:v>0</x:v>
      </x:c>
      <x:c r="F90" s="79" t="str">
        <x:v>64</x:v>
      </x:c>
      <x:c r="G90" s="79" t="str"/>
      <x:c r="H90" s="79" t="str">
        <x:v>7C0</x:v>
      </x:c>
      <x:c r="I90" s="79" t="str">
        <x:v>PRIUS_PHV_GEN1 / ZVW35</x:v>
      </x:c>
      <x:c r="J90" s="79" t="str">
        <x:v>PiP Adv (US).csv</x:v>
      </x:c>
      <x:c r="K90" s="79" t="str">
        <x:v>2013-01-22</x:v>
      </x:c>
      <x:c r="L90" s="79" t="str">
        <x:v>READ-ONLY DIAGNOSTIC CANDIDATE</x:v>
      </x:c>
      <x:c r="M90" s="79" t="str">
        <x:v>CANDIDATE</x:v>
      </x:c>
      <x:c r="N90" s="80" t="str">
        <x:v>Advanced PHV source; never merge unchanged into ordinary Gen 3</x:v>
      </x:c>
    </x:row>
    <x:row r="91">
      <x:c r="A91" s="78" t="str">
        <x:v>Room Temp Sensor</x:v>
      </x:c>
      <x:c r="B91" s="79" t="str">
        <x:v>Room</x:v>
      </x:c>
      <x:c r="C91" s="79" t="str">
        <x:v>2121</x:v>
      </x:c>
      <x:c r="D91" s="79" t="str">
        <x:v>A * 9 / 20 + 20.3</x:v>
      </x:c>
      <x:c r="E91" s="79" t="str">
        <x:v>20.3</x:v>
      </x:c>
      <x:c r="F91" s="79" t="str">
        <x:v>135.05</x:v>
      </x:c>
      <x:c r="G91" s="79" t="str">
        <x:v>F</x:v>
      </x:c>
      <x:c r="H91" s="79" t="str">
        <x:v>7C4</x:v>
      </x:c>
      <x:c r="I91" s="79" t="str">
        <x:v>PRIUS_PHV_GEN1 / ZVW35</x:v>
      </x:c>
      <x:c r="J91" s="79" t="str">
        <x:v>PiP Adv (US).csv</x:v>
      </x:c>
      <x:c r="K91" s="79" t="str">
        <x:v>2013-01-22</x:v>
      </x:c>
      <x:c r="L91" s="79" t="str">
        <x:v>READ-ONLY DIAGNOSTIC CANDIDATE</x:v>
      </x:c>
      <x:c r="M91" s="79" t="str">
        <x:v>CANDIDATE</x:v>
      </x:c>
      <x:c r="N91" s="80" t="str">
        <x:v>Advanced PHV source; never merge unchanged into ordinary Gen 3</x:v>
      </x:c>
    </x:row>
    <x:row r="92">
      <x:c r="A92" s="78" t="str">
        <x:v>Ambient Temp Sensor</x:v>
      </x:c>
      <x:c r="B92" s="79" t="str">
        <x:v>Ambient</x:v>
      </x:c>
      <x:c r="C92" s="79" t="str">
        <x:v>2122</x:v>
      </x:c>
      <x:c r="D92" s="79" t="str">
        <x:v>A * 160.65 / 255 - 9.94</x:v>
      </x:c>
      <x:c r="E92" s="79" t="str">
        <x:v>-9.94</x:v>
      </x:c>
      <x:c r="F92" s="79" t="str">
        <x:v>150.71</x:v>
      </x:c>
      <x:c r="G92" s="79" t="str">
        <x:v>F</x:v>
      </x:c>
      <x:c r="H92" s="79" t="str">
        <x:v>7C4</x:v>
      </x:c>
      <x:c r="I92" s="79" t="str">
        <x:v>PRIUS_PHV_GEN1 / ZVW35</x:v>
      </x:c>
      <x:c r="J92" s="79" t="str">
        <x:v>PiP Adv (US).csv</x:v>
      </x:c>
      <x:c r="K92" s="79" t="str">
        <x:v>2013-01-22</x:v>
      </x:c>
      <x:c r="L92" s="79" t="str">
        <x:v>READ-ONLY DIAGNOSTIC CANDIDATE</x:v>
      </x:c>
      <x:c r="M92" s="79" t="str">
        <x:v>CANDIDATE</x:v>
      </x:c>
      <x:c r="N92" s="80" t="str">
        <x:v>Advanced PHV source; never merge unchanged into ordinary Gen 3</x:v>
      </x:c>
    </x:row>
    <x:row r="93">
      <x:c r="A93" s="78" t="str">
        <x:v>Solar Sensor (D side)</x:v>
      </x:c>
      <x:c r="B93" s="79" t="str">
        <x:v>Solar D</x:v>
      </x:c>
      <x:c r="C93" s="79" t="str">
        <x:v>2124</x:v>
      </x:c>
      <x:c r="D93" s="79" t="str">
        <x:v>A</x:v>
      </x:c>
      <x:c r="E93" s="79" t="str">
        <x:v>0</x:v>
      </x:c>
      <x:c r="F93" s="79" t="str">
        <x:v>255</x:v>
      </x:c>
      <x:c r="G93" s="79" t="str"/>
      <x:c r="H93" s="79" t="str">
        <x:v>7C4</x:v>
      </x:c>
      <x:c r="I93" s="79" t="str">
        <x:v>PRIUS_PHV_GEN1 / ZVW35</x:v>
      </x:c>
      <x:c r="J93" s="79" t="str">
        <x:v>PiP Adv (US).csv</x:v>
      </x:c>
      <x:c r="K93" s="79" t="str">
        <x:v>2013-01-22</x:v>
      </x:c>
      <x:c r="L93" s="79" t="str">
        <x:v>READ-ONLY DIAGNOSTIC CANDIDATE</x:v>
      </x:c>
      <x:c r="M93" s="79" t="str">
        <x:v>CANDIDATE</x:v>
      </x:c>
      <x:c r="N93" s="80" t="str">
        <x:v>Advanced PHV source; never merge unchanged into ordinary Gen 3</x:v>
      </x:c>
    </x:row>
    <x:row r="94">
      <x:c r="A94" s="78" t="str">
        <x:v>Engine Coolant Temp_7C4</x:v>
      </x:c>
      <x:c r="B94" s="79" t="str">
        <x:v>Coolant_7C4</x:v>
      </x:c>
      <x:c r="C94" s="79" t="str">
        <x:v>2126</x:v>
      </x:c>
      <x:c r="D94" s="79" t="str">
        <x:v>A * 160.65 / 255 + 34.34</x:v>
      </x:c>
      <x:c r="E94" s="79" t="str">
        <x:v>34.34</x:v>
      </x:c>
      <x:c r="F94" s="79" t="str">
        <x:v>194.99</x:v>
      </x:c>
      <x:c r="G94" s="79" t="str">
        <x:v>F</x:v>
      </x:c>
      <x:c r="H94" s="79" t="str">
        <x:v>7C4</x:v>
      </x:c>
      <x:c r="I94" s="79" t="str">
        <x:v>PRIUS_PHV_GEN1 / ZVW35</x:v>
      </x:c>
      <x:c r="J94" s="79" t="str">
        <x:v>PiP Adv (US).csv</x:v>
      </x:c>
      <x:c r="K94" s="79" t="str">
        <x:v>2013-01-22</x:v>
      </x:c>
      <x:c r="L94" s="79" t="str">
        <x:v>READ-ONLY DIAGNOSTIC CANDIDATE</x:v>
      </x:c>
      <x:c r="M94" s="79" t="str">
        <x:v>CANDIDATE</x:v>
      </x:c>
      <x:c r="N94" s="80" t="str">
        <x:v>Advanced PHV source; never merge unchanged into ordinary Gen 3</x:v>
      </x:c>
    </x:row>
    <x:row r="95">
      <x:c r="A95" s="78" t="str">
        <x:v>Set Temperature (D side)</x:v>
      </x:c>
      <x:c r="B95" s="79" t="str">
        <x:v>Set t D</x:v>
      </x:c>
      <x:c r="C95" s="79" t="str">
        <x:v>2129</x:v>
      </x:c>
      <x:c r="D95" s="79" t="str">
        <x:v>A * 27 / 255 + 63.5</x:v>
      </x:c>
      <x:c r="E95" s="79" t="str">
        <x:v>63.5</x:v>
      </x:c>
      <x:c r="F95" s="79" t="str">
        <x:v>90.5</x:v>
      </x:c>
      <x:c r="G95" s="79" t="str">
        <x:v>F</x:v>
      </x:c>
      <x:c r="H95" s="79" t="str">
        <x:v>7C4</x:v>
      </x:c>
      <x:c r="I95" s="79" t="str">
        <x:v>PRIUS_PHV_GEN1 / ZVW35</x:v>
      </x:c>
      <x:c r="J95" s="79" t="str">
        <x:v>PiP Adv (US).csv</x:v>
      </x:c>
      <x:c r="K95" s="79" t="str">
        <x:v>2013-01-22</x:v>
      </x:c>
      <x:c r="L95" s="79" t="str">
        <x:v>READ-ONLY DIAGNOSTIC CANDIDATE</x:v>
      </x:c>
      <x:c r="M95" s="79" t="str">
        <x:v>CANDIDATE</x:v>
      </x:c>
      <x:c r="N95" s="80" t="str">
        <x:v>Advanced PHV source; never merge unchanged into ordinary Gen 3</x:v>
      </x:c>
    </x:row>
    <x:row r="96">
      <x:c r="A96" s="78" t="str">
        <x:v>Blower Motor Speed Level</x:v>
      </x:c>
      <x:c r="B96" s="79" t="str">
        <x:v>Blower Level</x:v>
      </x:c>
      <x:c r="C96" s="79" t="str">
        <x:v>213C</x:v>
      </x:c>
      <x:c r="D96" s="79" t="str">
        <x:v>A</x:v>
      </x:c>
      <x:c r="E96" s="79" t="str">
        <x:v>0</x:v>
      </x:c>
      <x:c r="F96" s="79" t="str">
        <x:v>31</x:v>
      </x:c>
      <x:c r="G96" s="79" t="str"/>
      <x:c r="H96" s="79" t="str">
        <x:v>7C4</x:v>
      </x:c>
      <x:c r="I96" s="79" t="str">
        <x:v>PRIUS_PHV_GEN1 / ZVW35</x:v>
      </x:c>
      <x:c r="J96" s="79" t="str">
        <x:v>PiP Adv (US).csv</x:v>
      </x:c>
      <x:c r="K96" s="79" t="str">
        <x:v>2013-01-22</x:v>
      </x:c>
      <x:c r="L96" s="79" t="str">
        <x:v>READ-ONLY DIAGNOSTIC CANDIDATE</x:v>
      </x:c>
      <x:c r="M96" s="79" t="str">
        <x:v>CANDIDATE</x:v>
      </x:c>
      <x:c r="N96" s="80" t="str">
        <x:v>Advanced PHV source; never merge unchanged into ordinary Gen 3</x:v>
      </x:c>
    </x:row>
    <x:row r="97">
      <x:c r="A97" s="78" t="str">
        <x:v>Adjusted Ambient Temp</x:v>
      </x:c>
      <x:c r="B97" s="79" t="str">
        <x:v>AdjAmbient</x:v>
      </x:c>
      <x:c r="C97" s="79" t="str">
        <x:v>213D</x:v>
      </x:c>
      <x:c r="D97" s="79" t="str">
        <x:v>A * 146.88 / 255 - 23.44</x:v>
      </x:c>
      <x:c r="E97" s="79" t="str">
        <x:v>-23.44</x:v>
      </x:c>
      <x:c r="F97" s="79" t="str">
        <x:v>123.44</x:v>
      </x:c>
      <x:c r="G97" s="79" t="str">
        <x:v>F</x:v>
      </x:c>
      <x:c r="H97" s="79" t="str">
        <x:v>7C4</x:v>
      </x:c>
      <x:c r="I97" s="79" t="str">
        <x:v>PRIUS_PHV_GEN1 / ZVW35</x:v>
      </x:c>
      <x:c r="J97" s="79" t="str">
        <x:v>PiP Adv (US).csv</x:v>
      </x:c>
      <x:c r="K97" s="79" t="str">
        <x:v>2013-01-22</x:v>
      </x:c>
      <x:c r="L97" s="79" t="str">
        <x:v>READ-ONLY DIAGNOSTIC CANDIDATE</x:v>
      </x:c>
      <x:c r="M97" s="79" t="str">
        <x:v>CANDIDATE</x:v>
      </x:c>
      <x:c r="N97" s="80" t="str">
        <x:v>Advanced PHV source; never merge unchanged into ordinary Gen 3</x:v>
      </x:c>
    </x:row>
    <x:row r="98">
      <x:c r="A98" s="78" t="str">
        <x:v>Air Mix Servo Targ Pulse (D)</x:v>
      </x:c>
      <x:c r="B98" s="79" t="str">
        <x:v>A/M STP D</x:v>
      </x:c>
      <x:c r="C98" s="79" t="str">
        <x:v>2141</x:v>
      </x:c>
      <x:c r="D98" s="79" t="str">
        <x:v>A</x:v>
      </x:c>
      <x:c r="E98" s="79" t="str">
        <x:v>0</x:v>
      </x:c>
      <x:c r="F98" s="79" t="str">
        <x:v>255</x:v>
      </x:c>
      <x:c r="G98" s="79" t="str"/>
      <x:c r="H98" s="79" t="str">
        <x:v>7C4</x:v>
      </x:c>
      <x:c r="I98" s="79" t="str">
        <x:v>PRIUS_PHV_GEN1 / ZVW35</x:v>
      </x:c>
      <x:c r="J98" s="79" t="str">
        <x:v>PiP Adv (US).csv</x:v>
      </x:c>
      <x:c r="K98" s="79" t="str">
        <x:v>2013-01-22</x:v>
      </x:c>
      <x:c r="L98" s="79" t="str">
        <x:v>READ-ONLY DIAGNOSTIC CANDIDATE</x:v>
      </x:c>
      <x:c r="M98" s="79" t="str">
        <x:v>CANDIDATE</x:v>
      </x:c>
      <x:c r="N98" s="80" t="str">
        <x:v>Advanced PHV source; never merge unchanged into ordinary Gen 3</x:v>
      </x:c>
    </x:row>
    <x:row r="99">
      <x:c r="A99" s="78" t="str">
        <x:v>Air Mix Servo Actual Pulse (D)</x:v>
      </x:c>
      <x:c r="B99" s="79" t="str">
        <x:v>A/M SAP D</x:v>
      </x:c>
      <x:c r="C99" s="79" t="str">
        <x:v>2141</x:v>
      </x:c>
      <x:c r="D99" s="79" t="str">
        <x:v>B</x:v>
      </x:c>
      <x:c r="E99" s="79" t="str">
        <x:v>0</x:v>
      </x:c>
      <x:c r="F99" s="79" t="str">
        <x:v>255</x:v>
      </x:c>
      <x:c r="G99" s="79" t="str"/>
      <x:c r="H99" s="79" t="str">
        <x:v>7C4</x:v>
      </x:c>
      <x:c r="I99" s="79" t="str">
        <x:v>PRIUS_PHV_GEN1 / ZVW35</x:v>
      </x:c>
      <x:c r="J99" s="79" t="str">
        <x:v>PiP Adv (US).csv</x:v>
      </x:c>
      <x:c r="K99" s="79" t="str">
        <x:v>2013-01-22</x:v>
      </x:c>
      <x:c r="L99" s="79" t="str">
        <x:v>READ-ONLY DIAGNOSTIC CANDIDATE</x:v>
      </x:c>
      <x:c r="M99" s="79" t="str">
        <x:v>CANDIDATE</x:v>
      </x:c>
      <x:c r="N99" s="80" t="str">
        <x:v>Advanced PHV source; never merge unchanged into ordinary Gen 3</x:v>
      </x:c>
    </x:row>
    <x:row r="100">
      <x:c r="A100" s="78" t="str">
        <x:v>Air Outlet Servo Pulse (D)</x:v>
      </x:c>
      <x:c r="B100" s="79" t="str">
        <x:v>A/O SP D</x:v>
      </x:c>
      <x:c r="C100" s="79" t="str">
        <x:v>2143</x:v>
      </x:c>
      <x:c r="D100" s="79" t="str">
        <x:v>A</x:v>
      </x:c>
      <x:c r="E100" s="79" t="str">
        <x:v>0</x:v>
      </x:c>
      <x:c r="F100" s="79" t="str">
        <x:v>255</x:v>
      </x:c>
      <x:c r="G100" s="79" t="str"/>
      <x:c r="H100" s="79" t="str">
        <x:v>7C4</x:v>
      </x:c>
      <x:c r="I100" s="79" t="str">
        <x:v>PRIUS_PHV_GEN1 / ZVW35</x:v>
      </x:c>
      <x:c r="J100" s="79" t="str">
        <x:v>PiP Adv (US).csv</x:v>
      </x:c>
      <x:c r="K100" s="79" t="str">
        <x:v>2013-01-22</x:v>
      </x:c>
      <x:c r="L100" s="79" t="str">
        <x:v>READ-ONLY DIAGNOSTIC CANDIDATE</x:v>
      </x:c>
      <x:c r="M100" s="79" t="str">
        <x:v>CANDIDATE</x:v>
      </x:c>
      <x:c r="N100" s="80" t="str">
        <x:v>Advanced PHV source; never merge unchanged into ordinary Gen 3</x:v>
      </x:c>
    </x:row>
    <x:row r="101">
      <x:c r="A101" s="78" t="str">
        <x:v>Air Outlet Servo Actu Pulse (D)</x:v>
      </x:c>
      <x:c r="B101" s="79" t="str">
        <x:v>A/O SAP D</x:v>
      </x:c>
      <x:c r="C101" s="79" t="str">
        <x:v>2143</x:v>
      </x:c>
      <x:c r="D101" s="79" t="str">
        <x:v>B</x:v>
      </x:c>
      <x:c r="E101" s="79" t="str">
        <x:v>0</x:v>
      </x:c>
      <x:c r="F101" s="79" t="str">
        <x:v>255</x:v>
      </x:c>
      <x:c r="G101" s="79" t="str"/>
      <x:c r="H101" s="79" t="str">
        <x:v>7C4</x:v>
      </x:c>
      <x:c r="I101" s="79" t="str">
        <x:v>PRIUS_PHV_GEN1 / ZVW35</x:v>
      </x:c>
      <x:c r="J101" s="79" t="str">
        <x:v>PiP Adv (US).csv</x:v>
      </x:c>
      <x:c r="K101" s="79" t="str">
        <x:v>2013-01-22</x:v>
      </x:c>
      <x:c r="L101" s="79" t="str">
        <x:v>READ-ONLY DIAGNOSTIC CANDIDATE</x:v>
      </x:c>
      <x:c r="M101" s="79" t="str">
        <x:v>CANDIDATE</x:v>
      </x:c>
      <x:c r="N101" s="80" t="str">
        <x:v>Advanced PHV source; never merge unchanged into ordinary Gen 3</x:v>
      </x:c>
    </x:row>
    <x:row r="102">
      <x:c r="A102" s="78" t="str">
        <x:v>Air Inlet Damper Targ Pulse</x:v>
      </x:c>
      <x:c r="B102" s="79" t="str">
        <x:v>A/I DTP</x:v>
      </x:c>
      <x:c r="C102" s="79" t="str">
        <x:v>2144</x:v>
      </x:c>
      <x:c r="D102" s="79" t="str">
        <x:v>A</x:v>
      </x:c>
      <x:c r="E102" s="79" t="str">
        <x:v>0</x:v>
      </x:c>
      <x:c r="F102" s="79" t="str">
        <x:v>255</x:v>
      </x:c>
      <x:c r="G102" s="79" t="str"/>
      <x:c r="H102" s="79" t="str">
        <x:v>7C4</x:v>
      </x:c>
      <x:c r="I102" s="79" t="str">
        <x:v>PRIUS_PHV_GEN1 / ZVW35</x:v>
      </x:c>
      <x:c r="J102" s="79" t="str">
        <x:v>PiP Adv (US).csv</x:v>
      </x:c>
      <x:c r="K102" s="79" t="str">
        <x:v>2013-01-22</x:v>
      </x:c>
      <x:c r="L102" s="79" t="str">
        <x:v>READ-ONLY DIAGNOSTIC CANDIDATE</x:v>
      </x:c>
      <x:c r="M102" s="79" t="str">
        <x:v>CANDIDATE</x:v>
      </x:c>
      <x:c r="N102" s="80" t="str">
        <x:v>Advanced PHV source; never merge unchanged into ordinary Gen 3</x:v>
      </x:c>
    </x:row>
    <x:row r="103">
      <x:c r="A103" s="78" t="str">
        <x:v>Air Inlet Damper Actual Pulse</x:v>
      </x:c>
      <x:c r="B103" s="79" t="str">
        <x:v>A/I DAP</x:v>
      </x:c>
      <x:c r="C103" s="79" t="str">
        <x:v>2144</x:v>
      </x:c>
      <x:c r="D103" s="79" t="str">
        <x:v>B</x:v>
      </x:c>
      <x:c r="E103" s="79" t="str">
        <x:v>0</x:v>
      </x:c>
      <x:c r="F103" s="79" t="str">
        <x:v>255</x:v>
      </x:c>
      <x:c r="G103" s="79" t="str"/>
      <x:c r="H103" s="79" t="str">
        <x:v>7C4</x:v>
      </x:c>
      <x:c r="I103" s="79" t="str">
        <x:v>PRIUS_PHV_GEN1 / ZVW35</x:v>
      </x:c>
      <x:c r="J103" s="79" t="str">
        <x:v>PiP Adv (US).csv</x:v>
      </x:c>
      <x:c r="K103" s="79" t="str">
        <x:v>2013-01-22</x:v>
      </x:c>
      <x:c r="L103" s="79" t="str">
        <x:v>READ-ONLY DIAGNOSTIC CANDIDATE</x:v>
      </x:c>
      <x:c r="M103" s="79" t="str">
        <x:v>CANDIDATE</x:v>
      </x:c>
      <x:c r="N103" s="80" t="str">
        <x:v>Advanced PHV source; never merge unchanged into ordinary Gen 3</x:v>
      </x:c>
    </x:row>
    <x:row r="104">
      <x:c r="A104" s="78" t="str">
        <x:v>Compressor Speed</x:v>
      </x:c>
      <x:c r="B104" s="79" t="str">
        <x:v>Comp Spd</x:v>
      </x:c>
      <x:c r="C104" s="79" t="str">
        <x:v>2149</x:v>
      </x:c>
      <x:c r="D104" s="79" t="str">
        <x:v>A * 256 + B</x:v>
      </x:c>
      <x:c r="E104" s="79" t="str">
        <x:v>0</x:v>
      </x:c>
      <x:c r="F104" s="79" t="str">
        <x:v>10000</x:v>
      </x:c>
      <x:c r="G104" s="79" t="str">
        <x:v>RPM</x:v>
      </x:c>
      <x:c r="H104" s="79" t="str">
        <x:v>7C4</x:v>
      </x:c>
      <x:c r="I104" s="79" t="str">
        <x:v>PRIUS_PHV_GEN1 / ZVW35</x:v>
      </x:c>
      <x:c r="J104" s="79" t="str">
        <x:v>PiP Adv (US).csv</x:v>
      </x:c>
      <x:c r="K104" s="79" t="str">
        <x:v>2013-01-22</x:v>
      </x:c>
      <x:c r="L104" s="79" t="str">
        <x:v>READ-ONLY DIAGNOSTIC CANDIDATE</x:v>
      </x:c>
      <x:c r="M104" s="79" t="str">
        <x:v>CANDIDATE</x:v>
      </x:c>
      <x:c r="N104" s="80" t="str">
        <x:v>Advanced PHV source; never merge unchanged into ordinary Gen 3</x:v>
      </x:c>
    </x:row>
    <x:row r="105">
      <x:c r="A105" s="78" t="str">
        <x:v>Compressor Target Speed</x:v>
      </x:c>
      <x:c r="B105" s="79" t="str">
        <x:v>Comp T Spd</x:v>
      </x:c>
      <x:c r="C105" s="79" t="str">
        <x:v>214A</x:v>
      </x:c>
      <x:c r="D105" s="79" t="str">
        <x:v>A * 256 + B</x:v>
      </x:c>
      <x:c r="E105" s="79" t="str">
        <x:v>0</x:v>
      </x:c>
      <x:c r="F105" s="79" t="str">
        <x:v>10000</x:v>
      </x:c>
      <x:c r="G105" s="79" t="str">
        <x:v>RPM</x:v>
      </x:c>
      <x:c r="H105" s="79" t="str">
        <x:v>7C4</x:v>
      </x:c>
      <x:c r="I105" s="79" t="str">
        <x:v>PRIUS_PHV_GEN1 / ZVW35</x:v>
      </x:c>
      <x:c r="J105" s="79" t="str">
        <x:v>PiP Adv (US).csv</x:v>
      </x:c>
      <x:c r="K105" s="79" t="str">
        <x:v>2013-01-22</x:v>
      </x:c>
      <x:c r="L105" s="79" t="str">
        <x:v>READ-ONLY DIAGNOSTIC CANDIDATE</x:v>
      </x:c>
      <x:c r="M105" s="79" t="str">
        <x:v>CANDIDATE</x:v>
      </x:c>
      <x:c r="N105" s="80" t="str">
        <x:v>Advanced PHV source; never merge unchanged into ordinary Gen 3</x:v>
      </x:c>
    </x:row>
    <x:row r="106">
      <x:c r="A106" s="78" t="str">
        <x:v>Evaporator Fin Thermistor</x:v>
      </x:c>
      <x:c r="B106" s="79" t="str">
        <x:v>Evap Fin</x:v>
      </x:c>
      <x:c r="C106" s="79" t="str">
        <x:v>214B</x:v>
      </x:c>
      <x:c r="D106" s="79" t="str">
        <x:v>A * 160.65 / 255 - 21.46</x:v>
      </x:c>
      <x:c r="E106" s="79" t="str">
        <x:v>-21.46</x:v>
      </x:c>
      <x:c r="F106" s="79" t="str">
        <x:v>139.19</x:v>
      </x:c>
      <x:c r="G106" s="79" t="str">
        <x:v>F</x:v>
      </x:c>
      <x:c r="H106" s="79" t="str">
        <x:v>7C4</x:v>
      </x:c>
      <x:c r="I106" s="79" t="str">
        <x:v>PRIUS_PHV_GEN1 / ZVW35</x:v>
      </x:c>
      <x:c r="J106" s="79" t="str">
        <x:v>PiP Adv (US).csv</x:v>
      </x:c>
      <x:c r="K106" s="79" t="str">
        <x:v>2013-01-22</x:v>
      </x:c>
      <x:c r="L106" s="79" t="str">
        <x:v>READ-ONLY DIAGNOSTIC CANDIDATE</x:v>
      </x:c>
      <x:c r="M106" s="79" t="str">
        <x:v>CANDIDATE</x:v>
      </x:c>
      <x:c r="N106" s="80" t="str">
        <x:v>Advanced PHV source; never merge unchanged into ordinary Gen 3</x:v>
      </x:c>
    </x:row>
    <x:row r="107">
      <x:c r="A107" s="78" t="str">
        <x:v>Evaporator Target Temp</x:v>
      </x:c>
      <x:c r="B107" s="79" t="str">
        <x:v>Evap Tgt</x:v>
      </x:c>
      <x:c r="C107" s="79" t="str">
        <x:v>214C</x:v>
      </x:c>
      <x:c r="D107" s="79" t="str">
        <x:v>(A * 256 + B) * 9 / 500 - 557.82</x:v>
      </x:c>
      <x:c r="E107" s="79" t="str">
        <x:v>-21.46</x:v>
      </x:c>
      <x:c r="F107" s="79" t="str">
        <x:v>139.19</x:v>
      </x:c>
      <x:c r="G107" s="79" t="str">
        <x:v>F</x:v>
      </x:c>
      <x:c r="H107" s="79" t="str">
        <x:v>7C4</x:v>
      </x:c>
      <x:c r="I107" s="79" t="str">
        <x:v>PRIUS_PHV_GEN1 / ZVW35</x:v>
      </x:c>
      <x:c r="J107" s="79" t="str">
        <x:v>PiP Adv (US).csv</x:v>
      </x:c>
      <x:c r="K107" s="79" t="str">
        <x:v>2013-01-22</x:v>
      </x:c>
      <x:c r="L107" s="79" t="str">
        <x:v>READ-ONLY DIAGNOSTIC CANDIDATE</x:v>
      </x:c>
      <x:c r="M107" s="79" t="str">
        <x:v>CANDIDATE</x:v>
      </x:c>
      <x:c r="N107" s="80" t="str">
        <x:v>Advanced PHV source; never merge unchanged into ordinary Gen 3</x:v>
      </x:c>
    </x:row>
    <x:row r="108">
      <x:c r="A108" s="78" t="str">
        <x:v>Regulator Pressure Sensor</x:v>
      </x:c>
      <x:c r="B108" s="79" t="str">
        <x:v>Reg Pres</x:v>
      </x:c>
      <x:c r="C108" s="79" t="str">
        <x:v>2153</x:v>
      </x:c>
      <x:c r="D108" s="79" t="str">
        <x:v>(A * 3.75105 / 255 - 0.45668) * 145.0377438972831</x:v>
      </x:c>
      <x:c r="E108" s="79" t="str">
        <x:v>-66.24</x:v>
      </x:c>
      <x:c r="F108" s="79" t="str">
        <x:v>477.81</x:v>
      </x:c>
      <x:c r="G108" s="79" t="str">
        <x:v>PSIG</x:v>
      </x:c>
      <x:c r="H108" s="79" t="str">
        <x:v>7C4</x:v>
      </x:c>
      <x:c r="I108" s="79" t="str">
        <x:v>PRIUS_PHV_GEN1 / ZVW35</x:v>
      </x:c>
      <x:c r="J108" s="79" t="str">
        <x:v>PiP Adv (US).csv</x:v>
      </x:c>
      <x:c r="K108" s="79" t="str">
        <x:v>2013-01-22</x:v>
      </x:c>
      <x:c r="L108" s="79" t="str">
        <x:v>READ-ONLY DIAGNOSTIC CANDIDATE</x:v>
      </x:c>
      <x:c r="M108" s="79" t="str">
        <x:v>CANDIDATE</x:v>
      </x:c>
      <x:c r="N108" s="80" t="str">
        <x:v>Advanced PHV source; never merge unchanged into ordinary Gen 3</x:v>
      </x:c>
    </x:row>
    <x:row r="109">
      <x:c r="A109" s="78" t="str">
        <x:v>Calculated Load_7E0</x:v>
      </x:c>
      <x:c r="B109" s="79" t="str">
        <x:v>CLoad_7E0</x:v>
      </x:c>
      <x:c r="C109" s="79" t="str">
        <x:v>2101</x:v>
      </x:c>
      <x:c r="D109" s="79" t="str">
        <x:v>A * 20 / 51</x:v>
      </x:c>
      <x:c r="E109" s="79" t="str">
        <x:v>0</x:v>
      </x:c>
      <x:c r="F109" s="79" t="str">
        <x:v>100</x:v>
      </x:c>
      <x:c r="G109" s="79" t="str">
        <x:v>%</x:v>
      </x:c>
      <x:c r="H109" s="79" t="str">
        <x:v>7E0</x:v>
      </x:c>
      <x:c r="I109" s="79" t="str">
        <x:v>PRIUS_PHV_GEN1 / ZVW35</x:v>
      </x:c>
      <x:c r="J109" s="79" t="str">
        <x:v>PiP Adv (US).csv</x:v>
      </x:c>
      <x:c r="K109" s="79" t="str">
        <x:v>2013-01-22</x:v>
      </x:c>
      <x:c r="L109" s="79" t="str">
        <x:v>READ-ONLY DIAGNOSTIC CANDIDATE</x:v>
      </x:c>
      <x:c r="M109" s="79" t="str">
        <x:v>CANDIDATE</x:v>
      </x:c>
      <x:c r="N109" s="80" t="str">
        <x:v>Advanced PHV source; never merge unchanged into ordinary Gen 3</x:v>
      </x:c>
    </x:row>
    <x:row r="110">
      <x:c r="A110" s="78" t="str">
        <x:v>Vehicle Load</x:v>
      </x:c>
      <x:c r="B110" s="79" t="str">
        <x:v>Veh Load</x:v>
      </x:c>
      <x:c r="C110" s="79" t="str">
        <x:v>2101</x:v>
      </x:c>
      <x:c r="D110" s="79" t="str">
        <x:v>(B * 256 + C) * 100 / 65535</x:v>
      </x:c>
      <x:c r="E110" s="79" t="str">
        <x:v>0</x:v>
      </x:c>
      <x:c r="F110" s="79" t="str">
        <x:v>100</x:v>
      </x:c>
      <x:c r="G110" s="79" t="str">
        <x:v>%</x:v>
      </x:c>
      <x:c r="H110" s="79" t="str">
        <x:v>7E0</x:v>
      </x:c>
      <x:c r="I110" s="79" t="str">
        <x:v>PRIUS_PHV_GEN1 / ZVW35</x:v>
      </x:c>
      <x:c r="J110" s="79" t="str">
        <x:v>PiP Adv (US).csv</x:v>
      </x:c>
      <x:c r="K110" s="79" t="str">
        <x:v>2013-01-22</x:v>
      </x:c>
      <x:c r="L110" s="79" t="str">
        <x:v>READ-ONLY DIAGNOSTIC CANDIDATE</x:v>
      </x:c>
      <x:c r="M110" s="79" t="str">
        <x:v>CANDIDATE</x:v>
      </x:c>
      <x:c r="N110" s="80" t="str">
        <x:v>Advanced PHV source; never merge unchanged into ordinary Gen 3</x:v>
      </x:c>
    </x:row>
    <x:row r="111">
      <x:c r="A111" s="78" t="str">
        <x:v>Mass Air Flow</x:v>
      </x:c>
      <x:c r="B111" s="79" t="str">
        <x:v>MAF</x:v>
      </x:c>
      <x:c r="C111" s="79" t="str">
        <x:v>2101</x:v>
      </x:c>
      <x:c r="D111" s="79" t="str">
        <x:v>(D * 256 + E) / 100</x:v>
      </x:c>
      <x:c r="E111" s="79" t="str">
        <x:v>0</x:v>
      </x:c>
      <x:c r="F111" s="79" t="str">
        <x:v>271</x:v>
      </x:c>
      <x:c r="G111" s="79" t="str">
        <x:v>gm/sec</x:v>
      </x:c>
      <x:c r="H111" s="79" t="str">
        <x:v>7E0</x:v>
      </x:c>
      <x:c r="I111" s="79" t="str">
        <x:v>PRIUS_PHV_GEN1 / ZVW35</x:v>
      </x:c>
      <x:c r="J111" s="79" t="str">
        <x:v>PiP Adv (US).csv</x:v>
      </x:c>
      <x:c r="K111" s="79" t="str">
        <x:v>2013-01-22</x:v>
      </x:c>
      <x:c r="L111" s="79" t="str">
        <x:v>READ-ONLY DIAGNOSTIC CANDIDATE</x:v>
      </x:c>
      <x:c r="M111" s="79" t="str">
        <x:v>CANDIDATE</x:v>
      </x:c>
      <x:c r="N111" s="80" t="str">
        <x:v>Advanced PHV source; never merge unchanged into ordinary Gen 3</x:v>
      </x:c>
    </x:row>
    <x:row r="112">
      <x:c r="A112" s="78" t="str">
        <x:v>Manifold Air Pressure_7E0</x:v>
      </x:c>
      <x:c r="B112" s="79" t="str">
        <x:v>MAP_7E0</x:v>
      </x:c>
      <x:c r="C112" s="79" t="str">
        <x:v>2101</x:v>
      </x:c>
      <x:c r="D112" s="79" t="str">
        <x:v>F * 1913 / 255</x:v>
      </x:c>
      <x:c r="E112" s="79" t="str">
        <x:v>0</x:v>
      </x:c>
      <x:c r="F112" s="79" t="str">
        <x:v>1913</x:v>
      </x:c>
      <x:c r="G112" s="79" t="str">
        <x:v>mmHg</x:v>
      </x:c>
      <x:c r="H112" s="79" t="str">
        <x:v>7E0</x:v>
      </x:c>
      <x:c r="I112" s="79" t="str">
        <x:v>PRIUS_PHV_GEN1 / ZVW35</x:v>
      </x:c>
      <x:c r="J112" s="79" t="str">
        <x:v>PiP Adv (US).csv</x:v>
      </x:c>
      <x:c r="K112" s="79" t="str">
        <x:v>2013-01-22</x:v>
      </x:c>
      <x:c r="L112" s="79" t="str">
        <x:v>READ-ONLY DIAGNOSTIC CANDIDATE</x:v>
      </x:c>
      <x:c r="M112" s="79" t="str">
        <x:v>CANDIDATE</x:v>
      </x:c>
      <x:c r="N112" s="80" t="str">
        <x:v>Advanced PHV source; never merge unchanged into ordinary Gen 3</x:v>
      </x:c>
    </x:row>
    <x:row r="113">
      <x:c r="A113" s="78" t="str">
        <x:v>Intake Air Temperature_7E0</x:v>
      </x:c>
      <x:c r="B113" s="79" t="str">
        <x:v>IAT_7E0</x:v>
      </x:c>
      <x:c r="C113" s="79" t="str">
        <x:v>2101</x:v>
      </x:c>
      <x:c r="D113" s="79" t="str">
        <x:v>G * 9 / 5 - 40</x:v>
      </x:c>
      <x:c r="E113" s="79" t="str">
        <x:v>-40</x:v>
      </x:c>
      <x:c r="F113" s="79" t="str">
        <x:v>140</x:v>
      </x:c>
      <x:c r="G113" s="79" t="str">
        <x:v>F</x:v>
      </x:c>
      <x:c r="H113" s="79" t="str">
        <x:v>7E0</x:v>
      </x:c>
      <x:c r="I113" s="79" t="str">
        <x:v>PRIUS_PHV_GEN1 / ZVW35</x:v>
      </x:c>
      <x:c r="J113" s="79" t="str">
        <x:v>PiP Adv (US).csv</x:v>
      </x:c>
      <x:c r="K113" s="79" t="str">
        <x:v>2013-01-22</x:v>
      </x:c>
      <x:c r="L113" s="79" t="str">
        <x:v>READ-ONLY DIAGNOSTIC CANDIDATE</x:v>
      </x:c>
      <x:c r="M113" s="79" t="str">
        <x:v>CANDIDATE</x:v>
      </x:c>
      <x:c r="N113" s="80" t="str">
        <x:v>Advanced PHV source; never merge unchanged into ordinary Gen 3</x:v>
      </x:c>
    </x:row>
    <x:row r="114">
      <x:c r="A114" s="78" t="str">
        <x:v>Atmosphere Pressure_7E0</x:v>
      </x:c>
      <x:c r="B114" s="79" t="str">
        <x:v>AtmPres_7E0</x:v>
      </x:c>
      <x:c r="C114" s="79" t="str">
        <x:v>2101</x:v>
      </x:c>
      <x:c r="D114" s="79" t="str">
        <x:v>H * 1913 / 255</x:v>
      </x:c>
      <x:c r="E114" s="79" t="str">
        <x:v>0</x:v>
      </x:c>
      <x:c r="F114" s="79" t="str">
        <x:v>1913</x:v>
      </x:c>
      <x:c r="G114" s="79" t="str">
        <x:v>mmHg</x:v>
      </x:c>
      <x:c r="H114" s="79" t="str">
        <x:v>7E0</x:v>
      </x:c>
      <x:c r="I114" s="79" t="str">
        <x:v>PRIUS_PHV_GEN1 / ZVW35</x:v>
      </x:c>
      <x:c r="J114" s="79" t="str">
        <x:v>PiP Adv (US).csv</x:v>
      </x:c>
      <x:c r="K114" s="79" t="str">
        <x:v>2013-01-22</x:v>
      </x:c>
      <x:c r="L114" s="79" t="str">
        <x:v>READ-ONLY DIAGNOSTIC CANDIDATE</x:v>
      </x:c>
      <x:c r="M114" s="79" t="str">
        <x:v>CANDIDATE</x:v>
      </x:c>
      <x:c r="N114" s="80" t="str">
        <x:v>Advanced PHV source; never merge unchanged into ordinary Gen 3</x:v>
      </x:c>
    </x:row>
    <x:row r="115">
      <x:c r="A115" s="78" t="str">
        <x:v>Coolant Temperature_7E0</x:v>
      </x:c>
      <x:c r="B115" s="79" t="str">
        <x:v>Coolant_7E0</x:v>
      </x:c>
      <x:c r="C115" s="79" t="str">
        <x:v>2101</x:v>
      </x:c>
      <x:c r="D115" s="79" t="str">
        <x:v>I * 9 / 5 - 40</x:v>
      </x:c>
      <x:c r="E115" s="79" t="str">
        <x:v>-40</x:v>
      </x:c>
      <x:c r="F115" s="79" t="str">
        <x:v>250</x:v>
      </x:c>
      <x:c r="G115" s="79" t="str">
        <x:v>F</x:v>
      </x:c>
      <x:c r="H115" s="79" t="str">
        <x:v>7E0</x:v>
      </x:c>
      <x:c r="I115" s="79" t="str">
        <x:v>PRIUS_PHV_GEN1 / ZVW35</x:v>
      </x:c>
      <x:c r="J115" s="79" t="str">
        <x:v>PiP Adv (US).csv</x:v>
      </x:c>
      <x:c r="K115" s="79" t="str">
        <x:v>2013-01-22</x:v>
      </x:c>
      <x:c r="L115" s="79" t="str">
        <x:v>READ-ONLY DIAGNOSTIC CANDIDATE</x:v>
      </x:c>
      <x:c r="M115" s="79" t="str">
        <x:v>CANDIDATE</x:v>
      </x:c>
      <x:c r="N115" s="80" t="str">
        <x:v>Advanced PHV source; never merge unchanged into ordinary Gen 3</x:v>
      </x:c>
    </x:row>
    <x:row r="116">
      <x:c r="A116" s="78" t="str">
        <x:v>Engine Speed_7E0</x:v>
      </x:c>
      <x:c r="B116" s="79" t="str">
        <x:v>RPM_7E0</x:v>
      </x:c>
      <x:c r="C116" s="79" t="str">
        <x:v>2101</x:v>
      </x:c>
      <x:c r="D116" s="79" t="str">
        <x:v>(J * 256 + K) / 4</x:v>
      </x:c>
      <x:c r="E116" s="79" t="str">
        <x:v>0</x:v>
      </x:c>
      <x:c r="F116" s="79" t="str">
        <x:v>6000</x:v>
      </x:c>
      <x:c r="G116" s="79" t="str">
        <x:v>RPM</x:v>
      </x:c>
      <x:c r="H116" s="79" t="str">
        <x:v>7E0</x:v>
      </x:c>
      <x:c r="I116" s="79" t="str">
        <x:v>PRIUS_PHV_GEN1 / ZVW35</x:v>
      </x:c>
      <x:c r="J116" s="79" t="str">
        <x:v>PiP Adv (US).csv</x:v>
      </x:c>
      <x:c r="K116" s="79" t="str">
        <x:v>2013-01-22</x:v>
      </x:c>
      <x:c r="L116" s="79" t="str">
        <x:v>READ-ONLY DIAGNOSTIC CANDIDATE</x:v>
      </x:c>
      <x:c r="M116" s="79" t="str">
        <x:v>CANDIDATE</x:v>
      </x:c>
      <x:c r="N116" s="80" t="str">
        <x:v>Advanced PHV source; never merge unchanged into ordinary Gen 3</x:v>
      </x:c>
    </x:row>
    <x:row r="117">
      <x:c r="A117" s="78" t="str">
        <x:v>Vehicle Speed_7E0</x:v>
      </x:c>
      <x:c r="B117" s="79" t="str">
        <x:v>MPH_7E0</x:v>
      </x:c>
      <x:c r="C117" s="79" t="str">
        <x:v>2101</x:v>
      </x:c>
      <x:c r="D117" s="79" t="str">
        <x:v>L * 15625 / 25146</x:v>
      </x:c>
      <x:c r="E117" s="79" t="str">
        <x:v>0</x:v>
      </x:c>
      <x:c r="F117" s="79" t="str">
        <x:v>100</x:v>
      </x:c>
      <x:c r="G117" s="79" t="str">
        <x:v>mph</x:v>
      </x:c>
      <x:c r="H117" s="79" t="str">
        <x:v>7E0</x:v>
      </x:c>
      <x:c r="I117" s="79" t="str">
        <x:v>PRIUS_PHV_GEN1 / ZVW35</x:v>
      </x:c>
      <x:c r="J117" s="79" t="str">
        <x:v>PiP Adv (US).csv</x:v>
      </x:c>
      <x:c r="K117" s="79" t="str">
        <x:v>2013-01-22</x:v>
      </x:c>
      <x:c r="L117" s="79" t="str">
        <x:v>READ-ONLY DIAGNOSTIC CANDIDATE</x:v>
      </x:c>
      <x:c r="M117" s="79" t="str">
        <x:v>CANDIDATE</x:v>
      </x:c>
      <x:c r="N117" s="80" t="str">
        <x:v>Advanced PHV source; never merge unchanged into ordinary Gen 3</x:v>
      </x:c>
    </x:row>
    <x:row r="118">
      <x:c r="A118" s="78" t="str">
        <x:v>Engine Run Time (Time since Ign-On)</x:v>
      </x:c>
      <x:c r="B118" s="79" t="str">
        <x:v>Ign Time</x:v>
      </x:c>
      <x:c r="C118" s="79" t="str">
        <x:v>2101</x:v>
      </x:c>
      <x:c r="D118" s="79" t="str">
        <x:v>M * 256 + N</x:v>
      </x:c>
      <x:c r="E118" s="79" t="str">
        <x:v>0</x:v>
      </x:c>
      <x:c r="F118" s="79" t="str">
        <x:v>65535</x:v>
      </x:c>
      <x:c r="G118" s="79" t="str">
        <x:v>sec.</x:v>
      </x:c>
      <x:c r="H118" s="79" t="str">
        <x:v>7E0</x:v>
      </x:c>
      <x:c r="I118" s="79" t="str">
        <x:v>PRIUS_PHV_GEN1 / ZVW35</x:v>
      </x:c>
      <x:c r="J118" s="79" t="str">
        <x:v>PiP Adv (US).csv</x:v>
      </x:c>
      <x:c r="K118" s="79" t="str">
        <x:v>2013-01-22</x:v>
      </x:c>
      <x:c r="L118" s="79" t="str">
        <x:v>READ-ONLY DIAGNOSTIC CANDIDATE</x:v>
      </x:c>
      <x:c r="M118" s="79" t="str">
        <x:v>CANDIDATE</x:v>
      </x:c>
      <x:c r="N118" s="80" t="str">
        <x:v>Advanced PHV source; never merge unchanged into ordinary Gen 3</x:v>
      </x:c>
    </x:row>
    <x:row r="119">
      <x:c r="A119" s="78" t="str">
        <x:v>Fuel System Status #1 (OL=1,CL=2,OLDrive=4,OLFault=8,CLFault=16)</x:v>
      </x:c>
      <x:c r="B119" s="79" t="str">
        <x:v>FSS1</x:v>
      </x:c>
      <x:c r="C119" s="79" t="str">
        <x:v>2103</x:v>
      </x:c>
      <x:c r="D119" s="79" t="str">
        <x:v>A</x:v>
      </x:c>
      <x:c r="E119" s="79" t="str">
        <x:v>1</x:v>
      </x:c>
      <x:c r="F119" s="79" t="str">
        <x:v>16</x:v>
      </x:c>
      <x:c r="G119" s="79" t="str"/>
      <x:c r="H119" s="79" t="str">
        <x:v>7E0</x:v>
      </x:c>
      <x:c r="I119" s="79" t="str">
        <x:v>PRIUS_PHV_GEN1 / ZVW35</x:v>
      </x:c>
      <x:c r="J119" s="79" t="str">
        <x:v>PiP Adv (US).csv</x:v>
      </x:c>
      <x:c r="K119" s="79" t="str">
        <x:v>2013-01-22</x:v>
      </x:c>
      <x:c r="L119" s="79" t="str">
        <x:v>READ-ONLY DIAGNOSTIC CANDIDATE</x:v>
      </x:c>
      <x:c r="M119" s="79" t="str">
        <x:v>CANDIDATE</x:v>
      </x:c>
      <x:c r="N119" s="80" t="str">
        <x:v>Advanced PHV source; never merge unchanged into ordinary Gen 3</x:v>
      </x:c>
    </x:row>
    <x:row r="120">
      <x:c r="A120" s="78" t="str">
        <x:v>Short FT #1</x:v>
      </x:c>
      <x:c r="B120" s="79" t="str">
        <x:v>Short FT1</x:v>
      </x:c>
      <x:c r="C120" s="79" t="str">
        <x:v>2103</x:v>
      </x:c>
      <x:c r="D120" s="79" t="str">
        <x:v>C * 199.2 / 255 - 100</x:v>
      </x:c>
      <x:c r="E120" s="79" t="str">
        <x:v>-100</x:v>
      </x:c>
      <x:c r="F120" s="79" t="str">
        <x:v>99.2</x:v>
      </x:c>
      <x:c r="G120" s="79" t="str">
        <x:v>%</x:v>
      </x:c>
      <x:c r="H120" s="79" t="str">
        <x:v>7E0</x:v>
      </x:c>
      <x:c r="I120" s="79" t="str">
        <x:v>PRIUS_PHV_GEN1 / ZVW35</x:v>
      </x:c>
      <x:c r="J120" s="79" t="str">
        <x:v>PiP Adv (US).csv</x:v>
      </x:c>
      <x:c r="K120" s="79" t="str">
        <x:v>2013-01-22</x:v>
      </x:c>
      <x:c r="L120" s="79" t="str">
        <x:v>READ-ONLY DIAGNOSTIC CANDIDATE</x:v>
      </x:c>
      <x:c r="M120" s="79" t="str">
        <x:v>CANDIDATE</x:v>
      </x:c>
      <x:c r="N120" s="80" t="str">
        <x:v>Advanced PHV source; never merge unchanged into ordinary Gen 3</x:v>
      </x:c>
    </x:row>
    <x:row r="121">
      <x:c r="A121" s="78" t="str">
        <x:v>Long FT #1</x:v>
      </x:c>
      <x:c r="B121" s="79" t="str">
        <x:v>Long FT1</x:v>
      </x:c>
      <x:c r="C121" s="79" t="str">
        <x:v>2103</x:v>
      </x:c>
      <x:c r="D121" s="79" t="str">
        <x:v>D * 199.2 / 255 - 100</x:v>
      </x:c>
      <x:c r="E121" s="79" t="str">
        <x:v>-100</x:v>
      </x:c>
      <x:c r="F121" s="79" t="str">
        <x:v>99.2</x:v>
      </x:c>
      <x:c r="G121" s="79" t="str">
        <x:v>%</x:v>
      </x:c>
      <x:c r="H121" s="79" t="str">
        <x:v>7E0</x:v>
      </x:c>
      <x:c r="I121" s="79" t="str">
        <x:v>PRIUS_PHV_GEN1 / ZVW35</x:v>
      </x:c>
      <x:c r="J121" s="79" t="str">
        <x:v>PiP Adv (US).csv</x:v>
      </x:c>
      <x:c r="K121" s="79" t="str">
        <x:v>2013-01-22</x:v>
      </x:c>
      <x:c r="L121" s="79" t="str">
        <x:v>READ-ONLY DIAGNOSTIC CANDIDATE</x:v>
      </x:c>
      <x:c r="M121" s="79" t="str">
        <x:v>CANDIDATE</x:v>
      </x:c>
      <x:c r="N121" s="80" t="str">
        <x:v>Advanced PHV source; never merge unchanged into ordinary Gen 3</x:v>
      </x:c>
    </x:row>
    <x:row r="122">
      <x:c r="A122" s="78" t="str">
        <x:v>IGN Advance</x:v>
      </x:c>
      <x:c r="B122" s="79" t="str">
        <x:v>IGN</x:v>
      </x:c>
      <x:c r="C122" s="79" t="str">
        <x:v>2103</x:v>
      </x:c>
      <x:c r="D122" s="79" t="str">
        <x:v>E / 2 - 64</x:v>
      </x:c>
      <x:c r="E122" s="79" t="str">
        <x:v>-64</x:v>
      </x:c>
      <x:c r="F122" s="79" t="str">
        <x:v>63.5</x:v>
      </x:c>
      <x:c r="G122" s="79" t="str">
        <x:v>deg</x:v>
      </x:c>
      <x:c r="H122" s="79" t="str">
        <x:v>7E0</x:v>
      </x:c>
      <x:c r="I122" s="79" t="str">
        <x:v>PRIUS_PHV_GEN1 / ZVW35</x:v>
      </x:c>
      <x:c r="J122" s="79" t="str">
        <x:v>PiP Adv (US).csv</x:v>
      </x:c>
      <x:c r="K122" s="79" t="str">
        <x:v>2013-01-22</x:v>
      </x:c>
      <x:c r="L122" s="79" t="str">
        <x:v>READ-ONLY DIAGNOSTIC CANDIDATE</x:v>
      </x:c>
      <x:c r="M122" s="79" t="str">
        <x:v>CANDIDATE</x:v>
      </x:c>
      <x:c r="N122" s="80" t="str">
        <x:v>Advanced PHV source; never merge unchanged into ordinary Gen 3</x:v>
      </x:c>
    </x:row>
    <x:row r="123">
      <x:c r="A123" s="78" t="str">
        <x:v>Target Air-Fuel Ratio</x:v>
      </x:c>
      <x:c r="B123" s="79" t="str">
        <x:v>TAFR</x:v>
      </x:c>
      <x:c r="C123" s="79" t="str">
        <x:v>2104</x:v>
      </x:c>
      <x:c r="D123" s="79" t="str">
        <x:v>(A * 256 + B) * 1.99 / 65535</x:v>
      </x:c>
      <x:c r="E123" s="79" t="str">
        <x:v>0</x:v>
      </x:c>
      <x:c r="F123" s="79" t="str">
        <x:v>1.99</x:v>
      </x:c>
      <x:c r="G123" s="79" t="str"/>
      <x:c r="H123" s="79" t="str">
        <x:v>7E0</x:v>
      </x:c>
      <x:c r="I123" s="79" t="str">
        <x:v>PRIUS_PHV_GEN1 / ZVW35</x:v>
      </x:c>
      <x:c r="J123" s="79" t="str">
        <x:v>PiP Adv (US).csv</x:v>
      </x:c>
      <x:c r="K123" s="79" t="str">
        <x:v>2013-01-22</x:v>
      </x:c>
      <x:c r="L123" s="79" t="str">
        <x:v>READ-ONLY DIAGNOSTIC CANDIDATE</x:v>
      </x:c>
      <x:c r="M123" s="79" t="str">
        <x:v>CANDIDATE</x:v>
      </x:c>
      <x:c r="N123" s="80" t="str">
        <x:v>Advanced PHV source; never merge unchanged into ordinary Gen 3</x:v>
      </x:c>
    </x:row>
    <x:row r="124">
      <x:c r="A124" s="78" t="str">
        <x:v>AF Lambda B1S1</x:v>
      </x:c>
      <x:c r="B124" s="79" t="str">
        <x:v>AFL B1S1</x:v>
      </x:c>
      <x:c r="C124" s="79" t="str">
        <x:v>2104</x:v>
      </x:c>
      <x:c r="D124" s="79" t="str">
        <x:v>(C * 256 + D) * 1.99 / 65535</x:v>
      </x:c>
      <x:c r="E124" s="79" t="str">
        <x:v>0</x:v>
      </x:c>
      <x:c r="F124" s="79" t="str">
        <x:v>1.99</x:v>
      </x:c>
      <x:c r="G124" s="79" t="str"/>
      <x:c r="H124" s="79" t="str">
        <x:v>7E0</x:v>
      </x:c>
      <x:c r="I124" s="79" t="str">
        <x:v>PRIUS_PHV_GEN1 / ZVW35</x:v>
      </x:c>
      <x:c r="J124" s="79" t="str">
        <x:v>PiP Adv (US).csv</x:v>
      </x:c>
      <x:c r="K124" s="79" t="str">
        <x:v>2013-01-22</x:v>
      </x:c>
      <x:c r="L124" s="79" t="str">
        <x:v>READ-ONLY DIAGNOSTIC CANDIDATE</x:v>
      </x:c>
      <x:c r="M124" s="79" t="str">
        <x:v>CANDIDATE</x:v>
      </x:c>
      <x:c r="N124" s="80" t="str">
        <x:v>Advanced PHV source; never merge unchanged into ordinary Gen 3</x:v>
      </x:c>
    </x:row>
    <x:row r="125">
      <x:c r="A125" s="78" t="str">
        <x:v>AFS Voltage B1S1</x:v>
      </x:c>
      <x:c r="B125" s="79" t="str">
        <x:v>AFSV B1S1</x:v>
      </x:c>
      <x:c r="C125" s="79" t="str">
        <x:v>2104</x:v>
      </x:c>
      <x:c r="D125" s="79" t="str">
        <x:v>(E * 256 + F) * 7.99 / 65535</x:v>
      </x:c>
      <x:c r="E125" s="79" t="str">
        <x:v>0</x:v>
      </x:c>
      <x:c r="F125" s="79" t="str">
        <x:v>7.99</x:v>
      </x:c>
      <x:c r="G125" s="79" t="str">
        <x:v>V</x:v>
      </x:c>
      <x:c r="H125" s="79" t="str">
        <x:v>7E0</x:v>
      </x:c>
      <x:c r="I125" s="79" t="str">
        <x:v>PRIUS_PHV_GEN1 / ZVW35</x:v>
      </x:c>
      <x:c r="J125" s="79" t="str">
        <x:v>PiP Adv (US).csv</x:v>
      </x:c>
      <x:c r="K125" s="79" t="str">
        <x:v>2013-01-22</x:v>
      </x:c>
      <x:c r="L125" s="79" t="str">
        <x:v>READ-ONLY DIAGNOSTIC CANDIDATE</x:v>
      </x:c>
      <x:c r="M125" s="79" t="str">
        <x:v>CANDIDATE</x:v>
      </x:c>
      <x:c r="N125" s="80" t="str">
        <x:v>Advanced PHV source; never merge unchanged into ordinary Gen 3</x:v>
      </x:c>
    </x:row>
    <x:row r="126">
      <x:c r="A126" s="78" t="str">
        <x:v>MIL</x:v>
      </x:c>
      <x:c r="B126" s="79" t="str">
        <x:v>MIL</x:v>
      </x:c>
      <x:c r="C126" s="79" t="str">
        <x:v>2106</x:v>
      </x:c>
      <x:c r="D126" s="79" t="str">
        <x:v>{A:7}</x:v>
      </x:c>
      <x:c r="E126" s="79" t="str">
        <x:v>0</x:v>
      </x:c>
      <x:c r="F126" s="79" t="str">
        <x:v>1</x:v>
      </x:c>
      <x:c r="G126" s="79" t="str">
        <x:v>Off/On</x:v>
      </x:c>
      <x:c r="H126" s="79" t="str">
        <x:v>7E0</x:v>
      </x:c>
      <x:c r="I126" s="79" t="str">
        <x:v>PRIUS_PHV_GEN1 / ZVW35</x:v>
      </x:c>
      <x:c r="J126" s="79" t="str">
        <x:v>PiP Adv (US).csv</x:v>
      </x:c>
      <x:c r="K126" s="79" t="str">
        <x:v>2013-01-22</x:v>
      </x:c>
      <x:c r="L126" s="79" t="str">
        <x:v>READ-ONLY DIAGNOSTIC CANDIDATE</x:v>
      </x:c>
      <x:c r="M126" s="79" t="str">
        <x:v>CANDIDATE</x:v>
      </x:c>
      <x:c r="N126" s="80" t="str">
        <x:v>Advanced PHV source; never merge unchanged into ordinary Gen 3</x:v>
      </x:c>
    </x:row>
    <x:row r="127">
      <x:c r="A127" s="78" t="str">
        <x:v>Communication with HV</x:v>
      </x:c>
      <x:c r="B127" s="79" t="str">
        <x:v>HV Comm</x:v>
      </x:c>
      <x:c r="C127" s="79" t="str">
        <x:v>2124</x:v>
      </x:c>
      <x:c r="D127" s="79" t="str">
        <x:v>{A:5}</x:v>
      </x:c>
      <x:c r="E127" s="79" t="str">
        <x:v>0</x:v>
      </x:c>
      <x:c r="F127" s="79" t="str">
        <x:v>1</x:v>
      </x:c>
      <x:c r="G127" s="79" t="str">
        <x:v>Off/On</x:v>
      </x:c>
      <x:c r="H127" s="79" t="str">
        <x:v>7E0</x:v>
      </x:c>
      <x:c r="I127" s="79" t="str">
        <x:v>PRIUS_PHV_GEN1 / ZVW35</x:v>
      </x:c>
      <x:c r="J127" s="79" t="str">
        <x:v>PiP Adv (US).csv</x:v>
      </x:c>
      <x:c r="K127" s="79" t="str">
        <x:v>2013-01-22</x:v>
      </x:c>
      <x:c r="L127" s="79" t="str">
        <x:v>READ-ONLY DIAGNOSTIC CANDIDATE</x:v>
      </x:c>
      <x:c r="M127" s="79" t="str">
        <x:v>CANDIDATE</x:v>
      </x:c>
      <x:c r="N127" s="80" t="str">
        <x:v>Advanced PHV source; never merge unchanged into ordinary Gen 3</x:v>
      </x:c>
    </x:row>
    <x:row r="128">
      <x:c r="A128" s="78" t="str">
        <x:v>Communication with Brake</x:v>
      </x:c>
      <x:c r="B128" s="79" t="str">
        <x:v>Brk Comm</x:v>
      </x:c>
      <x:c r="C128" s="79" t="str">
        <x:v>2124</x:v>
      </x:c>
      <x:c r="D128" s="79" t="str">
        <x:v>{A:3}</x:v>
      </x:c>
      <x:c r="E128" s="79" t="str">
        <x:v>0</x:v>
      </x:c>
      <x:c r="F128" s="79" t="str">
        <x:v>1</x:v>
      </x:c>
      <x:c r="G128" s="79" t="str">
        <x:v>Off/On</x:v>
      </x:c>
      <x:c r="H128" s="79" t="str">
        <x:v>7E0</x:v>
      </x:c>
      <x:c r="I128" s="79" t="str">
        <x:v>PRIUS_PHV_GEN1 / ZVW35</x:v>
      </x:c>
      <x:c r="J128" s="79" t="str">
        <x:v>PiP Adv (US).csv</x:v>
      </x:c>
      <x:c r="K128" s="79" t="str">
        <x:v>2013-01-22</x:v>
      </x:c>
      <x:c r="L128" s="79" t="str">
        <x:v>READ-ONLY DIAGNOSTIC CANDIDATE</x:v>
      </x:c>
      <x:c r="M128" s="79" t="str">
        <x:v>CANDIDATE</x:v>
      </x:c>
      <x:c r="N128" s="80" t="str">
        <x:v>Advanced PHV source; never merge unchanged into ordinary Gen 3</x:v>
      </x:c>
    </x:row>
    <x:row r="129">
      <x:c r="A129" s="78" t="str">
        <x:v>Comm with Air Conditioner</x:v>
      </x:c>
      <x:c r="B129" s="79" t="str">
        <x:v>AC Comm</x:v>
      </x:c>
      <x:c r="C129" s="79" t="str">
        <x:v>2124</x:v>
      </x:c>
      <x:c r="D129" s="79" t="str">
        <x:v>{A:2}</x:v>
      </x:c>
      <x:c r="E129" s="79" t="str">
        <x:v>0</x:v>
      </x:c>
      <x:c r="F129" s="79" t="str">
        <x:v>1</x:v>
      </x:c>
      <x:c r="G129" s="79" t="str">
        <x:v>Off/On</x:v>
      </x:c>
      <x:c r="H129" s="79" t="str">
        <x:v>7E0</x:v>
      </x:c>
      <x:c r="I129" s="79" t="str">
        <x:v>PRIUS_PHV_GEN1 / ZVW35</x:v>
      </x:c>
      <x:c r="J129" s="79" t="str">
        <x:v>PiP Adv (US).csv</x:v>
      </x:c>
      <x:c r="K129" s="79" t="str">
        <x:v>2013-01-22</x:v>
      </x:c>
      <x:c r="L129" s="79" t="str">
        <x:v>READ-ONLY DIAGNOSTIC CANDIDATE</x:v>
      </x:c>
      <x:c r="M129" s="79" t="str">
        <x:v>CANDIDATE</x:v>
      </x:c>
      <x:c r="N129" s="80" t="str">
        <x:v>Advanced PHV source; never merge unchanged into ordinary Gen 3</x:v>
      </x:c>
    </x:row>
    <x:row r="130">
      <x:c r="A130" s="78" t="str">
        <x:v>Initial Engine Coolant Temp</x:v>
      </x:c>
      <x:c r="B130" s="79" t="str">
        <x:v>Init ECT</x:v>
      </x:c>
      <x:c r="C130" s="79" t="str">
        <x:v>2137</x:v>
      </x:c>
      <x:c r="D130" s="79" t="str">
        <x:v>A * 286.8 / 255 - 40</x:v>
      </x:c>
      <x:c r="E130" s="79" t="str">
        <x:v>-40</x:v>
      </x:c>
      <x:c r="F130" s="79" t="str">
        <x:v>246.8</x:v>
      </x:c>
      <x:c r="G130" s="79" t="str">
        <x:v>F</x:v>
      </x:c>
      <x:c r="H130" s="79" t="str">
        <x:v>7E0</x:v>
      </x:c>
      <x:c r="I130" s="79" t="str">
        <x:v>PRIUS_PHV_GEN1 / ZVW35</x:v>
      </x:c>
      <x:c r="J130" s="79" t="str">
        <x:v>PiP Adv (US).csv</x:v>
      </x:c>
      <x:c r="K130" s="79" t="str">
        <x:v>2013-01-22</x:v>
      </x:c>
      <x:c r="L130" s="79" t="str">
        <x:v>READ-ONLY DIAGNOSTIC CANDIDATE</x:v>
      </x:c>
      <x:c r="M130" s="79" t="str">
        <x:v>CANDIDATE</x:v>
      </x:c>
      <x:c r="N130" s="80" t="str">
        <x:v>Advanced PHV source; never merge unchanged into ordinary Gen 3</x:v>
      </x:c>
    </x:row>
    <x:row r="131">
      <x:c r="A131" s="78" t="str">
        <x:v>Initial Intake Air Temp</x:v>
      </x:c>
      <x:c r="B131" s="79" t="str">
        <x:v>Init IAT</x:v>
      </x:c>
      <x:c r="C131" s="79" t="str">
        <x:v>2137</x:v>
      </x:c>
      <x:c r="D131" s="79" t="str">
        <x:v>B * 286.8 / 255 - 40</x:v>
      </x:c>
      <x:c r="E131" s="79" t="str">
        <x:v>-40</x:v>
      </x:c>
      <x:c r="F131" s="79" t="str">
        <x:v>246.8</x:v>
      </x:c>
      <x:c r="G131" s="79" t="str">
        <x:v>F</x:v>
      </x:c>
      <x:c r="H131" s="79" t="str">
        <x:v>7E0</x:v>
      </x:c>
      <x:c r="I131" s="79" t="str">
        <x:v>PRIUS_PHV_GEN1 / ZVW35</x:v>
      </x:c>
      <x:c r="J131" s="79" t="str">
        <x:v>PiP Adv (US).csv</x:v>
      </x:c>
      <x:c r="K131" s="79" t="str">
        <x:v>2013-01-22</x:v>
      </x:c>
      <x:c r="L131" s="79" t="str">
        <x:v>READ-ONLY DIAGNOSTIC CANDIDATE</x:v>
      </x:c>
      <x:c r="M131" s="79" t="str">
        <x:v>CANDIDATE</x:v>
      </x:c>
      <x:c r="N131" s="80" t="str">
        <x:v>Advanced PHV source; never merge unchanged into ordinary Gen 3</x:v>
      </x:c>
    </x:row>
    <x:row r="132">
      <x:c r="A132" s="78" t="str">
        <x:v>Injection volume (Cylinder 1) for 10 times</x:v>
      </x:c>
      <x:c r="B132" s="79" t="str">
        <x:v>Inj Vol</x:v>
      </x:c>
      <x:c r="C132" s="79" t="str">
        <x:v>213C</x:v>
      </x:c>
      <x:c r="D132" s="79" t="str">
        <x:v>(A * 256 + B) * 0.0692173044706726 / 65535</x:v>
      </x:c>
      <x:c r="E132" s="79" t="str">
        <x:v>0</x:v>
      </x:c>
      <x:c r="F132" s="79" t="str">
        <x:v>0.069217304470673</x:v>
      </x:c>
      <x:c r="G132" s="79" t="str">
        <x:v>fl oz</x:v>
      </x:c>
      <x:c r="H132" s="79" t="str">
        <x:v>7E0</x:v>
      </x:c>
      <x:c r="I132" s="79" t="str">
        <x:v>PRIUS_PHV_GEN1 / ZVW35</x:v>
      </x:c>
      <x:c r="J132" s="79" t="str">
        <x:v>PiP Adv (US).csv</x:v>
      </x:c>
      <x:c r="K132" s="79" t="str">
        <x:v>2013-01-22</x:v>
      </x:c>
      <x:c r="L132" s="79" t="str">
        <x:v>READ-ONLY DIAGNOSTIC CANDIDATE</x:v>
      </x:c>
      <x:c r="M132" s="79" t="str">
        <x:v>CANDIDATE</x:v>
      </x:c>
      <x:c r="N132" s="80" t="str">
        <x:v>Advanced PHV source; never merge unchanged into ordinary Gen 3</x:v>
      </x:c>
    </x:row>
    <x:row r="133">
      <x:c r="A133" s="78" t="str">
        <x:v>Injection duration for cylinder 1</x:v>
      </x:c>
      <x:c r="B133" s="79" t="str">
        <x:v>Inj Dur</x:v>
      </x:c>
      <x:c r="C133" s="79" t="str">
        <x:v>213C</x:v>
      </x:c>
      <x:c r="D133" s="79" t="str">
        <x:v>C * 256 + D</x:v>
      </x:c>
      <x:c r="E133" s="79" t="str">
        <x:v>0</x:v>
      </x:c>
      <x:c r="F133" s="79" t="str">
        <x:v>65535</x:v>
      </x:c>
      <x:c r="G133" s="79" t="str">
        <x:v>micro sec.</x:v>
      </x:c>
      <x:c r="H133" s="79" t="str">
        <x:v>7E0</x:v>
      </x:c>
      <x:c r="I133" s="79" t="str">
        <x:v>PRIUS_PHV_GEN1 / ZVW35</x:v>
      </x:c>
      <x:c r="J133" s="79" t="str">
        <x:v>PiP Adv (US).csv</x:v>
      </x:c>
      <x:c r="K133" s="79" t="str">
        <x:v>2013-01-22</x:v>
      </x:c>
      <x:c r="L133" s="79" t="str">
        <x:v>READ-ONLY DIAGNOSTIC CANDIDATE</x:v>
      </x:c>
      <x:c r="M133" s="79" t="str">
        <x:v>CANDIDATE</x:v>
      </x:c>
      <x:c r="N133" s="80" t="str">
        <x:v>Advanced PHV source; never merge unchanged into ordinary Gen 3</x:v>
      </x:c>
    </x:row>
    <x:row r="134">
      <x:c r="A134" s="78" t="str">
        <x:v>Total FT #1</x:v>
      </x:c>
      <x:c r="B134" s="79" t="str">
        <x:v>Total FT1</x:v>
      </x:c>
      <x:c r="C134" s="79" t="str">
        <x:v>213C</x:v>
      </x:c>
      <x:c r="D134" s="79" t="str">
        <x:v>E * 0.996 / 255 - 0.5</x:v>
      </x:c>
      <x:c r="E134" s="79" t="str">
        <x:v>-0.5</x:v>
      </x:c>
      <x:c r="F134" s="79" t="str">
        <x:v>0.496</x:v>
      </x:c>
      <x:c r="G134" s="79" t="str"/>
      <x:c r="H134" s="79" t="str">
        <x:v>7E0</x:v>
      </x:c>
      <x:c r="I134" s="79" t="str">
        <x:v>PRIUS_PHV_GEN1 / ZVW35</x:v>
      </x:c>
      <x:c r="J134" s="79" t="str">
        <x:v>PiP Adv (US).csv</x:v>
      </x:c>
      <x:c r="K134" s="79" t="str">
        <x:v>2013-01-22</x:v>
      </x:c>
      <x:c r="L134" s="79" t="str">
        <x:v>READ-ONLY DIAGNOSTIC CANDIDATE</x:v>
      </x:c>
      <x:c r="M134" s="79" t="str">
        <x:v>CANDIDATE</x:v>
      </x:c>
      <x:c r="N134" s="80" t="str">
        <x:v>Advanced PHV source; never merge unchanged into ordinary Gen 3</x:v>
      </x:c>
    </x:row>
    <x:row r="135">
      <x:c r="A135" s="78" t="str">
        <x:v>VVT Aim Angle #1</x:v>
      </x:c>
      <x:c r="B135" s="79" t="str">
        <x:v>VVTAA1</x:v>
      </x:c>
      <x:c r="C135" s="79" t="str">
        <x:v>2144</x:v>
      </x:c>
      <x:c r="D135" s="79" t="str">
        <x:v>(A * 256 + B) * 399.9 / 65535</x:v>
      </x:c>
      <x:c r="E135" s="79" t="str">
        <x:v>0</x:v>
      </x:c>
      <x:c r="F135" s="79" t="str">
        <x:v>100</x:v>
      </x:c>
      <x:c r="G135" s="79" t="str">
        <x:v>%</x:v>
      </x:c>
      <x:c r="H135" s="79" t="str">
        <x:v>7E0</x:v>
      </x:c>
      <x:c r="I135" s="79" t="str">
        <x:v>PRIUS_PHV_GEN1 / ZVW35</x:v>
      </x:c>
      <x:c r="J135" s="79" t="str">
        <x:v>PiP Adv (US).csv</x:v>
      </x:c>
      <x:c r="K135" s="79" t="str">
        <x:v>2013-01-22</x:v>
      </x:c>
      <x:c r="L135" s="79" t="str">
        <x:v>READ-ONLY DIAGNOSTIC CANDIDATE</x:v>
      </x:c>
      <x:c r="M135" s="79" t="str">
        <x:v>CANDIDATE</x:v>
      </x:c>
      <x:c r="N135" s="80" t="str">
        <x:v>Advanced PHV source; never merge unchanged into ordinary Gen 3</x:v>
      </x:c>
    </x:row>
    <x:row r="136">
      <x:c r="A136" s="78" t="str">
        <x:v>VVT OCV Duty #1</x:v>
      </x:c>
      <x:c r="B136" s="79" t="str">
        <x:v>VVTOCVD1</x:v>
      </x:c>
      <x:c r="C136" s="79" t="str">
        <x:v>2144</x:v>
      </x:c>
      <x:c r="D136" s="79" t="str">
        <x:v>(C * 256 + D) * 399.9 / 65535</x:v>
      </x:c>
      <x:c r="E136" s="79" t="str">
        <x:v>0</x:v>
      </x:c>
      <x:c r="F136" s="79" t="str">
        <x:v>100</x:v>
      </x:c>
      <x:c r="G136" s="79" t="str">
        <x:v>%</x:v>
      </x:c>
      <x:c r="H136" s="79" t="str">
        <x:v>7E0</x:v>
      </x:c>
      <x:c r="I136" s="79" t="str">
        <x:v>PRIUS_PHV_GEN1 / ZVW35</x:v>
      </x:c>
      <x:c r="J136" s="79" t="str">
        <x:v>PiP Adv (US).csv</x:v>
      </x:c>
      <x:c r="K136" s="79" t="str">
        <x:v>2013-01-22</x:v>
      </x:c>
      <x:c r="L136" s="79" t="str">
        <x:v>READ-ONLY DIAGNOSTIC CANDIDATE</x:v>
      </x:c>
      <x:c r="M136" s="79" t="str">
        <x:v>CANDIDATE</x:v>
      </x:c>
      <x:c r="N136" s="80" t="str">
        <x:v>Advanced PHV source; never merge unchanged into ordinary Gen 3</x:v>
      </x:c>
    </x:row>
    <x:row r="137">
      <x:c r="A137" s="78" t="str">
        <x:v>VVT Change Angle #1</x:v>
      </x:c>
      <x:c r="B137" s="79" t="str">
        <x:v>VVTCA1</x:v>
      </x:c>
      <x:c r="C137" s="79" t="str">
        <x:v>2144</x:v>
      </x:c>
      <x:c r="D137" s="79" t="str">
        <x:v>(E * 256 + F) * 639.9 / 65535</x:v>
      </x:c>
      <x:c r="E137" s="79" t="str">
        <x:v>0</x:v>
      </x:c>
      <x:c r="F137" s="79" t="str">
        <x:v>639.9</x:v>
      </x:c>
      <x:c r="G137" s="79" t="str">
        <x:v>DegFR</x:v>
      </x:c>
      <x:c r="H137" s="79" t="str">
        <x:v>7E0</x:v>
      </x:c>
      <x:c r="I137" s="79" t="str">
        <x:v>PRIUS_PHV_GEN1 / ZVW35</x:v>
      </x:c>
      <x:c r="J137" s="79" t="str">
        <x:v>PiP Adv (US).csv</x:v>
      </x:c>
      <x:c r="K137" s="79" t="str">
        <x:v>2013-01-22</x:v>
      </x:c>
      <x:c r="L137" s="79" t="str">
        <x:v>READ-ONLY DIAGNOSTIC CANDIDATE</x:v>
      </x:c>
      <x:c r="M137" s="79" t="str">
        <x:v>CANDIDATE</x:v>
      </x:c>
      <x:c r="N137" s="80" t="str">
        <x:v>Advanced PHV source; never merge unchanged into ordinary Gen 3</x:v>
      </x:c>
    </x:row>
    <x:row r="138">
      <x:c r="A138" s="78" t="str">
        <x:v>Misfire RPM</x:v>
      </x:c>
      <x:c r="B138" s="79" t="str">
        <x:v>MisfireRPM</x:v>
      </x:c>
      <x:c r="C138" s="79" t="str">
        <x:v>2145</x:v>
      </x:c>
      <x:c r="D138" s="79" t="str">
        <x:v>B * 25</x:v>
      </x:c>
      <x:c r="E138" s="79" t="str">
        <x:v>0</x:v>
      </x:c>
      <x:c r="F138" s="79" t="str">
        <x:v>6375</x:v>
      </x:c>
      <x:c r="G138" s="79" t="str">
        <x:v>RPM</x:v>
      </x:c>
      <x:c r="H138" s="79" t="str">
        <x:v>7E0</x:v>
      </x:c>
      <x:c r="I138" s="79" t="str">
        <x:v>PRIUS_PHV_GEN1 / ZVW35</x:v>
      </x:c>
      <x:c r="J138" s="79" t="str">
        <x:v>PiP Adv (US).csv</x:v>
      </x:c>
      <x:c r="K138" s="79" t="str">
        <x:v>2013-01-22</x:v>
      </x:c>
      <x:c r="L138" s="79" t="str">
        <x:v>READ-ONLY DIAGNOSTIC CANDIDATE</x:v>
      </x:c>
      <x:c r="M138" s="79" t="str">
        <x:v>CANDIDATE</x:v>
      </x:c>
      <x:c r="N138" s="80" t="str">
        <x:v>Advanced PHV source; never merge unchanged into ordinary Gen 3</x:v>
      </x:c>
    </x:row>
    <x:row r="139">
      <x:c r="A139" s="78" t="str">
        <x:v>Misfire Load</x:v>
      </x:c>
      <x:c r="B139" s="79" t="str">
        <x:v>MisfireLoad</x:v>
      </x:c>
      <x:c r="C139" s="79" t="str">
        <x:v>2145</x:v>
      </x:c>
      <x:c r="D139" s="79" t="str">
        <x:v>C * 3.98 / 255</x:v>
      </x:c>
      <x:c r="E139" s="79" t="str">
        <x:v>0</x:v>
      </x:c>
      <x:c r="F139" s="79" t="str">
        <x:v>3.98</x:v>
      </x:c>
      <x:c r="G139" s="79" t="str">
        <x:v>g/rev</x:v>
      </x:c>
      <x:c r="H139" s="79" t="str">
        <x:v>7E0</x:v>
      </x:c>
      <x:c r="I139" s="79" t="str">
        <x:v>PRIUS_PHV_GEN1 / ZVW35</x:v>
      </x:c>
      <x:c r="J139" s="79" t="str">
        <x:v>PiP Adv (US).csv</x:v>
      </x:c>
      <x:c r="K139" s="79" t="str">
        <x:v>2013-01-22</x:v>
      </x:c>
      <x:c r="L139" s="79" t="str">
        <x:v>READ-ONLY DIAGNOSTIC CANDIDATE</x:v>
      </x:c>
      <x:c r="M139" s="79" t="str">
        <x:v>CANDIDATE</x:v>
      </x:c>
      <x:c r="N139" s="80" t="str">
        <x:v>Advanced PHV source; never merge unchanged into ordinary Gen 3</x:v>
      </x:c>
    </x:row>
    <x:row r="140">
      <x:c r="A140" s="78" t="str">
        <x:v>Cylinder #1 Misfire Count</x:v>
      </x:c>
      <x:c r="B140" s="79" t="str">
        <x:v>MisfireCnt#1</x:v>
      </x:c>
      <x:c r="C140" s="79" t="str">
        <x:v>2145</x:v>
      </x:c>
      <x:c r="D140" s="79" t="str">
        <x:v>D</x:v>
      </x:c>
      <x:c r="E140" s="79" t="str">
        <x:v>0</x:v>
      </x:c>
      <x:c r="F140" s="79" t="str">
        <x:v>255</x:v>
      </x:c>
      <x:c r="G140" s="79" t="str"/>
      <x:c r="H140" s="79" t="str">
        <x:v>7E0</x:v>
      </x:c>
      <x:c r="I140" s="79" t="str">
        <x:v>PRIUS_PHV_GEN1 / ZVW35</x:v>
      </x:c>
      <x:c r="J140" s="79" t="str">
        <x:v>PiP Adv (US).csv</x:v>
      </x:c>
      <x:c r="K140" s="79" t="str">
        <x:v>2013-01-22</x:v>
      </x:c>
      <x:c r="L140" s="79" t="str">
        <x:v>READ-ONLY DIAGNOSTIC CANDIDATE</x:v>
      </x:c>
      <x:c r="M140" s="79" t="str">
        <x:v>CANDIDATE</x:v>
      </x:c>
      <x:c r="N140" s="80" t="str">
        <x:v>Advanced PHV source; never merge unchanged into ordinary Gen 3</x:v>
      </x:c>
    </x:row>
    <x:row r="141">
      <x:c r="A141" s="78" t="str">
        <x:v>Cylinder #2 Misfire Count</x:v>
      </x:c>
      <x:c r="B141" s="79" t="str">
        <x:v>MisfireCnt#2</x:v>
      </x:c>
      <x:c r="C141" s="79" t="str">
        <x:v>2145</x:v>
      </x:c>
      <x:c r="D141" s="79" t="str">
        <x:v>E</x:v>
      </x:c>
      <x:c r="E141" s="79" t="str">
        <x:v>0</x:v>
      </x:c>
      <x:c r="F141" s="79" t="str">
        <x:v>255</x:v>
      </x:c>
      <x:c r="G141" s="79" t="str"/>
      <x:c r="H141" s="79" t="str">
        <x:v>7E0</x:v>
      </x:c>
      <x:c r="I141" s="79" t="str">
        <x:v>PRIUS_PHV_GEN1 / ZVW35</x:v>
      </x:c>
      <x:c r="J141" s="79" t="str">
        <x:v>PiP Adv (US).csv</x:v>
      </x:c>
      <x:c r="K141" s="79" t="str">
        <x:v>2013-01-22</x:v>
      </x:c>
      <x:c r="L141" s="79" t="str">
        <x:v>READ-ONLY DIAGNOSTIC CANDIDATE</x:v>
      </x:c>
      <x:c r="M141" s="79" t="str">
        <x:v>CANDIDATE</x:v>
      </x:c>
      <x:c r="N141" s="80" t="str">
        <x:v>Advanced PHV source; never merge unchanged into ordinary Gen 3</x:v>
      </x:c>
    </x:row>
    <x:row r="142">
      <x:c r="A142" s="78" t="str">
        <x:v>Cylinder #3 Misfire Count</x:v>
      </x:c>
      <x:c r="B142" s="79" t="str">
        <x:v>MisfireCnt#3</x:v>
      </x:c>
      <x:c r="C142" s="79" t="str">
        <x:v>2145</x:v>
      </x:c>
      <x:c r="D142" s="79" t="str">
        <x:v>F</x:v>
      </x:c>
      <x:c r="E142" s="79" t="str">
        <x:v>0</x:v>
      </x:c>
      <x:c r="F142" s="79" t="str">
        <x:v>255</x:v>
      </x:c>
      <x:c r="G142" s="79" t="str"/>
      <x:c r="H142" s="79" t="str">
        <x:v>7E0</x:v>
      </x:c>
      <x:c r="I142" s="79" t="str">
        <x:v>PRIUS_PHV_GEN1 / ZVW35</x:v>
      </x:c>
      <x:c r="J142" s="79" t="str">
        <x:v>PiP Adv (US).csv</x:v>
      </x:c>
      <x:c r="K142" s="79" t="str">
        <x:v>2013-01-22</x:v>
      </x:c>
      <x:c r="L142" s="79" t="str">
        <x:v>READ-ONLY DIAGNOSTIC CANDIDATE</x:v>
      </x:c>
      <x:c r="M142" s="79" t="str">
        <x:v>CANDIDATE</x:v>
      </x:c>
      <x:c r="N142" s="80" t="str">
        <x:v>Advanced PHV source; never merge unchanged into ordinary Gen 3</x:v>
      </x:c>
    </x:row>
    <x:row r="143">
      <x:c r="A143" s="78" t="str">
        <x:v>Cylinder #4 Misfire Count</x:v>
      </x:c>
      <x:c r="B143" s="79" t="str">
        <x:v>MisfireCnt#4</x:v>
      </x:c>
      <x:c r="C143" s="79" t="str">
        <x:v>2145</x:v>
      </x:c>
      <x:c r="D143" s="79" t="str">
        <x:v>G</x:v>
      </x:c>
      <x:c r="E143" s="79" t="str">
        <x:v>0</x:v>
      </x:c>
      <x:c r="F143" s="79" t="str">
        <x:v>255</x:v>
      </x:c>
      <x:c r="G143" s="79" t="str"/>
      <x:c r="H143" s="79" t="str">
        <x:v>7E0</x:v>
      </x:c>
      <x:c r="I143" s="79" t="str">
        <x:v>PRIUS_PHV_GEN1 / ZVW35</x:v>
      </x:c>
      <x:c r="J143" s="79" t="str">
        <x:v>PiP Adv (US).csv</x:v>
      </x:c>
      <x:c r="K143" s="79" t="str">
        <x:v>2013-01-22</x:v>
      </x:c>
      <x:c r="L143" s="79" t="str">
        <x:v>READ-ONLY DIAGNOSTIC CANDIDATE</x:v>
      </x:c>
      <x:c r="M143" s="79" t="str">
        <x:v>CANDIDATE</x:v>
      </x:c>
      <x:c r="N143" s="80" t="str">
        <x:v>Advanced PHV source; never merge unchanged into ordinary Gen 3</x:v>
      </x:c>
    </x:row>
    <x:row r="144">
      <x:c r="A144" s="78" t="str">
        <x:v>All Cylinders Misfire Count</x:v>
      </x:c>
      <x:c r="B144" s="79" t="str">
        <x:v>MisfireCntAll</x:v>
      </x:c>
      <x:c r="C144" s="79" t="str">
        <x:v>2145</x:v>
      </x:c>
      <x:c r="D144" s="79" t="str">
        <x:v>H</x:v>
      </x:c>
      <x:c r="E144" s="79" t="str">
        <x:v>0</x:v>
      </x:c>
      <x:c r="F144" s="79" t="str">
        <x:v>255</x:v>
      </x:c>
      <x:c r="G144" s="79" t="str"/>
      <x:c r="H144" s="79" t="str">
        <x:v>7E0</x:v>
      </x:c>
      <x:c r="I144" s="79" t="str">
        <x:v>PRIUS_PHV_GEN1 / ZVW35</x:v>
      </x:c>
      <x:c r="J144" s="79" t="str">
        <x:v>PiP Adv (US).csv</x:v>
      </x:c>
      <x:c r="K144" s="79" t="str">
        <x:v>2013-01-22</x:v>
      </x:c>
      <x:c r="L144" s="79" t="str">
        <x:v>READ-ONLY DIAGNOSTIC CANDIDATE</x:v>
      </x:c>
      <x:c r="M144" s="79" t="str">
        <x:v>CANDIDATE</x:v>
      </x:c>
      <x:c r="N144" s="80" t="str">
        <x:v>Advanced PHV source; never merge unchanged into ordinary Gen 3</x:v>
      </x:c>
    </x:row>
    <x:row r="145">
      <x:c r="A145" s="78" t="str">
        <x:v>Ignition Trig. Count</x:v>
      </x:c>
      <x:c r="B145" s="79" t="str">
        <x:v>IgnTrigCnt</x:v>
      </x:c>
      <x:c r="C145" s="79" t="str">
        <x:v>2145</x:v>
      </x:c>
      <x:c r="D145" s="79" t="str">
        <x:v>I * 256 + J</x:v>
      </x:c>
      <x:c r="E145" s="79" t="str">
        <x:v>0</x:v>
      </x:c>
      <x:c r="F145" s="79" t="str">
        <x:v>65535</x:v>
      </x:c>
      <x:c r="G145" s="79" t="str"/>
      <x:c r="H145" s="79" t="str">
        <x:v>7E0</x:v>
      </x:c>
      <x:c r="I145" s="79" t="str">
        <x:v>PRIUS_PHV_GEN1 / ZVW35</x:v>
      </x:c>
      <x:c r="J145" s="79" t="str">
        <x:v>PiP Adv (US).csv</x:v>
      </x:c>
      <x:c r="K145" s="79" t="str">
        <x:v>2013-01-22</x:v>
      </x:c>
      <x:c r="L145" s="79" t="str">
        <x:v>READ-ONLY DIAGNOSTIC CANDIDATE</x:v>
      </x:c>
      <x:c r="M145" s="79" t="str">
        <x:v>CANDIDATE</x:v>
      </x:c>
      <x:c r="N145" s="80" t="str">
        <x:v>Advanced PHV source; never merge unchanged into ordinary Gen 3</x:v>
      </x:c>
    </x:row>
    <x:row r="146">
      <x:c r="A146" s="78" t="str">
        <x:v>EGR Step Position</x:v>
      </x:c>
      <x:c r="B146" s="79" t="str">
        <x:v>EGR Step</x:v>
      </x:c>
      <x:c r="C146" s="79" t="str">
        <x:v>2147</x:v>
      </x:c>
      <x:c r="D146" s="79" t="str">
        <x:v>A</x:v>
      </x:c>
      <x:c r="E146" s="79" t="str">
        <x:v>0</x:v>
      </x:c>
      <x:c r="F146" s="79" t="str">
        <x:v>120</x:v>
      </x:c>
      <x:c r="G146" s="79" t="str">
        <x:v>step</x:v>
      </x:c>
      <x:c r="H146" s="79" t="str">
        <x:v>7E0</x:v>
      </x:c>
      <x:c r="I146" s="79" t="str">
        <x:v>PRIUS_PHV_GEN1 / ZVW35</x:v>
      </x:c>
      <x:c r="J146" s="79" t="str">
        <x:v>PiP Adv (US).csv</x:v>
      </x:c>
      <x:c r="K146" s="79" t="str">
        <x:v>2013-01-22</x:v>
      </x:c>
      <x:c r="L146" s="79" t="str">
        <x:v>READ-ONLY DIAGNOSTIC CANDIDATE</x:v>
      </x:c>
      <x:c r="M146" s="79" t="str">
        <x:v>CANDIDATE</x:v>
      </x:c>
      <x:c r="N146" s="80" t="str">
        <x:v>Advanced PHV source; never merge unchanged into ordinary Gen 3</x:v>
      </x:c>
    </x:row>
    <x:row r="147">
      <x:c r="A147" s="78" t="str">
        <x:v>Requested Engine Torque</x:v>
      </x:c>
      <x:c r="B147" s="79" t="str">
        <x:v>ReqEngTorq</x:v>
      </x:c>
      <x:c r="C147" s="79" t="str">
        <x:v>2149</x:v>
      </x:c>
      <x:c r="D147" s="79" t="str">
        <x:v>(A * 256 + B) / 4 * 1.341022089595</x:v>
      </x:c>
      <x:c r="E147" s="79" t="str">
        <x:v>0</x:v>
      </x:c>
      <x:c r="F147" s="79" t="str">
        <x:v>98</x:v>
      </x:c>
      <x:c r="G147" s="79" t="str">
        <x:v>HP</x:v>
      </x:c>
      <x:c r="H147" s="79" t="str">
        <x:v>7E0</x:v>
      </x:c>
      <x:c r="I147" s="79" t="str">
        <x:v>PRIUS_PHV_GEN1 / ZVW35</x:v>
      </x:c>
      <x:c r="J147" s="79" t="str">
        <x:v>PiP Adv (US).csv</x:v>
      </x:c>
      <x:c r="K147" s="79" t="str">
        <x:v>2013-01-22</x:v>
      </x:c>
      <x:c r="L147" s="79" t="str">
        <x:v>READ-ONLY DIAGNOSTIC CANDIDATE</x:v>
      </x:c>
      <x:c r="M147" s="79" t="str">
        <x:v>CANDIDATE</x:v>
      </x:c>
      <x:c r="N147" s="80" t="str">
        <x:v>Advanced PHV source; never merge unchanged into ordinary Gen 3</x:v>
      </x:c>
    </x:row>
    <x:row r="148">
      <x:c r="A148" s="78" t="str">
        <x:v>HV Target Engine Speed</x:v>
      </x:c>
      <x:c r="B148" s="79" t="str">
        <x:v>TgtEngSpd</x:v>
      </x:c>
      <x:c r="C148" s="79" t="str">
        <x:v>2149</x:v>
      </x:c>
      <x:c r="D148" s="79" t="str">
        <x:v>C * 25</x:v>
      </x:c>
      <x:c r="E148" s="79" t="str">
        <x:v>0</x:v>
      </x:c>
      <x:c r="F148" s="79" t="str">
        <x:v>5200</x:v>
      </x:c>
      <x:c r="G148" s="79" t="str">
        <x:v>RPM</x:v>
      </x:c>
      <x:c r="H148" s="79" t="str">
        <x:v>7E0</x:v>
      </x:c>
      <x:c r="I148" s="79" t="str">
        <x:v>PRIUS_PHV_GEN1 / ZVW35</x:v>
      </x:c>
      <x:c r="J148" s="79" t="str">
        <x:v>PiP Adv (US).csv</x:v>
      </x:c>
      <x:c r="K148" s="79" t="str">
        <x:v>2013-01-22</x:v>
      </x:c>
      <x:c r="L148" s="79" t="str">
        <x:v>READ-ONLY DIAGNOSTIC CANDIDATE</x:v>
      </x:c>
      <x:c r="M148" s="79" t="str">
        <x:v>CANDIDATE</x:v>
      </x:c>
      <x:c r="N148" s="80" t="str">
        <x:v>Advanced PHV source; never merge unchanged into ordinary Gen 3</x:v>
      </x:c>
    </x:row>
    <x:row r="149">
      <x:c r="A149" s="78" t="str">
        <x:v>Actual Engine Torque</x:v>
      </x:c>
      <x:c r="B149" s="79" t="str">
        <x:v>ActEngTorq</x:v>
      </x:c>
      <x:c r="C149" s="79" t="str">
        <x:v>2149</x:v>
      </x:c>
      <x:c r="D149" s="79" t="str">
        <x:v>((D * 256 + E) - 32768) * 0.7375621</x:v>
      </x:c>
      <x:c r="E149" s="79" t="str">
        <x:v>0</x:v>
      </x:c>
      <x:c r="F149" s="79" t="str">
        <x:v>110</x:v>
      </x:c>
      <x:c r="G149" s="79" t="str">
        <x:v>ft�lb</x:v>
      </x:c>
      <x:c r="H149" s="79" t="str">
        <x:v>7E0</x:v>
      </x:c>
      <x:c r="I149" s="79" t="str">
        <x:v>PRIUS_PHV_GEN1 / ZVW35</x:v>
      </x:c>
      <x:c r="J149" s="79" t="str">
        <x:v>PiP Adv (US).csv</x:v>
      </x:c>
      <x:c r="K149" s="79" t="str">
        <x:v>2013-01-22</x:v>
      </x:c>
      <x:c r="L149" s="79" t="str">
        <x:v>READ-ONLY DIAGNOSTIC CANDIDATE</x:v>
      </x:c>
      <x:c r="M149" s="79" t="str">
        <x:v>CANDIDATE</x:v>
      </x:c>
      <x:c r="N149" s="80" t="str">
        <x:v>Advanced PHV source; never merge unchanged into ordinary Gen 3</x:v>
      </x:c>
    </x:row>
    <x:row r="150">
      <x:c r="A150" s="78" t="str">
        <x:v>Engine Run Time (Up to 255 sec. only)</x:v>
      </x:c>
      <x:c r="B150" s="79" t="str">
        <x:v>ign sec</x:v>
      </x:c>
      <x:c r="C150" s="79" t="str">
        <x:v>2149</x:v>
      </x:c>
      <x:c r="D150" s="79" t="str">
        <x:v>F</x:v>
      </x:c>
      <x:c r="E150" s="79" t="str">
        <x:v>0</x:v>
      </x:c>
      <x:c r="F150" s="79" t="str">
        <x:v>255</x:v>
      </x:c>
      <x:c r="G150" s="79" t="str">
        <x:v>sec.</x:v>
      </x:c>
      <x:c r="H150" s="79" t="str">
        <x:v>7E0</x:v>
      </x:c>
      <x:c r="I150" s="79" t="str">
        <x:v>PRIUS_PHV_GEN1 / ZVW35</x:v>
      </x:c>
      <x:c r="J150" s="79" t="str">
        <x:v>PiP Adv (US).csv</x:v>
      </x:c>
      <x:c r="K150" s="79" t="str">
        <x:v>2013-01-22</x:v>
      </x:c>
      <x:c r="L150" s="79" t="str">
        <x:v>READ-ONLY DIAGNOSTIC CANDIDATE</x:v>
      </x:c>
      <x:c r="M150" s="79" t="str">
        <x:v>CANDIDATE</x:v>
      </x:c>
      <x:c r="N150" s="80" t="str">
        <x:v>Advanced PHV source; never merge unchanged into ordinary Gen 3</x:v>
      </x:c>
    </x:row>
    <x:row r="151">
      <x:c r="A151" s="78" t="str">
        <x:v>Request Engine Run Time</x:v>
      </x:c>
      <x:c r="B151" s="79" t="str">
        <x:v>ReqEngRun</x:v>
      </x:c>
      <x:c r="C151" s="79" t="str">
        <x:v>2149</x:v>
      </x:c>
      <x:c r="D151" s="79" t="str">
        <x:v>G / 10</x:v>
      </x:c>
      <x:c r="E151" s="79" t="str">
        <x:v>0</x:v>
      </x:c>
      <x:c r="F151" s="79" t="str">
        <x:v>25.5</x:v>
      </x:c>
      <x:c r="G151" s="79" t="str">
        <x:v>sec.</x:v>
      </x:c>
      <x:c r="H151" s="79" t="str">
        <x:v>7E0</x:v>
      </x:c>
      <x:c r="I151" s="79" t="str">
        <x:v>PRIUS_PHV_GEN1 / ZVW35</x:v>
      </x:c>
      <x:c r="J151" s="79" t="str">
        <x:v>PiP Adv (US).csv</x:v>
      </x:c>
      <x:c r="K151" s="79" t="str">
        <x:v>2013-01-22</x:v>
      </x:c>
      <x:c r="L151" s="79" t="str">
        <x:v>READ-ONLY DIAGNOSTIC CANDIDATE</x:v>
      </x:c>
      <x:c r="M151" s="79" t="str">
        <x:v>CANDIDATE</x:v>
      </x:c>
      <x:c r="N151" s="80" t="str">
        <x:v>Advanced PHV source; never merge unchanged into ordinary Gen 3</x:v>
      </x:c>
    </x:row>
    <x:row r="152">
      <x:c r="A152" s="78" t="str">
        <x:v>Judge Time Engine Ignition</x:v>
      </x:c>
      <x:c r="B152" s="79" t="str">
        <x:v>JTEI</x:v>
      </x:c>
      <x:c r="C152" s="79" t="str">
        <x:v>2149</x:v>
      </x:c>
      <x:c r="D152" s="79" t="str">
        <x:v>H / 10</x:v>
      </x:c>
      <x:c r="E152" s="79" t="str">
        <x:v>0</x:v>
      </x:c>
      <x:c r="F152" s="79" t="str">
        <x:v>25.5</x:v>
      </x:c>
      <x:c r="G152" s="79" t="str">
        <x:v>sec.</x:v>
      </x:c>
      <x:c r="H152" s="79" t="str">
        <x:v>7E0</x:v>
      </x:c>
      <x:c r="I152" s="79" t="str">
        <x:v>PRIUS_PHV_GEN1 / ZVW35</x:v>
      </x:c>
      <x:c r="J152" s="79" t="str">
        <x:v>PiP Adv (US).csv</x:v>
      </x:c>
      <x:c r="K152" s="79" t="str">
        <x:v>2013-01-22</x:v>
      </x:c>
      <x:c r="L152" s="79" t="str">
        <x:v>READ-ONLY DIAGNOSTIC CANDIDATE</x:v>
      </x:c>
      <x:c r="M152" s="79" t="str">
        <x:v>CANDIDATE</x:v>
      </x:c>
      <x:c r="N152" s="80" t="str">
        <x:v>Advanced PHV source; never merge unchanged into ordinary Gen 3</x:v>
      </x:c>
    </x:row>
    <x:row r="153">
      <x:c r="A153" s="78" t="str">
        <x:v>Judge Time Engine Output</x:v>
      </x:c>
      <x:c r="B153" s="79" t="str">
        <x:v>JTEO</x:v>
      </x:c>
      <x:c r="C153" s="79" t="str">
        <x:v>2149</x:v>
      </x:c>
      <x:c r="D153" s="79" t="str">
        <x:v>I / 10</x:v>
      </x:c>
      <x:c r="E153" s="79" t="str">
        <x:v>0</x:v>
      </x:c>
      <x:c r="F153" s="79" t="str">
        <x:v>25.5</x:v>
      </x:c>
      <x:c r="G153" s="79" t="str">
        <x:v>sec.</x:v>
      </x:c>
      <x:c r="H153" s="79" t="str">
        <x:v>7E0</x:v>
      </x:c>
      <x:c r="I153" s="79" t="str">
        <x:v>PRIUS_PHV_GEN1 / ZVW35</x:v>
      </x:c>
      <x:c r="J153" s="79" t="str">
        <x:v>PiP Adv (US).csv</x:v>
      </x:c>
      <x:c r="K153" s="79" t="str">
        <x:v>2013-01-22</x:v>
      </x:c>
      <x:c r="L153" s="79" t="str">
        <x:v>READ-ONLY DIAGNOSTIC CANDIDATE</x:v>
      </x:c>
      <x:c r="M153" s="79" t="str">
        <x:v>CANDIDATE</x:v>
      </x:c>
      <x:c r="N153" s="80" t="str">
        <x:v>Advanced PHV source; never merge unchanged into ordinary Gen 3</x:v>
      </x:c>
    </x:row>
    <x:row r="154">
      <x:c r="A154" s="78" t="str">
        <x:v>ISC Learning Value</x:v>
      </x:c>
      <x:c r="B154" s="79" t="str">
        <x:v>ISCLV</x:v>
      </x:c>
      <x:c r="C154" s="79" t="str">
        <x:v>2149</x:v>
      </x:c>
      <x:c r="D154" s="79" t="str">
        <x:v>(J * 256 + K) * 79.998 / 65535</x:v>
      </x:c>
      <x:c r="E154" s="79" t="str">
        <x:v>0</x:v>
      </x:c>
      <x:c r="F154" s="79" t="str">
        <x:v>79.998</x:v>
      </x:c>
      <x:c r="G154" s="79" t="str">
        <x:v>L/s</x:v>
      </x:c>
      <x:c r="H154" s="79" t="str">
        <x:v>7E0</x:v>
      </x:c>
      <x:c r="I154" s="79" t="str">
        <x:v>PRIUS_PHV_GEN1 / ZVW35</x:v>
      </x:c>
      <x:c r="J154" s="79" t="str">
        <x:v>PiP Adv (US).csv</x:v>
      </x:c>
      <x:c r="K154" s="79" t="str">
        <x:v>2013-01-22</x:v>
      </x:c>
      <x:c r="L154" s="79" t="str">
        <x:v>READ-ONLY DIAGNOSTIC CANDIDATE</x:v>
      </x:c>
      <x:c r="M154" s="79" t="str">
        <x:v>CANDIDATE</x:v>
      </x:c>
      <x:c r="N154" s="80" t="str">
        <x:v>Advanced PHV source; never merge unchanged into ordinary Gen 3</x:v>
      </x:c>
    </x:row>
    <x:row r="155">
      <x:c r="A155" s="78" t="str">
        <x:v>Engine Independent Control</x:v>
      </x:c>
      <x:c r="B155" s="79" t="str">
        <x:v>EngIC</x:v>
      </x:c>
      <x:c r="C155" s="79" t="str">
        <x:v>2149</x:v>
      </x:c>
      <x:c r="D155" s="79" t="str">
        <x:v>{L:7}</x:v>
      </x:c>
      <x:c r="E155" s="79" t="str">
        <x:v>0</x:v>
      </x:c>
      <x:c r="F155" s="79" t="str">
        <x:v>1</x:v>
      </x:c>
      <x:c r="G155" s="79" t="str">
        <x:v>Off/On</x:v>
      </x:c>
      <x:c r="H155" s="79" t="str">
        <x:v>7E0</x:v>
      </x:c>
      <x:c r="I155" s="79" t="str">
        <x:v>PRIUS_PHV_GEN1 / ZVW35</x:v>
      </x:c>
      <x:c r="J155" s="79" t="str">
        <x:v>PiP Adv (US).csv</x:v>
      </x:c>
      <x:c r="K155" s="79" t="str">
        <x:v>2013-01-22</x:v>
      </x:c>
      <x:c r="L155" s="79" t="str">
        <x:v>READ-ONLY DIAGNOSTIC CANDIDATE</x:v>
      </x:c>
      <x:c r="M155" s="79" t="str">
        <x:v>CANDIDATE</x:v>
      </x:c>
      <x:c r="N155" s="80" t="str">
        <x:v>Advanced PHV source; never merge unchanged into ordinary Gen 3</x:v>
      </x:c>
    </x:row>
    <x:row r="156">
      <x:c r="A156" s="78" t="str">
        <x:v>Request Warm-up</x:v>
      </x:c>
      <x:c r="B156" s="79" t="str">
        <x:v>WarmUp</x:v>
      </x:c>
      <x:c r="C156" s="79" t="str">
        <x:v>2149</x:v>
      </x:c>
      <x:c r="D156" s="79" t="str">
        <x:v>{L:6}</x:v>
      </x:c>
      <x:c r="E156" s="79" t="str">
        <x:v>0</x:v>
      </x:c>
      <x:c r="F156" s="79" t="str">
        <x:v>1</x:v>
      </x:c>
      <x:c r="G156" s="79" t="str">
        <x:v>Off/On</x:v>
      </x:c>
      <x:c r="H156" s="79" t="str">
        <x:v>7E0</x:v>
      </x:c>
      <x:c r="I156" s="79" t="str">
        <x:v>PRIUS_PHV_GEN1 / ZVW35</x:v>
      </x:c>
      <x:c r="J156" s="79" t="str">
        <x:v>PiP Adv (US).csv</x:v>
      </x:c>
      <x:c r="K156" s="79" t="str">
        <x:v>2013-01-22</x:v>
      </x:c>
      <x:c r="L156" s="79" t="str">
        <x:v>READ-ONLY DIAGNOSTIC CANDIDATE</x:v>
      </x:c>
      <x:c r="M156" s="79" t="str">
        <x:v>CANDIDATE</x:v>
      </x:c>
      <x:c r="N156" s="80" t="str">
        <x:v>Advanced PHV source; never merge unchanged into ordinary Gen 3</x:v>
      </x:c>
    </x:row>
    <x:row r="157">
      <x:c r="A157" s="78" t="str">
        <x:v>Racing Operation</x:v>
      </x:c>
      <x:c r="B157" s="79" t="str">
        <x:v>Racing</x:v>
      </x:c>
      <x:c r="C157" s="79" t="str">
        <x:v>2149</x:v>
      </x:c>
      <x:c r="D157" s="79" t="str">
        <x:v>{L:5}</x:v>
      </x:c>
      <x:c r="E157" s="79" t="str">
        <x:v>0</x:v>
      </x:c>
      <x:c r="F157" s="79" t="str">
        <x:v>1</x:v>
      </x:c>
      <x:c r="G157" s="79" t="str">
        <x:v>Off/On</x:v>
      </x:c>
      <x:c r="H157" s="79" t="str">
        <x:v>7E0</x:v>
      </x:c>
      <x:c r="I157" s="79" t="str">
        <x:v>PRIUS_PHV_GEN1 / ZVW35</x:v>
      </x:c>
      <x:c r="J157" s="79" t="str">
        <x:v>PiP Adv (US).csv</x:v>
      </x:c>
      <x:c r="K157" s="79" t="str">
        <x:v>2013-01-22</x:v>
      </x:c>
      <x:c r="L157" s="79" t="str">
        <x:v>READ-ONLY DIAGNOSTIC CANDIDATE</x:v>
      </x:c>
      <x:c r="M157" s="79" t="str">
        <x:v>CANDIDATE</x:v>
      </x:c>
      <x:c r="N157" s="80" t="str">
        <x:v>Advanced PHV source; never merge unchanged into ordinary Gen 3</x:v>
      </x:c>
    </x:row>
    <x:row r="158">
      <x:c r="A158" s="78" t="str">
        <x:v>Engine Independent</x:v>
      </x:c>
      <x:c r="B158" s="79" t="str">
        <x:v>EngI</x:v>
      </x:c>
      <x:c r="C158" s="79" t="str">
        <x:v>2149</x:v>
      </x:c>
      <x:c r="D158" s="79" t="str">
        <x:v>{L:4}</x:v>
      </x:c>
      <x:c r="E158" s="79" t="str">
        <x:v>0</x:v>
      </x:c>
      <x:c r="F158" s="79" t="str">
        <x:v>1</x:v>
      </x:c>
      <x:c r="G158" s="79" t="str">
        <x:v>Off/On</x:v>
      </x:c>
      <x:c r="H158" s="79" t="str">
        <x:v>7E0</x:v>
      </x:c>
      <x:c r="I158" s="79" t="str">
        <x:v>PRIUS_PHV_GEN1 / ZVW35</x:v>
      </x:c>
      <x:c r="J158" s="79" t="str">
        <x:v>PiP Adv (US).csv</x:v>
      </x:c>
      <x:c r="K158" s="79" t="str">
        <x:v>2013-01-22</x:v>
      </x:c>
      <x:c r="L158" s="79" t="str">
        <x:v>READ-ONLY DIAGNOSTIC CANDIDATE</x:v>
      </x:c>
      <x:c r="M158" s="79" t="str">
        <x:v>CANDIDATE</x:v>
      </x:c>
      <x:c r="N158" s="80" t="str">
        <x:v>Advanced PHV source; never merge unchanged into ordinary Gen 3</x:v>
      </x:c>
    </x:row>
    <x:row r="159">
      <x:c r="A159" s="78" t="str">
        <x:v>F/C for Engine Stop Req</x:v>
      </x:c>
      <x:c r="B159" s="79" t="str">
        <x:v>FCEngStp</x:v>
      </x:c>
      <x:c r="C159" s="79" t="str">
        <x:v>2149</x:v>
      </x:c>
      <x:c r="D159" s="79" t="str">
        <x:v>{L:3}</x:v>
      </x:c>
      <x:c r="E159" s="79" t="str">
        <x:v>0</x:v>
      </x:c>
      <x:c r="F159" s="79" t="str">
        <x:v>1</x:v>
      </x:c>
      <x:c r="G159" s="79" t="str">
        <x:v>Off/On</x:v>
      </x:c>
      <x:c r="H159" s="79" t="str">
        <x:v>7E0</x:v>
      </x:c>
      <x:c r="I159" s="79" t="str">
        <x:v>PRIUS_PHV_GEN1 / ZVW35</x:v>
      </x:c>
      <x:c r="J159" s="79" t="str">
        <x:v>PiP Adv (US).csv</x:v>
      </x:c>
      <x:c r="K159" s="79" t="str">
        <x:v>2013-01-22</x:v>
      </x:c>
      <x:c r="L159" s="79" t="str">
        <x:v>READ-ONLY DIAGNOSTIC CANDIDATE</x:v>
      </x:c>
      <x:c r="M159" s="79" t="str">
        <x:v>CANDIDATE</x:v>
      </x:c>
      <x:c r="N159" s="80" t="str">
        <x:v>Advanced PHV source; never merge unchanged into ordinary Gen 3</x:v>
      </x:c>
    </x:row>
    <x:row r="160">
      <x:c r="A160" s="78" t="str">
        <x:v>ISC Learning</x:v>
      </x:c>
      <x:c r="B160" s="79" t="str">
        <x:v>ISCL</x:v>
      </x:c>
      <x:c r="C160" s="79" t="str">
        <x:v>2149</x:v>
      </x:c>
      <x:c r="D160" s="79" t="str">
        <x:v>{L:2}</x:v>
      </x:c>
      <x:c r="E160" s="79" t="str">
        <x:v>0</x:v>
      </x:c>
      <x:c r="F160" s="79" t="str">
        <x:v>1</x:v>
      </x:c>
      <x:c r="G160" s="79" t="str">
        <x:v>Off/On</x:v>
      </x:c>
      <x:c r="H160" s="79" t="str">
        <x:v>7E0</x:v>
      </x:c>
      <x:c r="I160" s="79" t="str">
        <x:v>PRIUS_PHV_GEN1 / ZVW35</x:v>
      </x:c>
      <x:c r="J160" s="79" t="str">
        <x:v>PiP Adv (US).csv</x:v>
      </x:c>
      <x:c r="K160" s="79" t="str">
        <x:v>2013-01-22</x:v>
      </x:c>
      <x:c r="L160" s="79" t="str">
        <x:v>READ-ONLY DIAGNOSTIC CANDIDATE</x:v>
      </x:c>
      <x:c r="M160" s="79" t="str">
        <x:v>CANDIDATE</x:v>
      </x:c>
      <x:c r="N160" s="80" t="str">
        <x:v>Advanced PHV source; never merge unchanged into ordinary Gen 3</x:v>
      </x:c>
    </x:row>
    <x:row r="161">
      <x:c r="A161" s="78" t="str">
        <x:v>Engine Speed of Cyl #1 (51199 rpm: Active Test not performed)</x:v>
      </x:c>
      <x:c r="B161" s="79" t="str">
        <x:v>RPM#1</x:v>
      </x:c>
      <x:c r="C161" s="79" t="str">
        <x:v>2154</x:v>
      </x:c>
      <x:c r="D161" s="79" t="str">
        <x:v>(A * 256 + B) * 51199 / 65535</x:v>
      </x:c>
      <x:c r="E161" s="79" t="str">
        <x:v>0</x:v>
      </x:c>
      <x:c r="F161" s="79" t="str">
        <x:v>51199</x:v>
      </x:c>
      <x:c r="G161" s="79" t="str">
        <x:v>RPM</x:v>
      </x:c>
      <x:c r="H161" s="79" t="str">
        <x:v>7E0</x:v>
      </x:c>
      <x:c r="I161" s="79" t="str">
        <x:v>PRIUS_PHV_GEN1 / ZVW35</x:v>
      </x:c>
      <x:c r="J161" s="79" t="str">
        <x:v>PiP Adv (US).csv</x:v>
      </x:c>
      <x:c r="K161" s="79" t="str">
        <x:v>2013-01-22</x:v>
      </x:c>
      <x:c r="L161" s="79" t="str">
        <x:v>READ-ONLY DIAGNOSTIC CANDIDATE</x:v>
      </x:c>
      <x:c r="M161" s="79" t="str">
        <x:v>CANDIDATE</x:v>
      </x:c>
      <x:c r="N161" s="80" t="str">
        <x:v>Advanced PHV source; never merge unchanged into ordinary Gen 3</x:v>
      </x:c>
    </x:row>
    <x:row r="162">
      <x:c r="A162" s="78" t="str">
        <x:v>Engine Speed of Cyl #2 (51199 rpm: Active Test not performed)</x:v>
      </x:c>
      <x:c r="B162" s="79" t="str">
        <x:v>RPM#2</x:v>
      </x:c>
      <x:c r="C162" s="79" t="str">
        <x:v>2154</x:v>
      </x:c>
      <x:c r="D162" s="79" t="str">
        <x:v>(C * 256 + D) * 51199 / 65535</x:v>
      </x:c>
      <x:c r="E162" s="79" t="str">
        <x:v>0</x:v>
      </x:c>
      <x:c r="F162" s="79" t="str">
        <x:v>51199</x:v>
      </x:c>
      <x:c r="G162" s="79" t="str">
        <x:v>RPM</x:v>
      </x:c>
      <x:c r="H162" s="79" t="str">
        <x:v>7E0</x:v>
      </x:c>
      <x:c r="I162" s="79" t="str">
        <x:v>PRIUS_PHV_GEN1 / ZVW35</x:v>
      </x:c>
      <x:c r="J162" s="79" t="str">
        <x:v>PiP Adv (US).csv</x:v>
      </x:c>
      <x:c r="K162" s="79" t="str">
        <x:v>2013-01-22</x:v>
      </x:c>
      <x:c r="L162" s="79" t="str">
        <x:v>READ-ONLY DIAGNOSTIC CANDIDATE</x:v>
      </x:c>
      <x:c r="M162" s="79" t="str">
        <x:v>CANDIDATE</x:v>
      </x:c>
      <x:c r="N162" s="80" t="str">
        <x:v>Advanced PHV source; never merge unchanged into ordinary Gen 3</x:v>
      </x:c>
    </x:row>
    <x:row r="163">
      <x:c r="A163" s="78" t="str">
        <x:v>Engine Speed of Cyl #3 (51199 rpm: Active Test not performed)</x:v>
      </x:c>
      <x:c r="B163" s="79" t="str">
        <x:v>RPM#3</x:v>
      </x:c>
      <x:c r="C163" s="79" t="str">
        <x:v>2154</x:v>
      </x:c>
      <x:c r="D163" s="79" t="str">
        <x:v>(E * 256 + F) * 51199 / 65535</x:v>
      </x:c>
      <x:c r="E163" s="79" t="str">
        <x:v>0</x:v>
      </x:c>
      <x:c r="F163" s="79" t="str">
        <x:v>51199</x:v>
      </x:c>
      <x:c r="G163" s="79" t="str">
        <x:v>RPM</x:v>
      </x:c>
      <x:c r="H163" s="79" t="str">
        <x:v>7E0</x:v>
      </x:c>
      <x:c r="I163" s="79" t="str">
        <x:v>PRIUS_PHV_GEN1 / ZVW35</x:v>
      </x:c>
      <x:c r="J163" s="79" t="str">
        <x:v>PiP Adv (US).csv</x:v>
      </x:c>
      <x:c r="K163" s="79" t="str">
        <x:v>2013-01-22</x:v>
      </x:c>
      <x:c r="L163" s="79" t="str">
        <x:v>READ-ONLY DIAGNOSTIC CANDIDATE</x:v>
      </x:c>
      <x:c r="M163" s="79" t="str">
        <x:v>CANDIDATE</x:v>
      </x:c>
      <x:c r="N163" s="80" t="str">
        <x:v>Advanced PHV source; never merge unchanged into ordinary Gen 3</x:v>
      </x:c>
    </x:row>
    <x:row r="164">
      <x:c r="A164" s="78" t="str">
        <x:v>Engine Speed of Cyl #4 (51199 rpm: Active Test not performed)</x:v>
      </x:c>
      <x:c r="B164" s="79" t="str">
        <x:v>RPM#4</x:v>
      </x:c>
      <x:c r="C164" s="79" t="str">
        <x:v>2154</x:v>
      </x:c>
      <x:c r="D164" s="79" t="str">
        <x:v>(G * 256 + H) * 51199 / 65535</x:v>
      </x:c>
      <x:c r="E164" s="79" t="str">
        <x:v>0</x:v>
      </x:c>
      <x:c r="F164" s="79" t="str">
        <x:v>51199</x:v>
      </x:c>
      <x:c r="G164" s="79" t="str">
        <x:v>RPM</x:v>
      </x:c>
      <x:c r="H164" s="79" t="str">
        <x:v>7E0</x:v>
      </x:c>
      <x:c r="I164" s="79" t="str">
        <x:v>PRIUS_PHV_GEN1 / ZVW35</x:v>
      </x:c>
      <x:c r="J164" s="79" t="str">
        <x:v>PiP Adv (US).csv</x:v>
      </x:c>
      <x:c r="K164" s="79" t="str">
        <x:v>2013-01-22</x:v>
      </x:c>
      <x:c r="L164" s="79" t="str">
        <x:v>READ-ONLY DIAGNOSTIC CANDIDATE</x:v>
      </x:c>
      <x:c r="M164" s="79" t="str">
        <x:v>CANDIDATE</x:v>
      </x:c>
      <x:c r="N164" s="80" t="str">
        <x:v>Advanced PHV source; never merge unchanged into ordinary Gen 3</x:v>
      </x:c>
    </x:row>
    <x:row r="165">
      <x:c r="A165" s="78" t="str">
        <x:v>Av Engine Speed of All Cyl (51199 rpm: Active Test not performed)</x:v>
      </x:c>
      <x:c r="B165" s="79" t="str">
        <x:v>RPMavg</x:v>
      </x:c>
      <x:c r="C165" s="79" t="str">
        <x:v>2154</x:v>
      </x:c>
      <x:c r="D165" s="79" t="str">
        <x:v>(I * 256 + J) * 51199 / 65535</x:v>
      </x:c>
      <x:c r="E165" s="79" t="str">
        <x:v>0</x:v>
      </x:c>
      <x:c r="F165" s="79" t="str">
        <x:v>51199</x:v>
      </x:c>
      <x:c r="G165" s="79" t="str">
        <x:v>RPM</x:v>
      </x:c>
      <x:c r="H165" s="79" t="str">
        <x:v>7E0</x:v>
      </x:c>
      <x:c r="I165" s="79" t="str">
        <x:v>PRIUS_PHV_GEN1 / ZVW35</x:v>
      </x:c>
      <x:c r="J165" s="79" t="str">
        <x:v>PiP Adv (US).csv</x:v>
      </x:c>
      <x:c r="K165" s="79" t="str">
        <x:v>2013-01-22</x:v>
      </x:c>
      <x:c r="L165" s="79" t="str">
        <x:v>READ-ONLY DIAGNOSTIC CANDIDATE</x:v>
      </x:c>
      <x:c r="M165" s="79" t="str">
        <x:v>CANDIDATE</x:v>
      </x:c>
      <x:c r="N165" s="80" t="str">
        <x:v>Advanced PHV source; never merge unchanged into ordinary Gen 3</x:v>
      </x:c>
    </x:row>
    <x:row r="166">
      <x:c r="A166" s="78" t="str">
        <x:v>Model Code_7E0</x:v>
      </x:c>
      <x:c r="B166" s="79" t="str">
        <x:v>MCode_7E0</x:v>
      </x:c>
      <x:c r="C166" s="79" t="str">
        <x:v>21C1</x:v>
      </x:c>
      <x:c r="D166" s="79" t="str">
        <x:v>ABCDEFG</x:v>
      </x:c>
      <x:c r="E166" s="79" t="str">
        <x:v>0</x:v>
      </x:c>
      <x:c r="F166" s="79" t="str">
        <x:v>0</x:v>
      </x:c>
      <x:c r="G166" s="79" t="str"/>
      <x:c r="H166" s="79" t="str">
        <x:v>7E0</x:v>
      </x:c>
      <x:c r="I166" s="79" t="str">
        <x:v>PRIUS_PHV_GEN1 / ZVW35</x:v>
      </x:c>
      <x:c r="J166" s="79" t="str">
        <x:v>PiP Adv (US).csv</x:v>
      </x:c>
      <x:c r="K166" s="79" t="str">
        <x:v>2013-01-22</x:v>
      </x:c>
      <x:c r="L166" s="79" t="str">
        <x:v>READ-ONLY DIAGNOSTIC CANDIDATE</x:v>
      </x:c>
      <x:c r="M166" s="79" t="str">
        <x:v>CANDIDATE</x:v>
      </x:c>
      <x:c r="N166" s="80" t="str">
        <x:v>Advanced PHV source; never merge unchanged into ordinary Gen 3</x:v>
      </x:c>
    </x:row>
    <x:row r="167">
      <x:c r="A167" s="78" t="str">
        <x:v>Engine Type</x:v>
      </x:c>
      <x:c r="B167" s="79" t="str">
        <x:v>Eng Type</x:v>
      </x:c>
      <x:c r="C167" s="79" t="str">
        <x:v>21C1</x:v>
      </x:c>
      <x:c r="D167" s="79" t="str">
        <x:v>HIJKLM</x:v>
      </x:c>
      <x:c r="E167" s="79" t="str">
        <x:v>0</x:v>
      </x:c>
      <x:c r="F167" s="79" t="str">
        <x:v>0</x:v>
      </x:c>
      <x:c r="G167" s="79" t="str"/>
      <x:c r="H167" s="79" t="str">
        <x:v>7E0</x:v>
      </x:c>
      <x:c r="I167" s="79" t="str">
        <x:v>PRIUS_PHV_GEN1 / ZVW35</x:v>
      </x:c>
      <x:c r="J167" s="79" t="str">
        <x:v>PiP Adv (US).csv</x:v>
      </x:c>
      <x:c r="K167" s="79" t="str">
        <x:v>2013-01-22</x:v>
      </x:c>
      <x:c r="L167" s="79" t="str">
        <x:v>READ-ONLY DIAGNOSTIC CANDIDATE</x:v>
      </x:c>
      <x:c r="M167" s="79" t="str">
        <x:v>CANDIDATE</x:v>
      </x:c>
      <x:c r="N167" s="80" t="str">
        <x:v>Advanced PHV source; never merge unchanged into ordinary Gen 3</x:v>
      </x:c>
    </x:row>
    <x:row r="168">
      <x:c r="A168" s="78" t="str">
        <x:v>Cylinder Number</x:v>
      </x:c>
      <x:c r="B168" s="79" t="str">
        <x:v>Cyl#</x:v>
      </x:c>
      <x:c r="C168" s="79" t="str">
        <x:v>21C1</x:v>
      </x:c>
      <x:c r="D168" s="79" t="str">
        <x:v>N</x:v>
      </x:c>
      <x:c r="E168" s="79" t="str">
        <x:v>4</x:v>
      </x:c>
      <x:c r="F168" s="79" t="str">
        <x:v>4</x:v>
      </x:c>
      <x:c r="G168" s="79" t="str"/>
      <x:c r="H168" s="79" t="str">
        <x:v>7E0</x:v>
      </x:c>
      <x:c r="I168" s="79" t="str">
        <x:v>PRIUS_PHV_GEN1 / ZVW35</x:v>
      </x:c>
      <x:c r="J168" s="79" t="str">
        <x:v>PiP Adv (US).csv</x:v>
      </x:c>
      <x:c r="K168" s="79" t="str">
        <x:v>2013-01-22</x:v>
      </x:c>
      <x:c r="L168" s="79" t="str">
        <x:v>READ-ONLY DIAGNOSTIC CANDIDATE</x:v>
      </x:c>
      <x:c r="M168" s="79" t="str">
        <x:v>CANDIDATE</x:v>
      </x:c>
      <x:c r="N168" s="80" t="str">
        <x:v>Advanced PHV source; never merge unchanged into ordinary Gen 3</x:v>
      </x:c>
    </x:row>
    <x:row r="169">
      <x:c r="A169" s="78" t="str">
        <x:v>Destination</x:v>
      </x:c>
      <x:c r="B169" s="79" t="str">
        <x:v>dest</x:v>
      </x:c>
      <x:c r="C169" s="79" t="str">
        <x:v>21C1</x:v>
      </x:c>
      <x:c r="D169" s="79" t="str">
        <x:v>P</x:v>
      </x:c>
      <x:c r="E169" s="79" t="str">
        <x:v>0</x:v>
      </x:c>
      <x:c r="F169" s="79" t="str">
        <x:v>255</x:v>
      </x:c>
      <x:c r="G169" s="79" t="str"/>
      <x:c r="H169" s="79" t="str">
        <x:v>7E0</x:v>
      </x:c>
      <x:c r="I169" s="79" t="str">
        <x:v>PRIUS_PHV_GEN1 / ZVW35</x:v>
      </x:c>
      <x:c r="J169" s="79" t="str">
        <x:v>PiP Adv (US).csv</x:v>
      </x:c>
      <x:c r="K169" s="79" t="str">
        <x:v>2013-01-22</x:v>
      </x:c>
      <x:c r="L169" s="79" t="str">
        <x:v>READ-ONLY DIAGNOSTIC CANDIDATE</x:v>
      </x:c>
      <x:c r="M169" s="79" t="str">
        <x:v>CANDIDATE</x:v>
      </x:c>
      <x:c r="N169" s="80" t="str">
        <x:v>Advanced PHV source; never merge unchanged into ordinary Gen 3</x:v>
      </x:c>
    </x:row>
    <x:row r="170">
      <x:c r="A170" s="78" t="str">
        <x:v>Model Year</x:v>
      </x:c>
      <x:c r="B170" s="79" t="str">
        <x:v>Model Yr</x:v>
      </x:c>
      <x:c r="C170" s="79" t="str">
        <x:v>21C1</x:v>
      </x:c>
      <x:c r="D170" s="79" t="str">
        <x:v>Q + 1900</x:v>
      </x:c>
      <x:c r="E170" s="79" t="str">
        <x:v>1900</x:v>
      </x:c>
      <x:c r="F170" s="79" t="str">
        <x:v>2155</x:v>
      </x:c>
      <x:c r="G170" s="79" t="str"/>
      <x:c r="H170" s="79" t="str">
        <x:v>7E0</x:v>
      </x:c>
      <x:c r="I170" s="79" t="str">
        <x:v>PRIUS_PHV_GEN1 / ZVW35</x:v>
      </x:c>
      <x:c r="J170" s="79" t="str">
        <x:v>PiP Adv (US).csv</x:v>
      </x:c>
      <x:c r="K170" s="79" t="str">
        <x:v>2013-01-22</x:v>
      </x:c>
      <x:c r="L170" s="79" t="str">
        <x:v>READ-ONLY DIAGNOSTIC CANDIDATE</x:v>
      </x:c>
      <x:c r="M170" s="79" t="str">
        <x:v>CANDIDATE</x:v>
      </x:c>
      <x:c r="N170" s="80" t="str">
        <x:v>Advanced PHV source; never merge unchanged into ordinary Gen 3</x:v>
      </x:c>
    </x:row>
    <x:row r="171">
      <x:c r="A171" s="78" t="str">
        <x:v>System Identification</x:v>
      </x:c>
      <x:c r="B171" s="79" t="str">
        <x:v>Sys ID</x:v>
      </x:c>
      <x:c r="C171" s="79" t="str">
        <x:v>21C1</x:v>
      </x:c>
      <x:c r="D171" s="79" t="str">
        <x:v>R</x:v>
      </x:c>
      <x:c r="E171" s="79" t="str">
        <x:v>0</x:v>
      </x:c>
      <x:c r="F171" s="79" t="str">
        <x:v>0</x:v>
      </x:c>
      <x:c r="G171" s="79" t="str"/>
      <x:c r="H171" s="79" t="str">
        <x:v>7E0</x:v>
      </x:c>
      <x:c r="I171" s="79" t="str">
        <x:v>PRIUS_PHV_GEN1 / ZVW35</x:v>
      </x:c>
      <x:c r="J171" s="79" t="str">
        <x:v>PiP Adv (US).csv</x:v>
      </x:c>
      <x:c r="K171" s="79" t="str">
        <x:v>2013-01-22</x:v>
      </x:c>
      <x:c r="L171" s="79" t="str">
        <x:v>READ-ONLY DIAGNOSTIC CANDIDATE</x:v>
      </x:c>
      <x:c r="M171" s="79" t="str">
        <x:v>CANDIDATE</x:v>
      </x:c>
      <x:c r="N171" s="80" t="str">
        <x:v>Advanced PHV source; never merge unchanged into ordinary Gen 3</x:v>
      </x:c>
    </x:row>
    <x:row r="172">
      <x:c r="A172" s="78" t="str">
        <x:v>State of Charge</x:v>
      </x:c>
      <x:c r="B172" s="79" t="str">
        <x:v>SoC</x:v>
      </x:c>
      <x:c r="C172" s="79" t="str">
        <x:v>015B</x:v>
      </x:c>
      <x:c r="D172" s="79" t="str">
        <x:v>A * 20 / 51</x:v>
      </x:c>
      <x:c r="E172" s="79" t="str">
        <x:v>20</x:v>
      </x:c>
      <x:c r="F172" s="79" t="str">
        <x:v>90</x:v>
      </x:c>
      <x:c r="G172" s="79" t="str">
        <x:v>%</x:v>
      </x:c>
      <x:c r="H172" s="79" t="str">
        <x:v>7E2</x:v>
      </x:c>
      <x:c r="I172" s="79" t="str">
        <x:v>PRIUS_PHV_GEN1 / ZVW35</x:v>
      </x:c>
      <x:c r="J172" s="79" t="str">
        <x:v>PiP Adv (US).csv</x:v>
      </x:c>
      <x:c r="K172" s="79" t="str">
        <x:v>2013-01-22</x:v>
      </x:c>
      <x:c r="L172" s="79" t="str">
        <x:v>READ-ONLY DIAGNOSTIC CANDIDATE</x:v>
      </x:c>
      <x:c r="M172" s="79" t="str">
        <x:v>CANDIDATE</x:v>
      </x:c>
      <x:c r="N172" s="80" t="str">
        <x:v>Advanced PHV source; never merge unchanged into ordinary Gen 3</x:v>
      </x:c>
    </x:row>
    <x:row r="173">
      <x:c r="A173" s="78" t="str">
        <x:v>Calculated Load_7E2</x:v>
      </x:c>
      <x:c r="B173" s="79" t="str">
        <x:v>CLoad_7E2</x:v>
      </x:c>
      <x:c r="C173" s="79" t="str">
        <x:v>2101</x:v>
      </x:c>
      <x:c r="D173" s="79" t="str">
        <x:v>A * 20 / 51</x:v>
      </x:c>
      <x:c r="E173" s="79" t="str">
        <x:v>0</x:v>
      </x:c>
      <x:c r="F173" s="79" t="str">
        <x:v>100</x:v>
      </x:c>
      <x:c r="G173" s="79" t="str">
        <x:v>%</x:v>
      </x:c>
      <x:c r="H173" s="79" t="str">
        <x:v>7E2</x:v>
      </x:c>
      <x:c r="I173" s="79" t="str">
        <x:v>PRIUS_PHV_GEN1 / ZVW35</x:v>
      </x:c>
      <x:c r="J173" s="79" t="str">
        <x:v>PiP Adv (US).csv</x:v>
      </x:c>
      <x:c r="K173" s="79" t="str">
        <x:v>2013-01-22</x:v>
      </x:c>
      <x:c r="L173" s="79" t="str">
        <x:v>READ-ONLY DIAGNOSTIC CANDIDATE</x:v>
      </x:c>
      <x:c r="M173" s="79" t="str">
        <x:v>CANDIDATE</x:v>
      </x:c>
      <x:c r="N173" s="80" t="str">
        <x:v>Advanced PHV source; never merge unchanged into ordinary Gen 3</x:v>
      </x:c>
    </x:row>
    <x:row r="174">
      <x:c r="A174" s="78" t="str">
        <x:v>Manifold Air Pressure_7E2</x:v>
      </x:c>
      <x:c r="B174" s="79" t="str">
        <x:v>MAP_7E2</x:v>
      </x:c>
      <x:c r="C174" s="79" t="str">
        <x:v>2101</x:v>
      </x:c>
      <x:c r="D174" s="79" t="str">
        <x:v>B * 1913 / 255</x:v>
      </x:c>
      <x:c r="E174" s="79" t="str">
        <x:v>0</x:v>
      </x:c>
      <x:c r="F174" s="79" t="str">
        <x:v>1913</x:v>
      </x:c>
      <x:c r="G174" s="79" t="str">
        <x:v>mmHg</x:v>
      </x:c>
      <x:c r="H174" s="79" t="str">
        <x:v>7E2</x:v>
      </x:c>
      <x:c r="I174" s="79" t="str">
        <x:v>PRIUS_PHV_GEN1 / ZVW35</x:v>
      </x:c>
      <x:c r="J174" s="79" t="str">
        <x:v>PiP Adv (US).csv</x:v>
      </x:c>
      <x:c r="K174" s="79" t="str">
        <x:v>2013-01-22</x:v>
      </x:c>
      <x:c r="L174" s="79" t="str">
        <x:v>READ-ONLY DIAGNOSTIC CANDIDATE</x:v>
      </x:c>
      <x:c r="M174" s="79" t="str">
        <x:v>CANDIDATE</x:v>
      </x:c>
      <x:c r="N174" s="80" t="str">
        <x:v>Advanced PHV source; never merge unchanged into ordinary Gen 3</x:v>
      </x:c>
    </x:row>
    <x:row r="175">
      <x:c r="A175" s="78" t="str">
        <x:v>Intake Air Temperature_7E2</x:v>
      </x:c>
      <x:c r="B175" s="79" t="str">
        <x:v>IAT_7E2</x:v>
      </x:c>
      <x:c r="C175" s="79" t="str">
        <x:v>2101</x:v>
      </x:c>
      <x:c r="D175" s="79" t="str">
        <x:v>C * 9 / 5 - 40</x:v>
      </x:c>
      <x:c r="E175" s="79" t="str">
        <x:v>-40</x:v>
      </x:c>
      <x:c r="F175" s="79" t="str">
        <x:v>140</x:v>
      </x:c>
      <x:c r="G175" s="79" t="str">
        <x:v>F</x:v>
      </x:c>
      <x:c r="H175" s="79" t="str">
        <x:v>7E2</x:v>
      </x:c>
      <x:c r="I175" s="79" t="str">
        <x:v>PRIUS_PHV_GEN1 / ZVW35</x:v>
      </x:c>
      <x:c r="J175" s="79" t="str">
        <x:v>PiP Adv (US).csv</x:v>
      </x:c>
      <x:c r="K175" s="79" t="str">
        <x:v>2013-01-22</x:v>
      </x:c>
      <x:c r="L175" s="79" t="str">
        <x:v>READ-ONLY DIAGNOSTIC CANDIDATE</x:v>
      </x:c>
      <x:c r="M175" s="79" t="str">
        <x:v>CANDIDATE</x:v>
      </x:c>
      <x:c r="N175" s="80" t="str">
        <x:v>Advanced PHV source; never merge unchanged into ordinary Gen 3</x:v>
      </x:c>
    </x:row>
    <x:row r="176">
      <x:c r="A176" s="78" t="str">
        <x:v>Ambient temperature</x:v>
      </x:c>
      <x:c r="B176" s="79" t="str">
        <x:v>ambient</x:v>
      </x:c>
      <x:c r="C176" s="79" t="str">
        <x:v>2101</x:v>
      </x:c>
      <x:c r="D176" s="79" t="str">
        <x:v>D * 9 / 5 - 40</x:v>
      </x:c>
      <x:c r="E176" s="79" t="str">
        <x:v>-40</x:v>
      </x:c>
      <x:c r="F176" s="79" t="str">
        <x:v>140</x:v>
      </x:c>
      <x:c r="G176" s="79" t="str">
        <x:v>F</x:v>
      </x:c>
      <x:c r="H176" s="79" t="str">
        <x:v>7E2</x:v>
      </x:c>
      <x:c r="I176" s="79" t="str">
        <x:v>PRIUS_PHV_GEN1 / ZVW35</x:v>
      </x:c>
      <x:c r="J176" s="79" t="str">
        <x:v>PiP Adv (US).csv</x:v>
      </x:c>
      <x:c r="K176" s="79" t="str">
        <x:v>2013-01-22</x:v>
      </x:c>
      <x:c r="L176" s="79" t="str">
        <x:v>READ-ONLY DIAGNOSTIC CANDIDATE</x:v>
      </x:c>
      <x:c r="M176" s="79" t="str">
        <x:v>CANDIDATE</x:v>
      </x:c>
      <x:c r="N176" s="80" t="str">
        <x:v>Advanced PHV source; never merge unchanged into ordinary Gen 3</x:v>
      </x:c>
    </x:row>
    <x:row r="177">
      <x:c r="A177" s="78" t="str">
        <x:v>Atmosphere Pressure_7E2</x:v>
      </x:c>
      <x:c r="B177" s="79" t="str">
        <x:v>AtmPres_7E2</x:v>
      </x:c>
      <x:c r="C177" s="79" t="str">
        <x:v>2101</x:v>
      </x:c>
      <x:c r="D177" s="79" t="str">
        <x:v>E * 1913 / 255</x:v>
      </x:c>
      <x:c r="E177" s="79" t="str">
        <x:v>0</x:v>
      </x:c>
      <x:c r="F177" s="79" t="str">
        <x:v>1913</x:v>
      </x:c>
      <x:c r="G177" s="79" t="str">
        <x:v>mmHg</x:v>
      </x:c>
      <x:c r="H177" s="79" t="str">
        <x:v>7E2</x:v>
      </x:c>
      <x:c r="I177" s="79" t="str">
        <x:v>PRIUS_PHV_GEN1 / ZVW35</x:v>
      </x:c>
      <x:c r="J177" s="79" t="str">
        <x:v>PiP Adv (US).csv</x:v>
      </x:c>
      <x:c r="K177" s="79" t="str">
        <x:v>2013-01-22</x:v>
      </x:c>
      <x:c r="L177" s="79" t="str">
        <x:v>READ-ONLY DIAGNOSTIC CANDIDATE</x:v>
      </x:c>
      <x:c r="M177" s="79" t="str">
        <x:v>CANDIDATE</x:v>
      </x:c>
      <x:c r="N177" s="80" t="str">
        <x:v>Advanced PHV source; never merge unchanged into ordinary Gen 3</x:v>
      </x:c>
    </x:row>
    <x:row r="178">
      <x:c r="A178" s="78" t="str">
        <x:v>Engine Coolant Temperature_7E2</x:v>
      </x:c>
      <x:c r="B178" s="79" t="str">
        <x:v>Coolant_7E2</x:v>
      </x:c>
      <x:c r="C178" s="79" t="str">
        <x:v>2101</x:v>
      </x:c>
      <x:c r="D178" s="79" t="str">
        <x:v>F * 9 / 5 - 40</x:v>
      </x:c>
      <x:c r="E178" s="79" t="str">
        <x:v>-40</x:v>
      </x:c>
      <x:c r="F178" s="79" t="str">
        <x:v>250</x:v>
      </x:c>
      <x:c r="G178" s="79" t="str">
        <x:v>F</x:v>
      </x:c>
      <x:c r="H178" s="79" t="str">
        <x:v>7E2</x:v>
      </x:c>
      <x:c r="I178" s="79" t="str">
        <x:v>PRIUS_PHV_GEN1 / ZVW35</x:v>
      </x:c>
      <x:c r="J178" s="79" t="str">
        <x:v>PiP Adv (US).csv</x:v>
      </x:c>
      <x:c r="K178" s="79" t="str">
        <x:v>2013-01-22</x:v>
      </x:c>
      <x:c r="L178" s="79" t="str">
        <x:v>READ-ONLY DIAGNOSTIC CANDIDATE</x:v>
      </x:c>
      <x:c r="M178" s="79" t="str">
        <x:v>CANDIDATE</x:v>
      </x:c>
      <x:c r="N178" s="80" t="str">
        <x:v>Advanced PHV source; never merge unchanged into ordinary Gen 3</x:v>
      </x:c>
    </x:row>
    <x:row r="179">
      <x:c r="A179" s="78" t="str">
        <x:v>Engine Speed_7E2</x:v>
      </x:c>
      <x:c r="B179" s="79" t="str">
        <x:v>RPM_7E2</x:v>
      </x:c>
      <x:c r="C179" s="79" t="str">
        <x:v>2101</x:v>
      </x:c>
      <x:c r="D179" s="79" t="str">
        <x:v>(G * 256 + H) / 4</x:v>
      </x:c>
      <x:c r="E179" s="79" t="str">
        <x:v>0</x:v>
      </x:c>
      <x:c r="F179" s="79" t="str">
        <x:v>6000</x:v>
      </x:c>
      <x:c r="G179" s="79" t="str">
        <x:v>RPM</x:v>
      </x:c>
      <x:c r="H179" s="79" t="str">
        <x:v>7E2</x:v>
      </x:c>
      <x:c r="I179" s="79" t="str">
        <x:v>PRIUS_PHV_GEN1 / ZVW35</x:v>
      </x:c>
      <x:c r="J179" s="79" t="str">
        <x:v>PiP Adv (US).csv</x:v>
      </x:c>
      <x:c r="K179" s="79" t="str">
        <x:v>2013-01-22</x:v>
      </x:c>
      <x:c r="L179" s="79" t="str">
        <x:v>READ-ONLY DIAGNOSTIC CANDIDATE</x:v>
      </x:c>
      <x:c r="M179" s="79" t="str">
        <x:v>CANDIDATE</x:v>
      </x:c>
      <x:c r="N179" s="80" t="str">
        <x:v>Advanced PHV source; never merge unchanged into ordinary Gen 3</x:v>
      </x:c>
    </x:row>
    <x:row r="180">
      <x:c r="A180" s="78" t="str">
        <x:v>Vehicle Speed_7E2</x:v>
      </x:c>
      <x:c r="B180" s="79" t="str">
        <x:v>MPH_7E2</x:v>
      </x:c>
      <x:c r="C180" s="79" t="str">
        <x:v>2101</x:v>
      </x:c>
      <x:c r="D180" s="79" t="str">
        <x:v>I * 15625 / 25146</x:v>
      </x:c>
      <x:c r="E180" s="79" t="str">
        <x:v>0</x:v>
      </x:c>
      <x:c r="F180" s="79" t="str">
        <x:v>100</x:v>
      </x:c>
      <x:c r="G180" s="79" t="str">
        <x:v>mph</x:v>
      </x:c>
      <x:c r="H180" s="79" t="str">
        <x:v>7E2</x:v>
      </x:c>
      <x:c r="I180" s="79" t="str">
        <x:v>PRIUS_PHV_GEN1 / ZVW35</x:v>
      </x:c>
      <x:c r="J180" s="79" t="str">
        <x:v>PiP Adv (US).csv</x:v>
      </x:c>
      <x:c r="K180" s="79" t="str">
        <x:v>2013-01-22</x:v>
      </x:c>
      <x:c r="L180" s="79" t="str">
        <x:v>READ-ONLY DIAGNOSTIC CANDIDATE</x:v>
      </x:c>
      <x:c r="M180" s="79" t="str">
        <x:v>CANDIDATE</x:v>
      </x:c>
      <x:c r="N180" s="80" t="str">
        <x:v>Advanced PHV source; never merge unchanged into ordinary Gen 3</x:v>
      </x:c>
    </x:row>
    <x:row r="181">
      <x:c r="A181" s="78" t="str">
        <x:v>Engine run time</x:v>
      </x:c>
      <x:c r="B181" s="79" t="str">
        <x:v>ign time</x:v>
      </x:c>
      <x:c r="C181" s="79" t="str">
        <x:v>2101</x:v>
      </x:c>
      <x:c r="D181" s="79" t="str">
        <x:v>J * 256 + K</x:v>
      </x:c>
      <x:c r="E181" s="79" t="str">
        <x:v>0</x:v>
      </x:c>
      <x:c r="F181" s="79" t="str">
        <x:v>65535</x:v>
      </x:c>
      <x:c r="G181" s="79" t="str">
        <x:v>sec.</x:v>
      </x:c>
      <x:c r="H181" s="79" t="str">
        <x:v>7E2</x:v>
      </x:c>
      <x:c r="I181" s="79" t="str">
        <x:v>PRIUS_PHV_GEN1 / ZVW35</x:v>
      </x:c>
      <x:c r="J181" s="79" t="str">
        <x:v>PiP Adv (US).csv</x:v>
      </x:c>
      <x:c r="K181" s="79" t="str">
        <x:v>2013-01-22</x:v>
      </x:c>
      <x:c r="L181" s="79" t="str">
        <x:v>READ-ONLY DIAGNOSTIC CANDIDATE</x:v>
      </x:c>
      <x:c r="M181" s="79" t="str">
        <x:v>CANDIDATE</x:v>
      </x:c>
      <x:c r="N181" s="80" t="str">
        <x:v>Advanced PHV source; never merge unchanged into ordinary Gen 3</x:v>
      </x:c>
    </x:row>
    <x:row r="182">
      <x:c r="A182" s="78" t="str">
        <x:v>Throttle Position</x:v>
      </x:c>
      <x:c r="B182" s="79" t="str">
        <x:v>Throttle</x:v>
      </x:c>
      <x:c r="C182" s="79" t="str">
        <x:v>2101</x:v>
      </x:c>
      <x:c r="D182" s="79" t="str">
        <x:v>L * 20 / 51</x:v>
      </x:c>
      <x:c r="E182" s="79" t="str">
        <x:v>0</x:v>
      </x:c>
      <x:c r="F182" s="79" t="str">
        <x:v>100</x:v>
      </x:c>
      <x:c r="G182" s="79" t="str">
        <x:v>%</x:v>
      </x:c>
      <x:c r="H182" s="79" t="str">
        <x:v>7E2</x:v>
      </x:c>
      <x:c r="I182" s="79" t="str">
        <x:v>PRIUS_PHV_GEN1 / ZVW35</x:v>
      </x:c>
      <x:c r="J182" s="79" t="str">
        <x:v>PiP Adv (US).csv</x:v>
      </x:c>
      <x:c r="K182" s="79" t="str">
        <x:v>2013-01-22</x:v>
      </x:c>
      <x:c r="L182" s="79" t="str">
        <x:v>READ-ONLY DIAGNOSTIC CANDIDATE</x:v>
      </x:c>
      <x:c r="M182" s="79" t="str">
        <x:v>CANDIDATE</x:v>
      </x:c>
      <x:c r="N182" s="80" t="str">
        <x:v>Advanced PHV source; never merge unchanged into ordinary Gen 3</x:v>
      </x:c>
    </x:row>
    <x:row r="183">
      <x:c r="A183" s="78" t="str">
        <x:v>Accel Pedal Pos #1</x:v>
      </x:c>
      <x:c r="B183" s="79" t="str">
        <x:v>AP1</x:v>
      </x:c>
      <x:c r="C183" s="79" t="str">
        <x:v>2101</x:v>
      </x:c>
      <x:c r="D183" s="79" t="str">
        <x:v>M * 20 / 51</x:v>
      </x:c>
      <x:c r="E183" s="79" t="str">
        <x:v>0</x:v>
      </x:c>
      <x:c r="F183" s="79" t="str">
        <x:v>100</x:v>
      </x:c>
      <x:c r="G183" s="79" t="str">
        <x:v>%</x:v>
      </x:c>
      <x:c r="H183" s="79" t="str">
        <x:v>7E2</x:v>
      </x:c>
      <x:c r="I183" s="79" t="str">
        <x:v>PRIUS_PHV_GEN1 / ZVW35</x:v>
      </x:c>
      <x:c r="J183" s="79" t="str">
        <x:v>PiP Adv (US).csv</x:v>
      </x:c>
      <x:c r="K183" s="79" t="str">
        <x:v>2013-01-22</x:v>
      </x:c>
      <x:c r="L183" s="79" t="str">
        <x:v>READ-ONLY DIAGNOSTIC CANDIDATE</x:v>
      </x:c>
      <x:c r="M183" s="79" t="str">
        <x:v>CANDIDATE</x:v>
      </x:c>
      <x:c r="N183" s="80" t="str">
        <x:v>Advanced PHV source; never merge unchanged into ordinary Gen 3</x:v>
      </x:c>
    </x:row>
    <x:row r="184">
      <x:c r="A184" s="78" t="str">
        <x:v>Accel Pedal Pos #2</x:v>
      </x:c>
      <x:c r="B184" s="79" t="str">
        <x:v>AP2</x:v>
      </x:c>
      <x:c r="C184" s="79" t="str">
        <x:v>2101</x:v>
      </x:c>
      <x:c r="D184" s="79" t="str">
        <x:v>N * 20 / 51</x:v>
      </x:c>
      <x:c r="E184" s="79" t="str">
        <x:v>0</x:v>
      </x:c>
      <x:c r="F184" s="79" t="str">
        <x:v>100</x:v>
      </x:c>
      <x:c r="G184" s="79" t="str">
        <x:v>%</x:v>
      </x:c>
      <x:c r="H184" s="79" t="str">
        <x:v>7E2</x:v>
      </x:c>
      <x:c r="I184" s="79" t="str">
        <x:v>PRIUS_PHV_GEN1 / ZVW35</x:v>
      </x:c>
      <x:c r="J184" s="79" t="str">
        <x:v>PiP Adv (US).csv</x:v>
      </x:c>
      <x:c r="K184" s="79" t="str">
        <x:v>2013-01-22</x:v>
      </x:c>
      <x:c r="L184" s="79" t="str">
        <x:v>READ-ONLY DIAGNOSTIC CANDIDATE</x:v>
      </x:c>
      <x:c r="M184" s="79" t="str">
        <x:v>CANDIDATE</x:v>
      </x:c>
      <x:c r="N184" s="80" t="str">
        <x:v>Advanced PHV source; never merge unchanged into ordinary Gen 3</x:v>
      </x:c>
    </x:row>
    <x:row r="185">
      <x:c r="A185" s="78" t="str">
        <x:v>DTC Clear Warm Up</x:v>
      </x:c>
      <x:c r="B185" s="79" t="str">
        <x:v>DTC warm</x:v>
      </x:c>
      <x:c r="C185" s="79" t="str">
        <x:v>2101</x:v>
      </x:c>
      <x:c r="D185" s="79" t="str">
        <x:v>O</x:v>
      </x:c>
      <x:c r="E185" s="79" t="str">
        <x:v>0</x:v>
      </x:c>
      <x:c r="F185" s="79" t="str">
        <x:v>255</x:v>
      </x:c>
      <x:c r="G185" s="79" t="str"/>
      <x:c r="H185" s="79" t="str">
        <x:v>7E2</x:v>
      </x:c>
      <x:c r="I185" s="79" t="str">
        <x:v>PRIUS_PHV_GEN1 / ZVW35</x:v>
      </x:c>
      <x:c r="J185" s="79" t="str">
        <x:v>PiP Adv (US).csv</x:v>
      </x:c>
      <x:c r="K185" s="79" t="str">
        <x:v>2013-01-22</x:v>
      </x:c>
      <x:c r="L185" s="79" t="str">
        <x:v>READ-ONLY DIAGNOSTIC CANDIDATE</x:v>
      </x:c>
      <x:c r="M185" s="79" t="str">
        <x:v>CANDIDATE</x:v>
      </x:c>
      <x:c r="N185" s="80" t="str">
        <x:v>Advanced PHV source; never merge unchanged into ordinary Gen 3</x:v>
      </x:c>
    </x:row>
    <x:row r="186">
      <x:c r="A186" s="78" t="str">
        <x:v>DTC Clear Run Distance</x:v>
      </x:c>
      <x:c r="B186" s="79" t="str">
        <x:v>DTC dist</x:v>
      </x:c>
      <x:c r="C186" s="79" t="str">
        <x:v>2101</x:v>
      </x:c>
      <x:c r="D186" s="79" t="str">
        <x:v>(P * 256 + Q) * 15625 / 25146</x:v>
      </x:c>
      <x:c r="E186" s="79" t="str">
        <x:v>0</x:v>
      </x:c>
      <x:c r="F186" s="79" t="str">
        <x:v>40723</x:v>
      </x:c>
      <x:c r="G186" s="79" t="str">
        <x:v>mile</x:v>
      </x:c>
      <x:c r="H186" s="79" t="str">
        <x:v>7E2</x:v>
      </x:c>
      <x:c r="I186" s="79" t="str">
        <x:v>PRIUS_PHV_GEN1 / ZVW35</x:v>
      </x:c>
      <x:c r="J186" s="79" t="str">
        <x:v>PiP Adv (US).csv</x:v>
      </x:c>
      <x:c r="K186" s="79" t="str">
        <x:v>2013-01-22</x:v>
      </x:c>
      <x:c r="L186" s="79" t="str">
        <x:v>READ-ONLY DIAGNOSTIC CANDIDATE</x:v>
      </x:c>
      <x:c r="M186" s="79" t="str">
        <x:v>CANDIDATE</x:v>
      </x:c>
      <x:c r="N186" s="80" t="str">
        <x:v>Advanced PHV source; never merge unchanged into ordinary Gen 3</x:v>
      </x:c>
    </x:row>
    <x:row r="187">
      <x:c r="A187" s="78" t="str">
        <x:v>DTC Clear Min</x:v>
      </x:c>
      <x:c r="B187" s="79" t="str">
        <x:v>DTC time</x:v>
      </x:c>
      <x:c r="C187" s="79" t="str">
        <x:v>2101</x:v>
      </x:c>
      <x:c r="D187" s="79" t="str">
        <x:v>R * 256 + S</x:v>
      </x:c>
      <x:c r="E187" s="79" t="str">
        <x:v>0</x:v>
      </x:c>
      <x:c r="F187" s="79" t="str">
        <x:v>65535</x:v>
      </x:c>
      <x:c r="G187" s="79" t="str">
        <x:v>minutes</x:v>
      </x:c>
      <x:c r="H187" s="79" t="str">
        <x:v>7E2</x:v>
      </x:c>
      <x:c r="I187" s="79" t="str">
        <x:v>PRIUS_PHV_GEN1 / ZVW35</x:v>
      </x:c>
      <x:c r="J187" s="79" t="str">
        <x:v>PiP Adv (US).csv</x:v>
      </x:c>
      <x:c r="K187" s="79" t="str">
        <x:v>2013-01-22</x:v>
      </x:c>
      <x:c r="L187" s="79" t="str">
        <x:v>READ-ONLY DIAGNOSTIC CANDIDATE</x:v>
      </x:c>
      <x:c r="M187" s="79" t="str">
        <x:v>CANDIDATE</x:v>
      </x:c>
      <x:c r="N187" s="80" t="str">
        <x:v>Advanced PHV source; never merge unchanged into ordinary Gen 3</x:v>
      </x:c>
    </x:row>
    <x:row r="188">
      <x:c r="A188" s="78" t="str">
        <x:v>+B</x:v>
      </x:c>
      <x:c r="B188" s="79" t="str">
        <x:v>+B</x:v>
      </x:c>
      <x:c r="C188" s="79" t="str">
        <x:v>2101</x:v>
      </x:c>
      <x:c r="D188" s="79" t="str">
        <x:v>(T * 256 + U) / 1000</x:v>
      </x:c>
      <x:c r="E188" s="79" t="str">
        <x:v>0</x:v>
      </x:c>
      <x:c r="F188" s="79" t="str">
        <x:v>16</x:v>
      </x:c>
      <x:c r="G188" s="79" t="str">
        <x:v>V</x:v>
      </x:c>
      <x:c r="H188" s="79" t="str">
        <x:v>7E2</x:v>
      </x:c>
      <x:c r="I188" s="79" t="str">
        <x:v>PRIUS_PHV_GEN1 / ZVW35</x:v>
      </x:c>
      <x:c r="J188" s="79" t="str">
        <x:v>PiP Adv (US).csv</x:v>
      </x:c>
      <x:c r="K188" s="79" t="str">
        <x:v>2013-01-22</x:v>
      </x:c>
      <x:c r="L188" s="79" t="str">
        <x:v>READ-ONLY DIAGNOSTIC CANDIDATE</x:v>
      </x:c>
      <x:c r="M188" s="79" t="str">
        <x:v>CANDIDATE</x:v>
      </x:c>
      <x:c r="N188" s="80" t="str">
        <x:v>Advanced PHV source; never merge unchanged into ordinary Gen 3</x:v>
      </x:c>
    </x:row>
    <x:row r="189">
      <x:c r="A189" s="78" t="str">
        <x:v>State of Charge (All Bat)</x:v>
      </x:c>
      <x:c r="B189" s="79" t="str">
        <x:v>SOC (All)</x:v>
      </x:c>
      <x:c r="C189" s="79" t="str">
        <x:v>2101</x:v>
      </x:c>
      <x:c r="D189" s="79" t="str">
        <x:v>V * 20 / 51</x:v>
      </x:c>
      <x:c r="E189" s="79" t="str">
        <x:v>20</x:v>
      </x:c>
      <x:c r="F189" s="79" t="str">
        <x:v>90</x:v>
      </x:c>
      <x:c r="G189" s="79" t="str">
        <x:v>%</x:v>
      </x:c>
      <x:c r="H189" s="79" t="str">
        <x:v>7E2</x:v>
      </x:c>
      <x:c r="I189" s="79" t="str">
        <x:v>PRIUS_PHV_GEN1 / ZVW35</x:v>
      </x:c>
      <x:c r="J189" s="79" t="str">
        <x:v>PiP Adv (US).csv</x:v>
      </x:c>
      <x:c r="K189" s="79" t="str">
        <x:v>2013-01-22</x:v>
      </x:c>
      <x:c r="L189" s="79" t="str">
        <x:v>READ-ONLY DIAGNOSTIC CANDIDATE</x:v>
      </x:c>
      <x:c r="M189" s="79" t="str">
        <x:v>CANDIDATE</x:v>
      </x:c>
      <x:c r="N189" s="80" t="str">
        <x:v>Advanced PHV source; never merge unchanged into ordinary Gen 3</x:v>
      </x:c>
    </x:row>
    <x:row r="190">
      <x:c r="A190" s="78" t="str">
        <x:v>Shift Sensor Main</x:v>
      </x:c>
      <x:c r="B190" s="79" t="str">
        <x:v>Shift M</x:v>
      </x:c>
      <x:c r="C190" s="79" t="str">
        <x:v>2141</x:v>
      </x:c>
      <x:c r="D190" s="79" t="str">
        <x:v>A * 4.98 / 255</x:v>
      </x:c>
      <x:c r="E190" s="79" t="str">
        <x:v>0</x:v>
      </x:c>
      <x:c r="F190" s="79" t="str">
        <x:v>4.98</x:v>
      </x:c>
      <x:c r="G190" s="79" t="str">
        <x:v>V</x:v>
      </x:c>
      <x:c r="H190" s="79" t="str">
        <x:v>7E2</x:v>
      </x:c>
      <x:c r="I190" s="79" t="str">
        <x:v>PRIUS_PHV_GEN1 / ZVW35</x:v>
      </x:c>
      <x:c r="J190" s="79" t="str">
        <x:v>PiP Adv (US).csv</x:v>
      </x:c>
      <x:c r="K190" s="79" t="str">
        <x:v>2013-01-22</x:v>
      </x:c>
      <x:c r="L190" s="79" t="str">
        <x:v>READ-ONLY DIAGNOSTIC CANDIDATE</x:v>
      </x:c>
      <x:c r="M190" s="79" t="str">
        <x:v>CANDIDATE</x:v>
      </x:c>
      <x:c r="N190" s="80" t="str">
        <x:v>Advanced PHV source; never merge unchanged into ordinary Gen 3</x:v>
      </x:c>
    </x:row>
    <x:row r="191">
      <x:c r="A191" s="78" t="str">
        <x:v>Shift Sensor Sub</x:v>
      </x:c>
      <x:c r="B191" s="79" t="str">
        <x:v>Shift S</x:v>
      </x:c>
      <x:c r="C191" s="79" t="str">
        <x:v>2141</x:v>
      </x:c>
      <x:c r="D191" s="79" t="str">
        <x:v>B * 4.98 / 255</x:v>
      </x:c>
      <x:c r="E191" s="79" t="str">
        <x:v>0</x:v>
      </x:c>
      <x:c r="F191" s="79" t="str">
        <x:v>4.98</x:v>
      </x:c>
      <x:c r="G191" s="79" t="str">
        <x:v>V</x:v>
      </x:c>
      <x:c r="H191" s="79" t="str">
        <x:v>7E2</x:v>
      </x:c>
      <x:c r="I191" s="79" t="str">
        <x:v>PRIUS_PHV_GEN1 / ZVW35</x:v>
      </x:c>
      <x:c r="J191" s="79" t="str">
        <x:v>PiP Adv (US).csv</x:v>
      </x:c>
      <x:c r="K191" s="79" t="str">
        <x:v>2013-01-22</x:v>
      </x:c>
      <x:c r="L191" s="79" t="str">
        <x:v>READ-ONLY DIAGNOSTIC CANDIDATE</x:v>
      </x:c>
      <x:c r="M191" s="79" t="str">
        <x:v>CANDIDATE</x:v>
      </x:c>
      <x:c r="N191" s="80" t="str">
        <x:v>Advanced PHV source; never merge unchanged into ordinary Gen 3</x:v>
      </x:c>
    </x:row>
    <x:row r="192">
      <x:c r="A192" s="78" t="str">
        <x:v>Shift Sensor Select Main</x:v>
      </x:c>
      <x:c r="B192" s="79" t="str">
        <x:v>Shift Sel M</x:v>
      </x:c>
      <x:c r="C192" s="79" t="str">
        <x:v>2141</x:v>
      </x:c>
      <x:c r="D192" s="79" t="str">
        <x:v>C * 4.98 / 255</x:v>
      </x:c>
      <x:c r="E192" s="79" t="str">
        <x:v>0</x:v>
      </x:c>
      <x:c r="F192" s="79" t="str">
        <x:v>4.98</x:v>
      </x:c>
      <x:c r="G192" s="79" t="str">
        <x:v>V</x:v>
      </x:c>
      <x:c r="H192" s="79" t="str">
        <x:v>7E2</x:v>
      </x:c>
      <x:c r="I192" s="79" t="str">
        <x:v>PRIUS_PHV_GEN1 / ZVW35</x:v>
      </x:c>
      <x:c r="J192" s="79" t="str">
        <x:v>PiP Adv (US).csv</x:v>
      </x:c>
      <x:c r="K192" s="79" t="str">
        <x:v>2013-01-22</x:v>
      </x:c>
      <x:c r="L192" s="79" t="str">
        <x:v>READ-ONLY DIAGNOSTIC CANDIDATE</x:v>
      </x:c>
      <x:c r="M192" s="79" t="str">
        <x:v>CANDIDATE</x:v>
      </x:c>
      <x:c r="N192" s="80" t="str">
        <x:v>Advanced PHV source; never merge unchanged into ordinary Gen 3</x:v>
      </x:c>
    </x:row>
    <x:row r="193">
      <x:c r="A193" s="78" t="str">
        <x:v>Shift Sensor Select Sub</x:v>
      </x:c>
      <x:c r="B193" s="79" t="str">
        <x:v>Shift Sel S</x:v>
      </x:c>
      <x:c r="C193" s="79" t="str">
        <x:v>2141</x:v>
      </x:c>
      <x:c r="D193" s="79" t="str">
        <x:v>D * 4.98 / 255</x:v>
      </x:c>
      <x:c r="E193" s="79" t="str">
        <x:v>0</x:v>
      </x:c>
      <x:c r="F193" s="79" t="str">
        <x:v>4.98</x:v>
      </x:c>
      <x:c r="G193" s="79" t="str">
        <x:v>V</x:v>
      </x:c>
      <x:c r="H193" s="79" t="str">
        <x:v>7E2</x:v>
      </x:c>
      <x:c r="I193" s="79" t="str">
        <x:v>PRIUS_PHV_GEN1 / ZVW35</x:v>
      </x:c>
      <x:c r="J193" s="79" t="str">
        <x:v>PiP Adv (US).csv</x:v>
      </x:c>
      <x:c r="K193" s="79" t="str">
        <x:v>2013-01-22</x:v>
      </x:c>
      <x:c r="L193" s="79" t="str">
        <x:v>READ-ONLY DIAGNOSTIC CANDIDATE</x:v>
      </x:c>
      <x:c r="M193" s="79" t="str">
        <x:v>CANDIDATE</x:v>
      </x:c>
      <x:c r="N193" s="80" t="str">
        <x:v>Advanced PHV source; never merge unchanged into ordinary Gen 3</x:v>
      </x:c>
    </x:row>
    <x:row r="194">
      <x:c r="A194" s="78" t="str">
        <x:v>Auxiliary Battery Temperature</x:v>
      </x:c>
      <x:c r="B194" s="79" t="str">
        <x:v>Aux. B t</x:v>
      </x:c>
      <x:c r="C194" s="79" t="str">
        <x:v>2141</x:v>
      </x:c>
      <x:c r="D194" s="79" t="str">
        <x:v>E * 9 / 5 - 40</x:v>
      </x:c>
      <x:c r="E194" s="79" t="str">
        <x:v>-40</x:v>
      </x:c>
      <x:c r="F194" s="79" t="str">
        <x:v>250</x:v>
      </x:c>
      <x:c r="G194" s="79" t="str">
        <x:v>F</x:v>
      </x:c>
      <x:c r="H194" s="79" t="str">
        <x:v>7E2</x:v>
      </x:c>
      <x:c r="I194" s="79" t="str">
        <x:v>PRIUS_PHV_GEN1 / ZVW35</x:v>
      </x:c>
      <x:c r="J194" s="79" t="str">
        <x:v>PiP Adv (US).csv</x:v>
      </x:c>
      <x:c r="K194" s="79" t="str">
        <x:v>2013-01-22</x:v>
      </x:c>
      <x:c r="L194" s="79" t="str">
        <x:v>READ-ONLY DIAGNOSTIC CANDIDATE</x:v>
      </x:c>
      <x:c r="M194" s="79" t="str">
        <x:v>CANDIDATE</x:v>
      </x:c>
      <x:c r="N194" s="80" t="str">
        <x:v>Advanced PHV source; never merge unchanged into ordinary Gen 3</x:v>
      </x:c>
    </x:row>
    <x:row r="195">
      <x:c r="A195" s="78" t="str">
        <x:v>Engine Rev (Sensor)</x:v>
      </x:c>
      <x:c r="B195" s="79" t="str">
        <x:v>RPM sensor</x:v>
      </x:c>
      <x:c r="C195" s="79" t="str">
        <x:v>2141</x:v>
      </x:c>
      <x:c r="D195" s="79" t="str">
        <x:v>(F * 256 + G) / 4</x:v>
      </x:c>
      <x:c r="E195" s="79" t="str">
        <x:v>0</x:v>
      </x:c>
      <x:c r="F195" s="79" t="str">
        <x:v>16383.75</x:v>
      </x:c>
      <x:c r="G195" s="79" t="str">
        <x:v>RPM</x:v>
      </x:c>
      <x:c r="H195" s="79" t="str">
        <x:v>7E2</x:v>
      </x:c>
      <x:c r="I195" s="79" t="str">
        <x:v>PRIUS_PHV_GEN1 / ZVW35</x:v>
      </x:c>
      <x:c r="J195" s="79" t="str">
        <x:v>PiP Adv (US).csv</x:v>
      </x:c>
      <x:c r="K195" s="79" t="str">
        <x:v>2013-01-22</x:v>
      </x:c>
      <x:c r="L195" s="79" t="str">
        <x:v>READ-ONLY DIAGNOSTIC CANDIDATE</x:v>
      </x:c>
      <x:c r="M195" s="79" t="str">
        <x:v>CANDIDATE</x:v>
      </x:c>
      <x:c r="N195" s="80" t="str">
        <x:v>Advanced PHV source; never merge unchanged into ordinary Gen 3</x:v>
      </x:c>
    </x:row>
    <x:row r="196">
      <x:c r="A196" s="78" t="str">
        <x:v>P Pos SW Terminal Vol</x:v>
      </x:c>
      <x:c r="B196" s="79" t="str">
        <x:v>P Pos Volt</x:v>
      </x:c>
      <x:c r="C196" s="79" t="str">
        <x:v>2141</x:v>
      </x:c>
      <x:c r="D196" s="79" t="str">
        <x:v>H * 79.9987793 / 255</x:v>
      </x:c>
      <x:c r="E196" s="79" t="str">
        <x:v>0</x:v>
      </x:c>
      <x:c r="F196" s="79" t="str">
        <x:v>79.9987793</x:v>
      </x:c>
      <x:c r="G196" s="79" t="str">
        <x:v>V</x:v>
      </x:c>
      <x:c r="H196" s="79" t="str">
        <x:v>7E2</x:v>
      </x:c>
      <x:c r="I196" s="79" t="str">
        <x:v>PRIUS_PHV_GEN1 / ZVW35</x:v>
      </x:c>
      <x:c r="J196" s="79" t="str">
        <x:v>PiP Adv (US).csv</x:v>
      </x:c>
      <x:c r="K196" s="79" t="str">
        <x:v>2013-01-22</x:v>
      </x:c>
      <x:c r="L196" s="79" t="str">
        <x:v>READ-ONLY DIAGNOSTIC CANDIDATE</x:v>
      </x:c>
      <x:c r="M196" s="79" t="str">
        <x:v>CANDIDATE</x:v>
      </x:c>
      <x:c r="N196" s="80" t="str">
        <x:v>Advanced PHV source; never merge unchanged into ordinary Gen 3</x:v>
      </x:c>
    </x:row>
    <x:row r="197">
      <x:c r="A197" s="78" t="str">
        <x:v>MG1 temperature</x:v>
      </x:c>
      <x:c r="B197" s="79" t="str">
        <x:v>MG1t</x:v>
      </x:c>
      <x:c r="C197" s="79" t="str">
        <x:v>2161</x:v>
      </x:c>
      <x:c r="D197" s="79" t="str">
        <x:v>A * 9 / 5 - 40</x:v>
      </x:c>
      <x:c r="E197" s="79" t="str">
        <x:v>-40</x:v>
      </x:c>
      <x:c r="F197" s="79" t="str">
        <x:v>250</x:v>
      </x:c>
      <x:c r="G197" s="79" t="str">
        <x:v>F</x:v>
      </x:c>
      <x:c r="H197" s="79" t="str">
        <x:v>7E2</x:v>
      </x:c>
      <x:c r="I197" s="79" t="str">
        <x:v>PRIUS_PHV_GEN1 / ZVW35</x:v>
      </x:c>
      <x:c r="J197" s="79" t="str">
        <x:v>PiP Adv (US).csv</x:v>
      </x:c>
      <x:c r="K197" s="79" t="str">
        <x:v>2013-01-22</x:v>
      </x:c>
      <x:c r="L197" s="79" t="str">
        <x:v>READ-ONLY DIAGNOSTIC CANDIDATE</x:v>
      </x:c>
      <x:c r="M197" s="79" t="str">
        <x:v>CANDIDATE</x:v>
      </x:c>
      <x:c r="N197" s="80" t="str">
        <x:v>Advanced PHV source; never merge unchanged into ordinary Gen 3</x:v>
      </x:c>
    </x:row>
    <x:row r="198">
      <x:c r="A198" s="78" t="str">
        <x:v>MG1 temperature after IG-ON</x:v>
      </x:c>
      <x:c r="B198" s="79" t="str">
        <x:v>MG1t Ign</x:v>
      </x:c>
      <x:c r="C198" s="79" t="str">
        <x:v>2161</x:v>
      </x:c>
      <x:c r="D198" s="79" t="str">
        <x:v>B * 9 / 5 - 40</x:v>
      </x:c>
      <x:c r="E198" s="79" t="str">
        <x:v>-40</x:v>
      </x:c>
      <x:c r="F198" s="79" t="str">
        <x:v>250</x:v>
      </x:c>
      <x:c r="G198" s="79" t="str">
        <x:v>F</x:v>
      </x:c>
      <x:c r="H198" s="79" t="str">
        <x:v>7E2</x:v>
      </x:c>
      <x:c r="I198" s="79" t="str">
        <x:v>PRIUS_PHV_GEN1 / ZVW35</x:v>
      </x:c>
      <x:c r="J198" s="79" t="str">
        <x:v>PiP Adv (US).csv</x:v>
      </x:c>
      <x:c r="K198" s="79" t="str">
        <x:v>2013-01-22</x:v>
      </x:c>
      <x:c r="L198" s="79" t="str">
        <x:v>READ-ONLY DIAGNOSTIC CANDIDATE</x:v>
      </x:c>
      <x:c r="M198" s="79" t="str">
        <x:v>CANDIDATE</x:v>
      </x:c>
      <x:c r="N198" s="80" t="str">
        <x:v>Advanced PHV source; never merge unchanged into ordinary Gen 3</x:v>
      </x:c>
    </x:row>
    <x:row r="199">
      <x:c r="A199" s="78" t="str">
        <x:v>MG1 temperature Max</x:v>
      </x:c>
      <x:c r="B199" s="79" t="str">
        <x:v>MG1t max</x:v>
      </x:c>
      <x:c r="C199" s="79" t="str">
        <x:v>2161</x:v>
      </x:c>
      <x:c r="D199" s="79" t="str">
        <x:v>C * 9 / 5 - 40</x:v>
      </x:c>
      <x:c r="E199" s="79" t="str">
        <x:v>-40</x:v>
      </x:c>
      <x:c r="F199" s="79" t="str">
        <x:v>250</x:v>
      </x:c>
      <x:c r="G199" s="79" t="str">
        <x:v>F</x:v>
      </x:c>
      <x:c r="H199" s="79" t="str">
        <x:v>7E2</x:v>
      </x:c>
      <x:c r="I199" s="79" t="str">
        <x:v>PRIUS_PHV_GEN1 / ZVW35</x:v>
      </x:c>
      <x:c r="J199" s="79" t="str">
        <x:v>PiP Adv (US).csv</x:v>
      </x:c>
      <x:c r="K199" s="79" t="str">
        <x:v>2013-01-22</x:v>
      </x:c>
      <x:c r="L199" s="79" t="str">
        <x:v>READ-ONLY DIAGNOSTIC CANDIDATE</x:v>
      </x:c>
      <x:c r="M199" s="79" t="str">
        <x:v>CANDIDATE</x:v>
      </x:c>
      <x:c r="N199" s="80" t="str">
        <x:v>Advanced PHV source; never merge unchanged into ordinary Gen 3</x:v>
      </x:c>
    </x:row>
    <x:row r="200">
      <x:c r="A200" s="78" t="str">
        <x:v>MG1 revolution</x:v>
      </x:c>
      <x:c r="B200" s="79" t="str">
        <x:v>MG1 rpm</x:v>
      </x:c>
      <x:c r="C200" s="79" t="str">
        <x:v>2161</x:v>
      </x:c>
      <x:c r="D200" s="79" t="str">
        <x:v>D * 256 + E - 32768</x:v>
      </x:c>
      <x:c r="E200" s="79" t="str">
        <x:v>-15000</x:v>
      </x:c>
      <x:c r="F200" s="79" t="str">
        <x:v>15000</x:v>
      </x:c>
      <x:c r="G200" s="79" t="str">
        <x:v>RPM</x:v>
      </x:c>
      <x:c r="H200" s="79" t="str">
        <x:v>7E2</x:v>
      </x:c>
      <x:c r="I200" s="79" t="str">
        <x:v>PRIUS_PHV_GEN1 / ZVW35</x:v>
      </x:c>
      <x:c r="J200" s="79" t="str">
        <x:v>PiP Adv (US).csv</x:v>
      </x:c>
      <x:c r="K200" s="79" t="str">
        <x:v>2013-01-22</x:v>
      </x:c>
      <x:c r="L200" s="79" t="str">
        <x:v>READ-ONLY DIAGNOSTIC CANDIDATE</x:v>
      </x:c>
      <x:c r="M200" s="79" t="str">
        <x:v>CANDIDATE</x:v>
      </x:c>
      <x:c r="N200" s="80" t="str">
        <x:v>Advanced PHV source; never merge unchanged into ordinary Gen 3</x:v>
      </x:c>
    </x:row>
    <x:row r="201">
      <x:c r="A201" s="78" t="str">
        <x:v>MG2 temperature</x:v>
      </x:c>
      <x:c r="B201" s="79" t="str">
        <x:v>MG2t</x:v>
      </x:c>
      <x:c r="C201" s="79" t="str">
        <x:v>2162</x:v>
      </x:c>
      <x:c r="D201" s="79" t="str">
        <x:v>A * 9 / 5 - 40</x:v>
      </x:c>
      <x:c r="E201" s="79" t="str">
        <x:v>-40</x:v>
      </x:c>
      <x:c r="F201" s="79" t="str">
        <x:v>250</x:v>
      </x:c>
      <x:c r="G201" s="79" t="str">
        <x:v>F</x:v>
      </x:c>
      <x:c r="H201" s="79" t="str">
        <x:v>7E2</x:v>
      </x:c>
      <x:c r="I201" s="79" t="str">
        <x:v>PRIUS_PHV_GEN1 / ZVW35</x:v>
      </x:c>
      <x:c r="J201" s="79" t="str">
        <x:v>PiP Adv (US).csv</x:v>
      </x:c>
      <x:c r="K201" s="79" t="str">
        <x:v>2013-01-22</x:v>
      </x:c>
      <x:c r="L201" s="79" t="str">
        <x:v>READ-ONLY DIAGNOSTIC CANDIDATE</x:v>
      </x:c>
      <x:c r="M201" s="79" t="str">
        <x:v>CANDIDATE</x:v>
      </x:c>
      <x:c r="N201" s="80" t="str">
        <x:v>Advanced PHV source; never merge unchanged into ordinary Gen 3</x:v>
      </x:c>
    </x:row>
    <x:row r="202">
      <x:c r="A202" s="78" t="str">
        <x:v>MG2 temperature after IG-ON</x:v>
      </x:c>
      <x:c r="B202" s="79" t="str">
        <x:v>MG2t Ign</x:v>
      </x:c>
      <x:c r="C202" s="79" t="str">
        <x:v>2162</x:v>
      </x:c>
      <x:c r="D202" s="79" t="str">
        <x:v>B * 9 / 5 - 40</x:v>
      </x:c>
      <x:c r="E202" s="79" t="str">
        <x:v>-40</x:v>
      </x:c>
      <x:c r="F202" s="79" t="str">
        <x:v>250</x:v>
      </x:c>
      <x:c r="G202" s="79" t="str">
        <x:v>F</x:v>
      </x:c>
      <x:c r="H202" s="79" t="str">
        <x:v>7E2</x:v>
      </x:c>
      <x:c r="I202" s="79" t="str">
        <x:v>PRIUS_PHV_GEN1 / ZVW35</x:v>
      </x:c>
      <x:c r="J202" s="79" t="str">
        <x:v>PiP Adv (US).csv</x:v>
      </x:c>
      <x:c r="K202" s="79" t="str">
        <x:v>2013-01-22</x:v>
      </x:c>
      <x:c r="L202" s="79" t="str">
        <x:v>READ-ONLY DIAGNOSTIC CANDIDATE</x:v>
      </x:c>
      <x:c r="M202" s="79" t="str">
        <x:v>CANDIDATE</x:v>
      </x:c>
      <x:c r="N202" s="80" t="str">
        <x:v>Advanced PHV source; never merge unchanged into ordinary Gen 3</x:v>
      </x:c>
    </x:row>
    <x:row r="203">
      <x:c r="A203" s="78" t="str">
        <x:v>MG2 temperature Max</x:v>
      </x:c>
      <x:c r="B203" s="79" t="str">
        <x:v>MG2t max</x:v>
      </x:c>
      <x:c r="C203" s="79" t="str">
        <x:v>2162</x:v>
      </x:c>
      <x:c r="D203" s="79" t="str">
        <x:v>C * 9 / 5 - 40</x:v>
      </x:c>
      <x:c r="E203" s="79" t="str">
        <x:v>-40</x:v>
      </x:c>
      <x:c r="F203" s="79" t="str">
        <x:v>250</x:v>
      </x:c>
      <x:c r="G203" s="79" t="str">
        <x:v>F</x:v>
      </x:c>
      <x:c r="H203" s="79" t="str">
        <x:v>7E2</x:v>
      </x:c>
      <x:c r="I203" s="79" t="str">
        <x:v>PRIUS_PHV_GEN1 / ZVW35</x:v>
      </x:c>
      <x:c r="J203" s="79" t="str">
        <x:v>PiP Adv (US).csv</x:v>
      </x:c>
      <x:c r="K203" s="79" t="str">
        <x:v>2013-01-22</x:v>
      </x:c>
      <x:c r="L203" s="79" t="str">
        <x:v>READ-ONLY DIAGNOSTIC CANDIDATE</x:v>
      </x:c>
      <x:c r="M203" s="79" t="str">
        <x:v>CANDIDATE</x:v>
      </x:c>
      <x:c r="N203" s="80" t="str">
        <x:v>Advanced PHV source; never merge unchanged into ordinary Gen 3</x:v>
      </x:c>
    </x:row>
    <x:row r="204">
      <x:c r="A204" s="78" t="str">
        <x:v>MG2 revolution</x:v>
      </x:c>
      <x:c r="B204" s="79" t="str">
        <x:v>MG2 rpm</x:v>
      </x:c>
      <x:c r="C204" s="79" t="str">
        <x:v>2162</x:v>
      </x:c>
      <x:c r="D204" s="79" t="str">
        <x:v>D * 256 + E - 32768</x:v>
      </x:c>
      <x:c r="E204" s="79" t="str">
        <x:v>-500</x:v>
      </x:c>
      <x:c r="F204" s="79" t="str">
        <x:v>15000</x:v>
      </x:c>
      <x:c r="G204" s="79" t="str">
        <x:v>RPM</x:v>
      </x:c>
      <x:c r="H204" s="79" t="str">
        <x:v>7E2</x:v>
      </x:c>
      <x:c r="I204" s="79" t="str">
        <x:v>PRIUS_PHV_GEN1 / ZVW35</x:v>
      </x:c>
      <x:c r="J204" s="79" t="str">
        <x:v>PiP Adv (US).csv</x:v>
      </x:c>
      <x:c r="K204" s="79" t="str">
        <x:v>2013-01-22</x:v>
      </x:c>
      <x:c r="L204" s="79" t="str">
        <x:v>READ-ONLY DIAGNOSTIC CANDIDATE</x:v>
      </x:c>
      <x:c r="M204" s="79" t="str">
        <x:v>CANDIDATE</x:v>
      </x:c>
      <x:c r="N204" s="80" t="str">
        <x:v>Advanced PHV source; never merge unchanged into ordinary Gen 3</x:v>
      </x:c>
    </x:row>
    <x:row r="205">
      <x:c r="A205" s="78" t="str">
        <x:v>MG1 torque</x:v>
      </x:c>
      <x:c r="B205" s="79" t="str">
        <x:v>MG1 Torq</x:v>
      </x:c>
      <x:c r="C205" s="79" t="str">
        <x:v>2167</x:v>
      </x:c>
      <x:c r="D205" s="79" t="str">
        <x:v>((A * 256 + B) / 8 - 4096) * 0.7375621</x:v>
      </x:c>
      <x:c r="E205" s="79" t="str">
        <x:v>-3021.05</x:v>
      </x:c>
      <x:c r="F205" s="79" t="str">
        <x:v>3020.96</x:v>
      </x:c>
      <x:c r="G205" s="79" t="str">
        <x:v>ft�lb</x:v>
      </x:c>
      <x:c r="H205" s="79" t="str">
        <x:v>7E2</x:v>
      </x:c>
      <x:c r="I205" s="79" t="str">
        <x:v>PRIUS_PHV_GEN1 / ZVW35</x:v>
      </x:c>
      <x:c r="J205" s="79" t="str">
        <x:v>PiP Adv (US).csv</x:v>
      </x:c>
      <x:c r="K205" s="79" t="str">
        <x:v>2013-01-22</x:v>
      </x:c>
      <x:c r="L205" s="79" t="str">
        <x:v>READ-ONLY DIAGNOSTIC CANDIDATE</x:v>
      </x:c>
      <x:c r="M205" s="79" t="str">
        <x:v>CANDIDATE</x:v>
      </x:c>
      <x:c r="N205" s="80" t="str">
        <x:v>Advanced PHV source; never merge unchanged into ordinary Gen 3</x:v>
      </x:c>
    </x:row>
    <x:row r="206">
      <x:c r="A206" s="78" t="str">
        <x:v>MG1 torque execution value</x:v>
      </x:c>
      <x:c r="B206" s="79" t="str">
        <x:v>MG1 E Torq</x:v>
      </x:c>
      <x:c r="C206" s="79" t="str">
        <x:v>2167</x:v>
      </x:c>
      <x:c r="D206" s="79" t="str">
        <x:v>((C * 256 + D) / 8 - 4096) * 0.7375621</x:v>
      </x:c>
      <x:c r="E206" s="79" t="str">
        <x:v>-3021.05</x:v>
      </x:c>
      <x:c r="F206" s="79" t="str">
        <x:v>3020.96</x:v>
      </x:c>
      <x:c r="G206" s="79" t="str">
        <x:v>ft�lb</x:v>
      </x:c>
      <x:c r="H206" s="79" t="str">
        <x:v>7E2</x:v>
      </x:c>
      <x:c r="I206" s="79" t="str">
        <x:v>PRIUS_PHV_GEN1 / ZVW35</x:v>
      </x:c>
      <x:c r="J206" s="79" t="str">
        <x:v>PiP Adv (US).csv</x:v>
      </x:c>
      <x:c r="K206" s="79" t="str">
        <x:v>2013-01-22</x:v>
      </x:c>
      <x:c r="L206" s="79" t="str">
        <x:v>READ-ONLY DIAGNOSTIC CANDIDATE</x:v>
      </x:c>
      <x:c r="M206" s="79" t="str">
        <x:v>CANDIDATE</x:v>
      </x:c>
      <x:c r="N206" s="80" t="str">
        <x:v>Advanced PHV source; never merge unchanged into ordinary Gen 3</x:v>
      </x:c>
    </x:row>
    <x:row r="207">
      <x:c r="A207" s="78" t="str">
        <x:v>MG1 Control Mode (PWM=0,Variable PWM=1,Rectangular wave=2)</x:v>
      </x:c>
      <x:c r="B207" s="79" t="str">
        <x:v>MG1 mode</x:v>
      </x:c>
      <x:c r="C207" s="79" t="str">
        <x:v>2167</x:v>
      </x:c>
      <x:c r="D207" s="79" t="str">
        <x:v>E</x:v>
      </x:c>
      <x:c r="E207" s="79" t="str">
        <x:v>0</x:v>
      </x:c>
      <x:c r="F207" s="79" t="str">
        <x:v>2</x:v>
      </x:c>
      <x:c r="G207" s="79" t="str"/>
      <x:c r="H207" s="79" t="str">
        <x:v>7E2</x:v>
      </x:c>
      <x:c r="I207" s="79" t="str">
        <x:v>PRIUS_PHV_GEN1 / ZVW35</x:v>
      </x:c>
      <x:c r="J207" s="79" t="str">
        <x:v>PiP Adv (US).csv</x:v>
      </x:c>
      <x:c r="K207" s="79" t="str">
        <x:v>2013-01-22</x:v>
      </x:c>
      <x:c r="L207" s="79" t="str">
        <x:v>READ-ONLY DIAGNOSTIC CANDIDATE</x:v>
      </x:c>
      <x:c r="M207" s="79" t="str">
        <x:v>CANDIDATE</x:v>
      </x:c>
      <x:c r="N207" s="80" t="str">
        <x:v>Advanced PHV source; never merge unchanged into ordinary Gen 3</x:v>
      </x:c>
    </x:row>
    <x:row r="208">
      <x:c r="A208" s="78" t="str">
        <x:v>MG2 torque</x:v>
      </x:c>
      <x:c r="B208" s="79" t="str">
        <x:v>MG2 Torq</x:v>
      </x:c>
      <x:c r="C208" s="79" t="str">
        <x:v>2168</x:v>
      </x:c>
      <x:c r="D208" s="79" t="str">
        <x:v>((A * 256 + B) / 8 - 4096) * 0.7375621</x:v>
      </x:c>
      <x:c r="E208" s="79" t="str">
        <x:v>-3021.05</x:v>
      </x:c>
      <x:c r="F208" s="79" t="str">
        <x:v>3020.96</x:v>
      </x:c>
      <x:c r="G208" s="79" t="str">
        <x:v>ft�lb</x:v>
      </x:c>
      <x:c r="H208" s="79" t="str">
        <x:v>7E2</x:v>
      </x:c>
      <x:c r="I208" s="79" t="str">
        <x:v>PRIUS_PHV_GEN1 / ZVW35</x:v>
      </x:c>
      <x:c r="J208" s="79" t="str">
        <x:v>PiP Adv (US).csv</x:v>
      </x:c>
      <x:c r="K208" s="79" t="str">
        <x:v>2013-01-22</x:v>
      </x:c>
      <x:c r="L208" s="79" t="str">
        <x:v>READ-ONLY DIAGNOSTIC CANDIDATE</x:v>
      </x:c>
      <x:c r="M208" s="79" t="str">
        <x:v>CANDIDATE</x:v>
      </x:c>
      <x:c r="N208" s="80" t="str">
        <x:v>Advanced PHV source; never merge unchanged into ordinary Gen 3</x:v>
      </x:c>
    </x:row>
    <x:row r="209">
      <x:c r="A209" s="78" t="str">
        <x:v>MG2 torque execution value</x:v>
      </x:c>
      <x:c r="B209" s="79" t="str">
        <x:v>MG2 E Torq</x:v>
      </x:c>
      <x:c r="C209" s="79" t="str">
        <x:v>2168</x:v>
      </x:c>
      <x:c r="D209" s="79" t="str">
        <x:v>((C * 256 + D) / 8 - 4096) * 0.7375621</x:v>
      </x:c>
      <x:c r="E209" s="79" t="str">
        <x:v>-3021.05</x:v>
      </x:c>
      <x:c r="F209" s="79" t="str">
        <x:v>3020.96</x:v>
      </x:c>
      <x:c r="G209" s="79" t="str">
        <x:v>ft�lb</x:v>
      </x:c>
      <x:c r="H209" s="79" t="str">
        <x:v>7E2</x:v>
      </x:c>
      <x:c r="I209" s="79" t="str">
        <x:v>PRIUS_PHV_GEN1 / ZVW35</x:v>
      </x:c>
      <x:c r="J209" s="79" t="str">
        <x:v>PiP Adv (US).csv</x:v>
      </x:c>
      <x:c r="K209" s="79" t="str">
        <x:v>2013-01-22</x:v>
      </x:c>
      <x:c r="L209" s="79" t="str">
        <x:v>READ-ONLY DIAGNOSTIC CANDIDATE</x:v>
      </x:c>
      <x:c r="M209" s="79" t="str">
        <x:v>CANDIDATE</x:v>
      </x:c>
      <x:c r="N209" s="80" t="str">
        <x:v>Advanced PHV source; never merge unchanged into ordinary Gen 3</x:v>
      </x:c>
    </x:row>
    <x:row r="210">
      <x:c r="A210" s="78" t="str">
        <x:v>MG2 Control Mode (PWM=0,Variable PWM=1,Rectangular wave=2)</x:v>
      </x:c>
      <x:c r="B210" s="79" t="str">
        <x:v>MG2 mode</x:v>
      </x:c>
      <x:c r="C210" s="79" t="str">
        <x:v>2168</x:v>
      </x:c>
      <x:c r="D210" s="79" t="str">
        <x:v>E</x:v>
      </x:c>
      <x:c r="E210" s="79" t="str">
        <x:v>0</x:v>
      </x:c>
      <x:c r="F210" s="79" t="str">
        <x:v>2</x:v>
      </x:c>
      <x:c r="G210" s="79" t="str"/>
      <x:c r="H210" s="79" t="str">
        <x:v>7E2</x:v>
      </x:c>
      <x:c r="I210" s="79" t="str">
        <x:v>PRIUS_PHV_GEN1 / ZVW35</x:v>
      </x:c>
      <x:c r="J210" s="79" t="str">
        <x:v>PiP Adv (US).csv</x:v>
      </x:c>
      <x:c r="K210" s="79" t="str">
        <x:v>2013-01-22</x:v>
      </x:c>
      <x:c r="L210" s="79" t="str">
        <x:v>READ-ONLY DIAGNOSTIC CANDIDATE</x:v>
      </x:c>
      <x:c r="M210" s="79" t="str">
        <x:v>CANDIDATE</x:v>
      </x:c>
      <x:c r="N210" s="80" t="str">
        <x:v>Advanced PHV source; never merge unchanged into ordinary Gen 3</x:v>
      </x:c>
    </x:row>
    <x:row r="211">
      <x:c r="A211" s="78" t="str">
        <x:v>Inverter MG1 Temp</x:v>
      </x:c>
      <x:c r="B211" s="79" t="str">
        <x:v>Inv1t</x:v>
      </x:c>
      <x:c r="C211" s="79" t="str">
        <x:v>2170</x:v>
      </x:c>
      <x:c r="D211" s="79" t="str">
        <x:v>A * 9 / 5 - 40</x:v>
      </x:c>
      <x:c r="E211" s="79" t="str">
        <x:v>59</x:v>
      </x:c>
      <x:c r="F211" s="79" t="str">
        <x:v>302</x:v>
      </x:c>
      <x:c r="G211" s="79" t="str">
        <x:v>F</x:v>
      </x:c>
      <x:c r="H211" s="79" t="str">
        <x:v>7E2</x:v>
      </x:c>
      <x:c r="I211" s="79" t="str">
        <x:v>PRIUS_PHV_GEN1 / ZVW35</x:v>
      </x:c>
      <x:c r="J211" s="79" t="str">
        <x:v>PiP Adv (US).csv</x:v>
      </x:c>
      <x:c r="K211" s="79" t="str">
        <x:v>2013-01-22</x:v>
      </x:c>
      <x:c r="L211" s="79" t="str">
        <x:v>READ-ONLY DIAGNOSTIC CANDIDATE</x:v>
      </x:c>
      <x:c r="M211" s="79" t="str">
        <x:v>CANDIDATE</x:v>
      </x:c>
      <x:c r="N211" s="80" t="str">
        <x:v>Advanced PHV source; never merge unchanged into ordinary Gen 3</x:v>
      </x:c>
    </x:row>
    <x:row r="212">
      <x:c r="A212" s="78" t="str">
        <x:v>Inverter MG1 Temp after IG-ON</x:v>
      </x:c>
      <x:c r="B212" s="79" t="str">
        <x:v>Inv1t Ign</x:v>
      </x:c>
      <x:c r="C212" s="79" t="str">
        <x:v>2170</x:v>
      </x:c>
      <x:c r="D212" s="79" t="str">
        <x:v>B * 9 / 5 - 40</x:v>
      </x:c>
      <x:c r="E212" s="79" t="str">
        <x:v>59</x:v>
      </x:c>
      <x:c r="F212" s="79" t="str">
        <x:v>302</x:v>
      </x:c>
      <x:c r="G212" s="79" t="str">
        <x:v>F</x:v>
      </x:c>
      <x:c r="H212" s="79" t="str">
        <x:v>7E2</x:v>
      </x:c>
      <x:c r="I212" s="79" t="str">
        <x:v>PRIUS_PHV_GEN1 / ZVW35</x:v>
      </x:c>
      <x:c r="J212" s="79" t="str">
        <x:v>PiP Adv (US).csv</x:v>
      </x:c>
      <x:c r="K212" s="79" t="str">
        <x:v>2013-01-22</x:v>
      </x:c>
      <x:c r="L212" s="79" t="str">
        <x:v>READ-ONLY DIAGNOSTIC CANDIDATE</x:v>
      </x:c>
      <x:c r="M212" s="79" t="str">
        <x:v>CANDIDATE</x:v>
      </x:c>
      <x:c r="N212" s="80" t="str">
        <x:v>Advanced PHV source; never merge unchanged into ordinary Gen 3</x:v>
      </x:c>
    </x:row>
    <x:row r="213">
      <x:c r="A213" s="78" t="str">
        <x:v>Inverter MG1 Temp Max</x:v>
      </x:c>
      <x:c r="B213" s="79" t="str">
        <x:v>Inv1t max</x:v>
      </x:c>
      <x:c r="C213" s="79" t="str">
        <x:v>2170</x:v>
      </x:c>
      <x:c r="D213" s="79" t="str">
        <x:v>C * 9 / 5 - 40</x:v>
      </x:c>
      <x:c r="E213" s="79" t="str">
        <x:v>59</x:v>
      </x:c>
      <x:c r="F213" s="79" t="str">
        <x:v>302</x:v>
      </x:c>
      <x:c r="G213" s="79" t="str">
        <x:v>F</x:v>
      </x:c>
      <x:c r="H213" s="79" t="str">
        <x:v>7E2</x:v>
      </x:c>
      <x:c r="I213" s="79" t="str">
        <x:v>PRIUS_PHV_GEN1 / ZVW35</x:v>
      </x:c>
      <x:c r="J213" s="79" t="str">
        <x:v>PiP Adv (US).csv</x:v>
      </x:c>
      <x:c r="K213" s="79" t="str">
        <x:v>2013-01-22</x:v>
      </x:c>
      <x:c r="L213" s="79" t="str">
        <x:v>READ-ONLY DIAGNOSTIC CANDIDATE</x:v>
      </x:c>
      <x:c r="M213" s="79" t="str">
        <x:v>CANDIDATE</x:v>
      </x:c>
      <x:c r="N213" s="80" t="str">
        <x:v>Advanced PHV source; never merge unchanged into ordinary Gen 3</x:v>
      </x:c>
    </x:row>
    <x:row r="214">
      <x:c r="A214" s="78" t="str">
        <x:v>MG1 Gate Status</x:v>
      </x:c>
      <x:c r="B214" s="79" t="str">
        <x:v>MG1 Gate</x:v>
      </x:c>
      <x:c r="C214" s="79" t="str">
        <x:v>2170</x:v>
      </x:c>
      <x:c r="D214" s="79" t="str">
        <x:v>{D:7}</x:v>
      </x:c>
      <x:c r="E214" s="79" t="str">
        <x:v>0</x:v>
      </x:c>
      <x:c r="F214" s="79" t="str">
        <x:v>1</x:v>
      </x:c>
      <x:c r="G214" s="79" t="str">
        <x:v>Off/On</x:v>
      </x:c>
      <x:c r="H214" s="79" t="str">
        <x:v>7E2</x:v>
      </x:c>
      <x:c r="I214" s="79" t="str">
        <x:v>PRIUS_PHV_GEN1 / ZVW35</x:v>
      </x:c>
      <x:c r="J214" s="79" t="str">
        <x:v>PiP Adv (US).csv</x:v>
      </x:c>
      <x:c r="K214" s="79" t="str">
        <x:v>2013-01-22</x:v>
      </x:c>
      <x:c r="L214" s="79" t="str">
        <x:v>READ-ONLY DIAGNOSTIC CANDIDATE</x:v>
      </x:c>
      <x:c r="M214" s="79" t="str">
        <x:v>CANDIDATE</x:v>
      </x:c>
      <x:c r="N214" s="80" t="str">
        <x:v>Advanced PHV source; never merge unchanged into ordinary Gen 3</x:v>
      </x:c>
    </x:row>
    <x:row r="215">
      <x:c r="A215" s="78" t="str">
        <x:v>Inverter MG2 Temp</x:v>
      </x:c>
      <x:c r="B215" s="79" t="str">
        <x:v>Inv2t</x:v>
      </x:c>
      <x:c r="C215" s="79" t="str">
        <x:v>2171</x:v>
      </x:c>
      <x:c r="D215" s="79" t="str">
        <x:v>A * 9 / 5 - 40</x:v>
      </x:c>
      <x:c r="E215" s="79" t="str">
        <x:v>59</x:v>
      </x:c>
      <x:c r="F215" s="79" t="str">
        <x:v>302</x:v>
      </x:c>
      <x:c r="G215" s="79" t="str">
        <x:v>F</x:v>
      </x:c>
      <x:c r="H215" s="79" t="str">
        <x:v>7E2</x:v>
      </x:c>
      <x:c r="I215" s="79" t="str">
        <x:v>PRIUS_PHV_GEN1 / ZVW35</x:v>
      </x:c>
      <x:c r="J215" s="79" t="str">
        <x:v>PiP Adv (US).csv</x:v>
      </x:c>
      <x:c r="K215" s="79" t="str">
        <x:v>2013-01-22</x:v>
      </x:c>
      <x:c r="L215" s="79" t="str">
        <x:v>READ-ONLY DIAGNOSTIC CANDIDATE</x:v>
      </x:c>
      <x:c r="M215" s="79" t="str">
        <x:v>CANDIDATE</x:v>
      </x:c>
      <x:c r="N215" s="80" t="str">
        <x:v>Advanced PHV source; never merge unchanged into ordinary Gen 3</x:v>
      </x:c>
    </x:row>
    <x:row r="216">
      <x:c r="A216" s="78" t="str">
        <x:v>Inverter MG2 Temp after IG-ON</x:v>
      </x:c>
      <x:c r="B216" s="79" t="str">
        <x:v>Inv2t Ign</x:v>
      </x:c>
      <x:c r="C216" s="79" t="str">
        <x:v>2171</x:v>
      </x:c>
      <x:c r="D216" s="79" t="str">
        <x:v>B * 9 / 5 - 40</x:v>
      </x:c>
      <x:c r="E216" s="79" t="str">
        <x:v>59</x:v>
      </x:c>
      <x:c r="F216" s="79" t="str">
        <x:v>302</x:v>
      </x:c>
      <x:c r="G216" s="79" t="str">
        <x:v>F</x:v>
      </x:c>
      <x:c r="H216" s="79" t="str">
        <x:v>7E2</x:v>
      </x:c>
      <x:c r="I216" s="79" t="str">
        <x:v>PRIUS_PHV_GEN1 / ZVW35</x:v>
      </x:c>
      <x:c r="J216" s="79" t="str">
        <x:v>PiP Adv (US).csv</x:v>
      </x:c>
      <x:c r="K216" s="79" t="str">
        <x:v>2013-01-22</x:v>
      </x:c>
      <x:c r="L216" s="79" t="str">
        <x:v>READ-ONLY DIAGNOSTIC CANDIDATE</x:v>
      </x:c>
      <x:c r="M216" s="79" t="str">
        <x:v>CANDIDATE</x:v>
      </x:c>
      <x:c r="N216" s="80" t="str">
        <x:v>Advanced PHV source; never merge unchanged into ordinary Gen 3</x:v>
      </x:c>
    </x:row>
    <x:row r="217">
      <x:c r="A217" s="78" t="str">
        <x:v>Inverter MG2 Temp Max</x:v>
      </x:c>
      <x:c r="B217" s="79" t="str">
        <x:v>Inv2t max</x:v>
      </x:c>
      <x:c r="C217" s="79" t="str">
        <x:v>2171</x:v>
      </x:c>
      <x:c r="D217" s="79" t="str">
        <x:v>C * 9 / 5 - 40</x:v>
      </x:c>
      <x:c r="E217" s="79" t="str">
        <x:v>59</x:v>
      </x:c>
      <x:c r="F217" s="79" t="str">
        <x:v>302</x:v>
      </x:c>
      <x:c r="G217" s="79" t="str">
        <x:v>F</x:v>
      </x:c>
      <x:c r="H217" s="79" t="str">
        <x:v>7E2</x:v>
      </x:c>
      <x:c r="I217" s="79" t="str">
        <x:v>PRIUS_PHV_GEN1 / ZVW35</x:v>
      </x:c>
      <x:c r="J217" s="79" t="str">
        <x:v>PiP Adv (US).csv</x:v>
      </x:c>
      <x:c r="K217" s="79" t="str">
        <x:v>2013-01-22</x:v>
      </x:c>
      <x:c r="L217" s="79" t="str">
        <x:v>READ-ONLY DIAGNOSTIC CANDIDATE</x:v>
      </x:c>
      <x:c r="M217" s="79" t="str">
        <x:v>CANDIDATE</x:v>
      </x:c>
      <x:c r="N217" s="80" t="str">
        <x:v>Advanced PHV source; never merge unchanged into ordinary Gen 3</x:v>
      </x:c>
    </x:row>
    <x:row r="218">
      <x:c r="A218" s="78" t="str">
        <x:v>MG2 Gate Status</x:v>
      </x:c>
      <x:c r="B218" s="79" t="str">
        <x:v>MG2 Gate</x:v>
      </x:c>
      <x:c r="C218" s="79" t="str">
        <x:v>2171</x:v>
      </x:c>
      <x:c r="D218" s="79" t="str">
        <x:v>{D:7}</x:v>
      </x:c>
      <x:c r="E218" s="79" t="str">
        <x:v>0</x:v>
      </x:c>
      <x:c r="F218" s="79" t="str">
        <x:v>1</x:v>
      </x:c>
      <x:c r="G218" s="79" t="str">
        <x:v>Off/On</x:v>
      </x:c>
      <x:c r="H218" s="79" t="str">
        <x:v>7E2</x:v>
      </x:c>
      <x:c r="I218" s="79" t="str">
        <x:v>PRIUS_PHV_GEN1 / ZVW35</x:v>
      </x:c>
      <x:c r="J218" s="79" t="str">
        <x:v>PiP Adv (US).csv</x:v>
      </x:c>
      <x:c r="K218" s="79" t="str">
        <x:v>2013-01-22</x:v>
      </x:c>
      <x:c r="L218" s="79" t="str">
        <x:v>READ-ONLY DIAGNOSTIC CANDIDATE</x:v>
      </x:c>
      <x:c r="M218" s="79" t="str">
        <x:v>CANDIDATE</x:v>
      </x:c>
      <x:c r="N218" s="80" t="str">
        <x:v>Advanced PHV source; never merge unchanged into ordinary Gen 3</x:v>
      </x:c>
    </x:row>
    <x:row r="219">
      <x:c r="A219" s="78" t="str">
        <x:v>Boost converter temperature (upper)</x:v>
      </x:c>
      <x:c r="B219" s="79" t="str">
        <x:v>BC U</x:v>
      </x:c>
      <x:c r="C219" s="79" t="str">
        <x:v>2174</x:v>
      </x:c>
      <x:c r="D219" s="79" t="str">
        <x:v>A * 9 / 5 - 40</x:v>
      </x:c>
      <x:c r="E219" s="79" t="str">
        <x:v>59</x:v>
      </x:c>
      <x:c r="F219" s="79" t="str">
        <x:v>302</x:v>
      </x:c>
      <x:c r="G219" s="79" t="str">
        <x:v>F</x:v>
      </x:c>
      <x:c r="H219" s="79" t="str">
        <x:v>7E2</x:v>
      </x:c>
      <x:c r="I219" s="79" t="str">
        <x:v>PRIUS_PHV_GEN1 / ZVW35</x:v>
      </x:c>
      <x:c r="J219" s="79" t="str">
        <x:v>PiP Adv (US).csv</x:v>
      </x:c>
      <x:c r="K219" s="79" t="str">
        <x:v>2013-01-22</x:v>
      </x:c>
      <x:c r="L219" s="79" t="str">
        <x:v>READ-ONLY DIAGNOSTIC CANDIDATE</x:v>
      </x:c>
      <x:c r="M219" s="79" t="str">
        <x:v>CANDIDATE</x:v>
      </x:c>
      <x:c r="N219" s="80" t="str">
        <x:v>Advanced PHV source; never merge unchanged into ordinary Gen 3</x:v>
      </x:c>
    </x:row>
    <x:row r="220">
      <x:c r="A220" s="78" t="str">
        <x:v>Boost converter temperature (lower)</x:v>
      </x:c>
      <x:c r="B220" s="79" t="str">
        <x:v>BC L</x:v>
      </x:c>
      <x:c r="C220" s="79" t="str">
        <x:v>2174</x:v>
      </x:c>
      <x:c r="D220" s="79" t="str">
        <x:v>B * 9 / 5 - 40</x:v>
      </x:c>
      <x:c r="E220" s="79" t="str">
        <x:v>59</x:v>
      </x:c>
      <x:c r="F220" s="79" t="str">
        <x:v>302</x:v>
      </x:c>
      <x:c r="G220" s="79" t="str">
        <x:v>F</x:v>
      </x:c>
      <x:c r="H220" s="79" t="str">
        <x:v>7E2</x:v>
      </x:c>
      <x:c r="I220" s="79" t="str">
        <x:v>PRIUS_PHV_GEN1 / ZVW35</x:v>
      </x:c>
      <x:c r="J220" s="79" t="str">
        <x:v>PiP Adv (US).csv</x:v>
      </x:c>
      <x:c r="K220" s="79" t="str">
        <x:v>2013-01-22</x:v>
      </x:c>
      <x:c r="L220" s="79" t="str">
        <x:v>READ-ONLY DIAGNOSTIC CANDIDATE</x:v>
      </x:c>
      <x:c r="M220" s="79" t="str">
        <x:v>CANDIDATE</x:v>
      </x:c>
      <x:c r="N220" s="80" t="str">
        <x:v>Advanced PHV source; never merge unchanged into ordinary Gen 3</x:v>
      </x:c>
    </x:row>
    <x:row r="221">
      <x:c r="A221" s="78" t="str">
        <x:v>Boost converter temperature after IG-ON</x:v>
      </x:c>
      <x:c r="B221" s="79" t="str">
        <x:v>BC Ign</x:v>
      </x:c>
      <x:c r="C221" s="79" t="str">
        <x:v>2174</x:v>
      </x:c>
      <x:c r="D221" s="79" t="str">
        <x:v>C * 9 / 5 - 40</x:v>
      </x:c>
      <x:c r="E221" s="79" t="str">
        <x:v>59</x:v>
      </x:c>
      <x:c r="F221" s="79" t="str">
        <x:v>302</x:v>
      </x:c>
      <x:c r="G221" s="79" t="str">
        <x:v>F</x:v>
      </x:c>
      <x:c r="H221" s="79" t="str">
        <x:v>7E2</x:v>
      </x:c>
      <x:c r="I221" s="79" t="str">
        <x:v>PRIUS_PHV_GEN1 / ZVW35</x:v>
      </x:c>
      <x:c r="J221" s="79" t="str">
        <x:v>PiP Adv (US).csv</x:v>
      </x:c>
      <x:c r="K221" s="79" t="str">
        <x:v>2013-01-22</x:v>
      </x:c>
      <x:c r="L221" s="79" t="str">
        <x:v>READ-ONLY DIAGNOSTIC CANDIDATE</x:v>
      </x:c>
      <x:c r="M221" s="79" t="str">
        <x:v>CANDIDATE</x:v>
      </x:c>
      <x:c r="N221" s="80" t="str">
        <x:v>Advanced PHV source; never merge unchanged into ordinary Gen 3</x:v>
      </x:c>
    </x:row>
    <x:row r="222">
      <x:c r="A222" s="78" t="str">
        <x:v>Boost converter temperature Max</x:v>
      </x:c>
      <x:c r="B222" s="79" t="str">
        <x:v>BC max</x:v>
      </x:c>
      <x:c r="C222" s="79" t="str">
        <x:v>2174</x:v>
      </x:c>
      <x:c r="D222" s="79" t="str">
        <x:v>D * 9 / 5 - 40</x:v>
      </x:c>
      <x:c r="E222" s="79" t="str">
        <x:v>59</x:v>
      </x:c>
      <x:c r="F222" s="79" t="str">
        <x:v>302</x:v>
      </x:c>
      <x:c r="G222" s="79" t="str">
        <x:v>F</x:v>
      </x:c>
      <x:c r="H222" s="79" t="str">
        <x:v>7E2</x:v>
      </x:c>
      <x:c r="I222" s="79" t="str">
        <x:v>PRIUS_PHV_GEN1 / ZVW35</x:v>
      </x:c>
      <x:c r="J222" s="79" t="str">
        <x:v>PiP Adv (US).csv</x:v>
      </x:c>
      <x:c r="K222" s="79" t="str">
        <x:v>2013-01-22</x:v>
      </x:c>
      <x:c r="L222" s="79" t="str">
        <x:v>READ-ONLY DIAGNOSTIC CANDIDATE</x:v>
      </x:c>
      <x:c r="M222" s="79" t="str">
        <x:v>CANDIDATE</x:v>
      </x:c>
      <x:c r="N222" s="80" t="str">
        <x:v>Advanced PHV source; never merge unchanged into ordinary Gen 3</x:v>
      </x:c>
    </x:row>
    <x:row r="223">
      <x:c r="A223" s="78" t="str">
        <x:v>Converter Gate Status</x:v>
      </x:c>
      <x:c r="B223" s="79" t="str">
        <x:v>Cnv Gate</x:v>
      </x:c>
      <x:c r="C223" s="79" t="str">
        <x:v>2174</x:v>
      </x:c>
      <x:c r="D223" s="79" t="str">
        <x:v>{E:7}</x:v>
      </x:c>
      <x:c r="E223" s="79" t="str">
        <x:v>0</x:v>
      </x:c>
      <x:c r="F223" s="79" t="str">
        <x:v>1</x:v>
      </x:c>
      <x:c r="G223" s="79" t="str">
        <x:v>Off/On</x:v>
      </x:c>
      <x:c r="H223" s="79" t="str">
        <x:v>7E2</x:v>
      </x:c>
      <x:c r="I223" s="79" t="str">
        <x:v>PRIUS_PHV_GEN1 / ZVW35</x:v>
      </x:c>
      <x:c r="J223" s="79" t="str">
        <x:v>PiP Adv (US).csv</x:v>
      </x:c>
      <x:c r="K223" s="79" t="str">
        <x:v>2013-01-22</x:v>
      </x:c>
      <x:c r="L223" s="79" t="str">
        <x:v>READ-ONLY DIAGNOSTIC CANDIDATE</x:v>
      </x:c>
      <x:c r="M223" s="79" t="str">
        <x:v>CANDIDATE</x:v>
      </x:c>
      <x:c r="N223" s="80" t="str">
        <x:v>Advanced PHV source; never merge unchanged into ordinary Gen 3</x:v>
      </x:c>
    </x:row>
    <x:row r="224">
      <x:c r="A224" s="78" t="str">
        <x:v>Overvoltage Input to Converter</x:v>
      </x:c>
      <x:c r="B224" s="79" t="str">
        <x:v>O/V I/P Cnv</x:v>
      </x:c>
      <x:c r="C224" s="79" t="str">
        <x:v>2174</x:v>
      </x:c>
      <x:c r="D224" s="79" t="str">
        <x:v>{E:6}</x:v>
      </x:c>
      <x:c r="E224" s="79" t="str">
        <x:v>0</x:v>
      </x:c>
      <x:c r="F224" s="79" t="str">
        <x:v>1</x:v>
      </x:c>
      <x:c r="G224" s="79" t="str">
        <x:v>Off/On</x:v>
      </x:c>
      <x:c r="H224" s="79" t="str">
        <x:v>7E2</x:v>
      </x:c>
      <x:c r="I224" s="79" t="str">
        <x:v>PRIUS_PHV_GEN1 / ZVW35</x:v>
      </x:c>
      <x:c r="J224" s="79" t="str">
        <x:v>PiP Adv (US).csv</x:v>
      </x:c>
      <x:c r="K224" s="79" t="str">
        <x:v>2013-01-22</x:v>
      </x:c>
      <x:c r="L224" s="79" t="str">
        <x:v>READ-ONLY DIAGNOSTIC CANDIDATE</x:v>
      </x:c>
      <x:c r="M224" s="79" t="str">
        <x:v>CANDIDATE</x:v>
      </x:c>
      <x:c r="N224" s="80" t="str">
        <x:v>Advanced PHV source; never merge unchanged into ordinary Gen 3</x:v>
      </x:c>
    </x:row>
    <x:row r="225">
      <x:c r="A225" s="78" t="str">
        <x:v>Overvoltage Input to Inverter</x:v>
      </x:c>
      <x:c r="B225" s="79" t="str">
        <x:v>O/V I/P Inv</x:v>
      </x:c>
      <x:c r="C225" s="79" t="str">
        <x:v>2174</x:v>
      </x:c>
      <x:c r="D225" s="79" t="str">
        <x:v>{E:5}</x:v>
      </x:c>
      <x:c r="E225" s="79" t="str">
        <x:v>0</x:v>
      </x:c>
      <x:c r="F225" s="79" t="str">
        <x:v>1</x:v>
      </x:c>
      <x:c r="G225" s="79" t="str">
        <x:v>Off/On</x:v>
      </x:c>
      <x:c r="H225" s="79" t="str">
        <x:v>7E2</x:v>
      </x:c>
      <x:c r="I225" s="79" t="str">
        <x:v>PRIUS_PHV_GEN1 / ZVW35</x:v>
      </x:c>
      <x:c r="J225" s="79" t="str">
        <x:v>PiP Adv (US).csv</x:v>
      </x:c>
      <x:c r="K225" s="79" t="str">
        <x:v>2013-01-22</x:v>
      </x:c>
      <x:c r="L225" s="79" t="str">
        <x:v>READ-ONLY DIAGNOSTIC CANDIDATE</x:v>
      </x:c>
      <x:c r="M225" s="79" t="str">
        <x:v>CANDIDATE</x:v>
      </x:c>
      <x:c r="N225" s="80" t="str">
        <x:v>Advanced PHV source; never merge unchanged into ordinary Gen 3</x:v>
      </x:c>
    </x:row>
    <x:row r="226">
      <x:c r="A226" s="78" t="str">
        <x:v>VL-Voltage before Boosting</x:v>
      </x:c>
      <x:c r="B226" s="79" t="str">
        <x:v>VLB</x:v>
      </x:c>
      <x:c r="C226" s="79" t="str">
        <x:v>2174</x:v>
      </x:c>
      <x:c r="D226" s="79" t="str">
        <x:v>(F * 256 + G) / 2</x:v>
      </x:c>
      <x:c r="E226" s="79" t="str">
        <x:v>168</x:v>
      </x:c>
      <x:c r="F226" s="79" t="str">
        <x:v>235</x:v>
      </x:c>
      <x:c r="G226" s="79" t="str">
        <x:v>V</x:v>
      </x:c>
      <x:c r="H226" s="79" t="str">
        <x:v>7E2</x:v>
      </x:c>
      <x:c r="I226" s="79" t="str">
        <x:v>PRIUS_PHV_GEN1 / ZVW35</x:v>
      </x:c>
      <x:c r="J226" s="79" t="str">
        <x:v>PiP Adv (US).csv</x:v>
      </x:c>
      <x:c r="K226" s="79" t="str">
        <x:v>2013-01-22</x:v>
      </x:c>
      <x:c r="L226" s="79" t="str">
        <x:v>READ-ONLY DIAGNOSTIC CANDIDATE</x:v>
      </x:c>
      <x:c r="M226" s="79" t="str">
        <x:v>CANDIDATE</x:v>
      </x:c>
      <x:c r="N226" s="80" t="str">
        <x:v>Advanced PHV source; never merge unchanged into ordinary Gen 3</x:v>
      </x:c>
    </x:row>
    <x:row r="227">
      <x:c r="A227" s="78" t="str">
        <x:v>VH-Voltage after Boosting</x:v>
      </x:c>
      <x:c r="B227" s="79" t="str">
        <x:v>VHB</x:v>
      </x:c>
      <x:c r="C227" s="79" t="str">
        <x:v>2174</x:v>
      </x:c>
      <x:c r="D227" s="79" t="str">
        <x:v>(H * 256 + I) / 2</x:v>
      </x:c>
      <x:c r="E227" s="79" t="str">
        <x:v>168</x:v>
      </x:c>
      <x:c r="F227" s="79" t="str">
        <x:v>650</x:v>
      </x:c>
      <x:c r="G227" s="79" t="str">
        <x:v>V</x:v>
      </x:c>
      <x:c r="H227" s="79" t="str">
        <x:v>7E2</x:v>
      </x:c>
      <x:c r="I227" s="79" t="str">
        <x:v>PRIUS_PHV_GEN1 / ZVW35</x:v>
      </x:c>
      <x:c r="J227" s="79" t="str">
        <x:v>PiP Adv (US).csv</x:v>
      </x:c>
      <x:c r="K227" s="79" t="str">
        <x:v>2013-01-22</x:v>
      </x:c>
      <x:c r="L227" s="79" t="str">
        <x:v>READ-ONLY DIAGNOSTIC CANDIDATE</x:v>
      </x:c>
      <x:c r="M227" s="79" t="str">
        <x:v>CANDIDATE</x:v>
      </x:c>
      <x:c r="N227" s="80" t="str">
        <x:v>Advanced PHV source; never merge unchanged into ordinary Gen 3</x:v>
      </x:c>
    </x:row>
    <x:row r="228">
      <x:c r="A228" s="78" t="str">
        <x:v>Prohibit DC/DC converter signal</x:v>
      </x:c>
      <x:c r="B228" s="79" t="str">
        <x:v>P DCDC</x:v>
      </x:c>
      <x:c r="C228" s="79" t="str">
        <x:v>2175</x:v>
      </x:c>
      <x:c r="D228" s="79" t="str">
        <x:v>{A:6}</x:v>
      </x:c>
      <x:c r="E228" s="79" t="str">
        <x:v>0</x:v>
      </x:c>
      <x:c r="F228" s="79" t="str">
        <x:v>1</x:v>
      </x:c>
      <x:c r="G228" s="79" t="str">
        <x:v>Off/On</x:v>
      </x:c>
      <x:c r="H228" s="79" t="str">
        <x:v>7E2</x:v>
      </x:c>
      <x:c r="I228" s="79" t="str">
        <x:v>PRIUS_PHV_GEN1 / ZVW35</x:v>
      </x:c>
      <x:c r="J228" s="79" t="str">
        <x:v>PiP Adv (US).csv</x:v>
      </x:c>
      <x:c r="K228" s="79" t="str">
        <x:v>2013-01-22</x:v>
      </x:c>
      <x:c r="L228" s="79" t="str">
        <x:v>READ-ONLY DIAGNOSTIC CANDIDATE</x:v>
      </x:c>
      <x:c r="M228" s="79" t="str">
        <x:v>CANDIDATE</x:v>
      </x:c>
      <x:c r="N228" s="80" t="str">
        <x:v>Advanced PHV source; never merge unchanged into ordinary Gen 3</x:v>
      </x:c>
    </x:row>
    <x:row r="229">
      <x:c r="A229" s="78" t="str">
        <x:v>Aircon Gate Status</x:v>
      </x:c>
      <x:c r="B229" s="79" t="str">
        <x:v>A/C Gate</x:v>
      </x:c>
      <x:c r="C229" s="79" t="str">
        <x:v>2175</x:v>
      </x:c>
      <x:c r="D229" s="79" t="str">
        <x:v>{A:5}</x:v>
      </x:c>
      <x:c r="E229" s="79" t="str">
        <x:v>0</x:v>
      </x:c>
      <x:c r="F229" s="79" t="str">
        <x:v>1</x:v>
      </x:c>
      <x:c r="G229" s="79" t="str">
        <x:v>Off/On</x:v>
      </x:c>
      <x:c r="H229" s="79" t="str">
        <x:v>7E2</x:v>
      </x:c>
      <x:c r="I229" s="79" t="str">
        <x:v>PRIUS_PHV_GEN1 / ZVW35</x:v>
      </x:c>
      <x:c r="J229" s="79" t="str">
        <x:v>PiP Adv (US).csv</x:v>
      </x:c>
      <x:c r="K229" s="79" t="str">
        <x:v>2013-01-22</x:v>
      </x:c>
      <x:c r="L229" s="79" t="str">
        <x:v>READ-ONLY DIAGNOSTIC CANDIDATE</x:v>
      </x:c>
      <x:c r="M229" s="79" t="str">
        <x:v>CANDIDATE</x:v>
      </x:c>
      <x:c r="N229" s="80" t="str">
        <x:v>Advanced PHV source; never merge unchanged into ordinary Gen 3</x:v>
      </x:c>
    </x:row>
    <x:row r="230">
      <x:c r="A230" s="78" t="str">
        <x:v>Water Pump Running</x:v>
      </x:c>
      <x:c r="B230" s="79" t="str">
        <x:v>WP run</x:v>
      </x:c>
      <x:c r="C230" s="79" t="str">
        <x:v>2175</x:v>
      </x:c>
      <x:c r="D230" s="79" t="str">
        <x:v>{A:4}</x:v>
      </x:c>
      <x:c r="E230" s="79" t="str">
        <x:v>0</x:v>
      </x:c>
      <x:c r="F230" s="79" t="str">
        <x:v>1</x:v>
      </x:c>
      <x:c r="G230" s="79" t="str">
        <x:v>Off/On</x:v>
      </x:c>
      <x:c r="H230" s="79" t="str">
        <x:v>7E2</x:v>
      </x:c>
      <x:c r="I230" s="79" t="str">
        <x:v>PRIUS_PHV_GEN1 / ZVW35</x:v>
      </x:c>
      <x:c r="J230" s="79" t="str">
        <x:v>PiP Adv (US).csv</x:v>
      </x:c>
      <x:c r="K230" s="79" t="str">
        <x:v>2013-01-22</x:v>
      </x:c>
      <x:c r="L230" s="79" t="str">
        <x:v>READ-ONLY DIAGNOSTIC CANDIDATE</x:v>
      </x:c>
      <x:c r="M230" s="79" t="str">
        <x:v>CANDIDATE</x:v>
      </x:c>
      <x:c r="N230" s="80" t="str">
        <x:v>Advanced PHV source; never merge unchanged into ordinary Gen 3</x:v>
      </x:c>
    </x:row>
    <x:row r="231">
      <x:c r="A231" s="78" t="str">
        <x:v>Inverter Water Pump Revolution</x:v>
      </x:c>
      <x:c r="B231" s="79" t="str">
        <x:v>Inv WP</x:v>
      </x:c>
      <x:c r="C231" s="79" t="str">
        <x:v>2175</x:v>
      </x:c>
      <x:c r="D231" s="79" t="str">
        <x:v>B * 256 + C</x:v>
      </x:c>
      <x:c r="E231" s="79" t="str">
        <x:v>0</x:v>
      </x:c>
      <x:c r="F231" s="79" t="str">
        <x:v>5000</x:v>
      </x:c>
      <x:c r="G231" s="79" t="str">
        <x:v>RPM</x:v>
      </x:c>
      <x:c r="H231" s="79" t="str">
        <x:v>7E2</x:v>
      </x:c>
      <x:c r="I231" s="79" t="str">
        <x:v>PRIUS_PHV_GEN1 / ZVW35</x:v>
      </x:c>
      <x:c r="J231" s="79" t="str">
        <x:v>PiP Adv (US).csv</x:v>
      </x:c>
      <x:c r="K231" s="79" t="str">
        <x:v>2013-01-22</x:v>
      </x:c>
      <x:c r="L231" s="79" t="str">
        <x:v>READ-ONLY DIAGNOSTIC CANDIDATE</x:v>
      </x:c>
      <x:c r="M231" s="79" t="str">
        <x:v>CANDIDATE</x:v>
      </x:c>
      <x:c r="N231" s="80" t="str">
        <x:v>Advanced PHV source; never merge unchanged into ordinary Gen 3</x:v>
      </x:c>
    </x:row>
    <x:row r="232">
      <x:c r="A232" s="78" t="str">
        <x:v>Inverter Coolant Temp</x:v>
      </x:c>
      <x:c r="B232" s="79" t="str">
        <x:v>Inv Coolant</x:v>
      </x:c>
      <x:c r="C232" s="79" t="str">
        <x:v>2175</x:v>
      </x:c>
      <x:c r="D232" s="79" t="str">
        <x:v>D * 9 / 5 - 40</x:v>
      </x:c>
      <x:c r="E232" s="79" t="str">
        <x:v>59</x:v>
      </x:c>
      <x:c r="F232" s="79" t="str">
        <x:v>302</x:v>
      </x:c>
      <x:c r="G232" s="79" t="str">
        <x:v>F</x:v>
      </x:c>
      <x:c r="H232" s="79" t="str">
        <x:v>7E2</x:v>
      </x:c>
      <x:c r="I232" s="79" t="str">
        <x:v>PRIUS_PHV_GEN1 / ZVW35</x:v>
      </x:c>
      <x:c r="J232" s="79" t="str">
        <x:v>PiP Adv (US).csv</x:v>
      </x:c>
      <x:c r="K232" s="79" t="str">
        <x:v>2013-01-22</x:v>
      </x:c>
      <x:c r="L232" s="79" t="str">
        <x:v>READ-ONLY DIAGNOSTIC CANDIDATE</x:v>
      </x:c>
      <x:c r="M232" s="79" t="str">
        <x:v>CANDIDATE</x:v>
      </x:c>
      <x:c r="N232" s="80" t="str">
        <x:v>Advanced PHV source; never merge unchanged into ordinary Gen 3</x:v>
      </x:c>
    </x:row>
    <x:row r="233">
      <x:c r="A233" s="78" t="str">
        <x:v>MG1 Inverter Shutdown</x:v>
      </x:c>
      <x:c r="B233" s="79" t="str">
        <x:v>Inv1 S/D</x:v>
      </x:c>
      <x:c r="C233" s="79" t="str">
        <x:v>2178 </x:v>
      </x:c>
      <x:c r="D233" s="79" t="str">
        <x:v>{A:7}</x:v>
      </x:c>
      <x:c r="E233" s="79" t="str">
        <x:v>0</x:v>
      </x:c>
      <x:c r="F233" s="79" t="str">
        <x:v>1</x:v>
      </x:c>
      <x:c r="G233" s="79" t="str">
        <x:v>Off/On</x:v>
      </x:c>
      <x:c r="H233" s="79" t="str">
        <x:v>7E2</x:v>
      </x:c>
      <x:c r="I233" s="79" t="str">
        <x:v>PRIUS_PHV_GEN1 / ZVW35</x:v>
      </x:c>
      <x:c r="J233" s="79" t="str">
        <x:v>PiP Adv (US).csv</x:v>
      </x:c>
      <x:c r="K233" s="79" t="str">
        <x:v>2013-01-22</x:v>
      </x:c>
      <x:c r="L233" s="79" t="str">
        <x:v>READ-ONLY DIAGNOSTIC CANDIDATE</x:v>
      </x:c>
      <x:c r="M233" s="79" t="str">
        <x:v>CANDIDATE</x:v>
      </x:c>
      <x:c r="N233" s="80" t="str">
        <x:v>Advanced PHV source; never merge unchanged into ordinary Gen 3</x:v>
      </x:c>
    </x:row>
    <x:row r="234">
      <x:c r="A234" s="78" t="str">
        <x:v>MG1 Inverter Fail</x:v>
      </x:c>
      <x:c r="B234" s="79" t="str">
        <x:v>Inv1 fail</x:v>
      </x:c>
      <x:c r="C234" s="79" t="str">
        <x:v>2178 </x:v>
      </x:c>
      <x:c r="D234" s="79" t="str">
        <x:v>{A:6}</x:v>
      </x:c>
      <x:c r="E234" s="79" t="str">
        <x:v>0</x:v>
      </x:c>
      <x:c r="F234" s="79" t="str">
        <x:v>1</x:v>
      </x:c>
      <x:c r="G234" s="79" t="str">
        <x:v>Off/On</x:v>
      </x:c>
      <x:c r="H234" s="79" t="str">
        <x:v>7E2</x:v>
      </x:c>
      <x:c r="I234" s="79" t="str">
        <x:v>PRIUS_PHV_GEN1 / ZVW35</x:v>
      </x:c>
      <x:c r="J234" s="79" t="str">
        <x:v>PiP Adv (US).csv</x:v>
      </x:c>
      <x:c r="K234" s="79" t="str">
        <x:v>2013-01-22</x:v>
      </x:c>
      <x:c r="L234" s="79" t="str">
        <x:v>READ-ONLY DIAGNOSTIC CANDIDATE</x:v>
      </x:c>
      <x:c r="M234" s="79" t="str">
        <x:v>CANDIDATE</x:v>
      </x:c>
      <x:c r="N234" s="80" t="str">
        <x:v>Advanced PHV source; never merge unchanged into ordinary Gen 3</x:v>
      </x:c>
    </x:row>
    <x:row r="235">
      <x:c r="A235" s="78" t="str">
        <x:v>MG2 Inverter Shutdown</x:v>
      </x:c>
      <x:c r="B235" s="79" t="str">
        <x:v>Inv2 S/D</x:v>
      </x:c>
      <x:c r="C235" s="79" t="str">
        <x:v>2178 </x:v>
      </x:c>
      <x:c r="D235" s="79" t="str">
        <x:v>{B:7}</x:v>
      </x:c>
      <x:c r="E235" s="79" t="str">
        <x:v>0</x:v>
      </x:c>
      <x:c r="F235" s="79" t="str">
        <x:v>1</x:v>
      </x:c>
      <x:c r="G235" s="79" t="str">
        <x:v>Off/On</x:v>
      </x:c>
      <x:c r="H235" s="79" t="str">
        <x:v>7E2</x:v>
      </x:c>
      <x:c r="I235" s="79" t="str">
        <x:v>PRIUS_PHV_GEN1 / ZVW35</x:v>
      </x:c>
      <x:c r="J235" s="79" t="str">
        <x:v>PiP Adv (US).csv</x:v>
      </x:c>
      <x:c r="K235" s="79" t="str">
        <x:v>2013-01-22</x:v>
      </x:c>
      <x:c r="L235" s="79" t="str">
        <x:v>READ-ONLY DIAGNOSTIC CANDIDATE</x:v>
      </x:c>
      <x:c r="M235" s="79" t="str">
        <x:v>CANDIDATE</x:v>
      </x:c>
      <x:c r="N235" s="80" t="str">
        <x:v>Advanced PHV source; never merge unchanged into ordinary Gen 3</x:v>
      </x:c>
    </x:row>
    <x:row r="236">
      <x:c r="A236" s="78" t="str">
        <x:v>MG2 Inverter Fail</x:v>
      </x:c>
      <x:c r="B236" s="79" t="str">
        <x:v>Inv2 fail</x:v>
      </x:c>
      <x:c r="C236" s="79" t="str">
        <x:v>2178 </x:v>
      </x:c>
      <x:c r="D236" s="79" t="str">
        <x:v>{B:6}</x:v>
      </x:c>
      <x:c r="E236" s="79" t="str">
        <x:v>0</x:v>
      </x:c>
      <x:c r="F236" s="79" t="str">
        <x:v>1</x:v>
      </x:c>
      <x:c r="G236" s="79" t="str">
        <x:v>Off/On</x:v>
      </x:c>
      <x:c r="H236" s="79" t="str">
        <x:v>7E2</x:v>
      </x:c>
      <x:c r="I236" s="79" t="str">
        <x:v>PRIUS_PHV_GEN1 / ZVW35</x:v>
      </x:c>
      <x:c r="J236" s="79" t="str">
        <x:v>PiP Adv (US).csv</x:v>
      </x:c>
      <x:c r="K236" s="79" t="str">
        <x:v>2013-01-22</x:v>
      </x:c>
      <x:c r="L236" s="79" t="str">
        <x:v>READ-ONLY DIAGNOSTIC CANDIDATE</x:v>
      </x:c>
      <x:c r="M236" s="79" t="str">
        <x:v>CANDIDATE</x:v>
      </x:c>
      <x:c r="N236" s="80" t="str">
        <x:v>Advanced PHV source; never merge unchanged into ordinary Gen 3</x:v>
      </x:c>
    </x:row>
    <x:row r="237">
      <x:c r="A237" s="78" t="str">
        <x:v>DCDC Cnv Target Pulse Duty</x:v>
      </x:c>
      <x:c r="B237" s="79" t="str">
        <x:v>DCTPD</x:v>
      </x:c>
      <x:c r="C237" s="79" t="str">
        <x:v>2179</x:v>
      </x:c>
      <x:c r="D237" s="79" t="str">
        <x:v>(A * 256 + B) * 399.9 / 65535</x:v>
      </x:c>
      <x:c r="E237" s="79" t="str">
        <x:v>0</x:v>
      </x:c>
      <x:c r="F237" s="79" t="str">
        <x:v>100</x:v>
      </x:c>
      <x:c r="G237" s="79" t="str">
        <x:v>%</x:v>
      </x:c>
      <x:c r="H237" s="79" t="str">
        <x:v>7E2</x:v>
      </x:c>
      <x:c r="I237" s="79" t="str">
        <x:v>PRIUS_PHV_GEN1 / ZVW35</x:v>
      </x:c>
      <x:c r="J237" s="79" t="str">
        <x:v>PiP Adv (US).csv</x:v>
      </x:c>
      <x:c r="K237" s="79" t="str">
        <x:v>2013-01-22</x:v>
      </x:c>
      <x:c r="L237" s="79" t="str">
        <x:v>READ-ONLY DIAGNOSTIC CANDIDATE</x:v>
      </x:c>
      <x:c r="M237" s="79" t="str">
        <x:v>CANDIDATE</x:v>
      </x:c>
      <x:c r="N237" s="80" t="str">
        <x:v>Advanced PHV source; never merge unchanged into ordinary Gen 3</x:v>
      </x:c>
    </x:row>
    <x:row r="238">
      <x:c r="A238" s="78" t="str">
        <x:v>Water Pump Run Control Duty</x:v>
      </x:c>
      <x:c r="B238" s="79" t="str">
        <x:v>WP Duty</x:v>
      </x:c>
      <x:c r="C238" s="79" t="str">
        <x:v>2179</x:v>
      </x:c>
      <x:c r="D238" s="79" t="str">
        <x:v>C * 6.25</x:v>
      </x:c>
      <x:c r="E238" s="79" t="str">
        <x:v>0</x:v>
      </x:c>
      <x:c r="F238" s="79" t="str">
        <x:v>100</x:v>
      </x:c>
      <x:c r="G238" s="79" t="str">
        <x:v>%</x:v>
      </x:c>
      <x:c r="H238" s="79" t="str">
        <x:v>7E2</x:v>
      </x:c>
      <x:c r="I238" s="79" t="str">
        <x:v>PRIUS_PHV_GEN1 / ZVW35</x:v>
      </x:c>
      <x:c r="J238" s="79" t="str">
        <x:v>PiP Adv (US).csv</x:v>
      </x:c>
      <x:c r="K238" s="79" t="str">
        <x:v>2013-01-22</x:v>
      </x:c>
      <x:c r="L238" s="79" t="str">
        <x:v>READ-ONLY DIAGNOSTIC CANDIDATE</x:v>
      </x:c>
      <x:c r="M238" s="79" t="str">
        <x:v>CANDIDATE</x:v>
      </x:c>
      <x:c r="N238" s="80" t="str">
        <x:v>Advanced PHV source; never merge unchanged into ordinary Gen 3</x:v>
      </x:c>
    </x:row>
    <x:row r="239">
      <x:c r="A239" s="78" t="str">
        <x:v>Converter Shutdown</x:v>
      </x:c>
      <x:c r="B239" s="79" t="str">
        <x:v>Cnv S/D</x:v>
      </x:c>
      <x:c r="C239" s="79" t="str">
        <x:v>2179</x:v>
      </x:c>
      <x:c r="D239" s="79" t="str">
        <x:v>{D:7}</x:v>
      </x:c>
      <x:c r="E239" s="79" t="str">
        <x:v>0</x:v>
      </x:c>
      <x:c r="F239" s="79" t="str">
        <x:v>1</x:v>
      </x:c>
      <x:c r="G239" s="79" t="str">
        <x:v>Off/On</x:v>
      </x:c>
      <x:c r="H239" s="79" t="str">
        <x:v>7E2</x:v>
      </x:c>
      <x:c r="I239" s="79" t="str">
        <x:v>PRIUS_PHV_GEN1 / ZVW35</x:v>
      </x:c>
      <x:c r="J239" s="79" t="str">
        <x:v>PiP Adv (US).csv</x:v>
      </x:c>
      <x:c r="K239" s="79" t="str">
        <x:v>2013-01-22</x:v>
      </x:c>
      <x:c r="L239" s="79" t="str">
        <x:v>READ-ONLY DIAGNOSTIC CANDIDATE</x:v>
      </x:c>
      <x:c r="M239" s="79" t="str">
        <x:v>CANDIDATE</x:v>
      </x:c>
      <x:c r="N239" s="80" t="str">
        <x:v>Advanced PHV source; never merge unchanged into ordinary Gen 3</x:v>
      </x:c>
    </x:row>
    <x:row r="240">
      <x:c r="A240" s="78" t="str">
        <x:v>Converter Fail</x:v>
      </x:c>
      <x:c r="B240" s="79" t="str">
        <x:v>Cnv fail</x:v>
      </x:c>
      <x:c r="C240" s="79" t="str">
        <x:v>2179</x:v>
      </x:c>
      <x:c r="D240" s="79" t="str">
        <x:v>{D:6}</x:v>
      </x:c>
      <x:c r="E240" s="79" t="str">
        <x:v>0</x:v>
      </x:c>
      <x:c r="F240" s="79" t="str">
        <x:v>1</x:v>
      </x:c>
      <x:c r="G240" s="79" t="str">
        <x:v>Off/On</x:v>
      </x:c>
      <x:c r="H240" s="79" t="str">
        <x:v>7E2</x:v>
      </x:c>
      <x:c r="I240" s="79" t="str">
        <x:v>PRIUS_PHV_GEN1 / ZVW35</x:v>
      </x:c>
      <x:c r="J240" s="79" t="str">
        <x:v>PiP Adv (US).csv</x:v>
      </x:c>
      <x:c r="K240" s="79" t="str">
        <x:v>2013-01-22</x:v>
      </x:c>
      <x:c r="L240" s="79" t="str">
        <x:v>READ-ONLY DIAGNOSTIC CANDIDATE</x:v>
      </x:c>
      <x:c r="M240" s="79" t="str">
        <x:v>CANDIDATE</x:v>
      </x:c>
      <x:c r="N240" s="80" t="str">
        <x:v>Advanced PHV source; never merge unchanged into ordinary Gen 3</x:v>
      </x:c>
    </x:row>
    <x:row r="241">
      <x:c r="A241" s="78" t="str">
        <x:v>MG1 Carrier Frequency</x:v>
      </x:c>
      <x:c r="B241" s="79" t="str">
        <x:v>MG1 CF</x:v>
      </x:c>
      <x:c r="C241" s="79" t="str">
        <x:v>217C</x:v>
      </x:c>
      <x:c r="D241" s="79" t="str">
        <x:v>A / 20</x:v>
      </x:c>
      <x:c r="E241" s="79" t="str">
        <x:v>0.75</x:v>
      </x:c>
      <x:c r="F241" s="79" t="str">
        <x:v>10</x:v>
      </x:c>
      <x:c r="G241" s="79" t="str">
        <x:v>kHz</x:v>
      </x:c>
      <x:c r="H241" s="79" t="str">
        <x:v>7E2</x:v>
      </x:c>
      <x:c r="I241" s="79" t="str">
        <x:v>PRIUS_PHV_GEN1 / ZVW35</x:v>
      </x:c>
      <x:c r="J241" s="79" t="str">
        <x:v>PiP Adv (US).csv</x:v>
      </x:c>
      <x:c r="K241" s="79" t="str">
        <x:v>2013-01-22</x:v>
      </x:c>
      <x:c r="L241" s="79" t="str">
        <x:v>READ-ONLY DIAGNOSTIC CANDIDATE</x:v>
      </x:c>
      <x:c r="M241" s="79" t="str">
        <x:v>CANDIDATE</x:v>
      </x:c>
      <x:c r="N241" s="80" t="str">
        <x:v>Advanced PHV source; never merge unchanged into ordinary Gen 3</x:v>
      </x:c>
    </x:row>
    <x:row r="242">
      <x:c r="A242" s="78" t="str">
        <x:v>MG2 Carrier Frequency</x:v>
      </x:c>
      <x:c r="B242" s="79" t="str">
        <x:v>MG2 CF</x:v>
      </x:c>
      <x:c r="C242" s="79" t="str">
        <x:v>217C</x:v>
      </x:c>
      <x:c r="D242" s="79" t="str">
        <x:v>B / 20</x:v>
      </x:c>
      <x:c r="E242" s="79" t="str">
        <x:v>0.75</x:v>
      </x:c>
      <x:c r="F242" s="79" t="str">
        <x:v>10</x:v>
      </x:c>
      <x:c r="G242" s="79" t="str">
        <x:v>kHz</x:v>
      </x:c>
      <x:c r="H242" s="79" t="str">
        <x:v>7E2</x:v>
      </x:c>
      <x:c r="I242" s="79" t="str">
        <x:v>PRIUS_PHV_GEN1 / ZVW35</x:v>
      </x:c>
      <x:c r="J242" s="79" t="str">
        <x:v>PiP Adv (US).csv</x:v>
      </x:c>
      <x:c r="K242" s="79" t="str">
        <x:v>2013-01-22</x:v>
      </x:c>
      <x:c r="L242" s="79" t="str">
        <x:v>READ-ONLY DIAGNOSTIC CANDIDATE</x:v>
      </x:c>
      <x:c r="M242" s="79" t="str">
        <x:v>CANDIDATE</x:v>
      </x:c>
      <x:c r="N242" s="80" t="str">
        <x:v>Advanced PHV source; never merge unchanged into ordinary Gen 3</x:v>
      </x:c>
    </x:row>
    <x:row r="243">
      <x:c r="A243" s="78" t="str">
        <x:v>Boost Ratio</x:v>
      </x:c>
      <x:c r="B243" s="79" t="str">
        <x:v>B Ratio</x:v>
      </x:c>
      <x:c r="C243" s="79" t="str">
        <x:v>217D</x:v>
      </x:c>
      <x:c r="D243" s="79" t="str">
        <x:v>A / 2</x:v>
      </x:c>
      <x:c r="E243" s="79" t="str">
        <x:v>0</x:v>
      </x:c>
      <x:c r="F243" s="79" t="str">
        <x:v>100</x:v>
      </x:c>
      <x:c r="G243" s="79" t="str">
        <x:v>%</x:v>
      </x:c>
      <x:c r="H243" s="79" t="str">
        <x:v>7E2</x:v>
      </x:c>
      <x:c r="I243" s="79" t="str">
        <x:v>PRIUS_PHV_GEN1 / ZVW35</x:v>
      </x:c>
      <x:c r="J243" s="79" t="str">
        <x:v>PiP Adv (US).csv</x:v>
      </x:c>
      <x:c r="K243" s="79" t="str">
        <x:v>2013-01-22</x:v>
      </x:c>
      <x:c r="L243" s="79" t="str">
        <x:v>READ-ONLY DIAGNOSTIC CANDIDATE</x:v>
      </x:c>
      <x:c r="M243" s="79" t="str">
        <x:v>CANDIDATE</x:v>
      </x:c>
      <x:c r="N243" s="80" t="str">
        <x:v>Advanced PHV source; never merge unchanged into ordinary Gen 3</x:v>
      </x:c>
    </x:row>
    <x:row r="244">
      <x:c r="A244" s="78" t="str">
        <x:v>Converter Carrier Frequency (9.55kHz=0,9.13kHz=1,8.71kHz=2,8.29kHz=3,7.87kHz=4,7.45kHz=5,4.8kHz=6)</x:v>
      </x:c>
      <x:c r="B244" s="79" t="str">
        <x:v>Cnv CF</x:v>
      </x:c>
      <x:c r="C244" s="79" t="str">
        <x:v>217D</x:v>
      </x:c>
      <x:c r="D244" s="79" t="str">
        <x:v>B</x:v>
      </x:c>
      <x:c r="E244" s="79" t="str">
        <x:v>0</x:v>
      </x:c>
      <x:c r="F244" s="79" t="str">
        <x:v>6</x:v>
      </x:c>
      <x:c r="G244" s="79" t="str"/>
      <x:c r="H244" s="79" t="str">
        <x:v>7E2</x:v>
      </x:c>
      <x:c r="I244" s="79" t="str">
        <x:v>PRIUS_PHV_GEN1 / ZVW35</x:v>
      </x:c>
      <x:c r="J244" s="79" t="str">
        <x:v>PiP Adv (US).csv</x:v>
      </x:c>
      <x:c r="K244" s="79" t="str">
        <x:v>2013-01-22</x:v>
      </x:c>
      <x:c r="L244" s="79" t="str">
        <x:v>READ-ONLY DIAGNOSTIC CANDIDATE</x:v>
      </x:c>
      <x:c r="M244" s="79" t="str">
        <x:v>CANDIDATE</x:v>
      </x:c>
      <x:c r="N244" s="80" t="str">
        <x:v>Advanced PHV source; never merge unchanged into ordinary Gen 3</x:v>
      </x:c>
    </x:row>
    <x:row r="245">
      <x:c r="A245" s="78" t="str">
        <x:v>A/C consumption power</x:v>
      </x:c>
      <x:c r="B245" s="79" t="str">
        <x:v>A/C pwr</x:v>
      </x:c>
      <x:c r="C245" s="79" t="str">
        <x:v>217D</x:v>
      </x:c>
      <x:c r="D245" s="79" t="str">
        <x:v>C * 50 * 0.001341022089595</x:v>
      </x:c>
      <x:c r="E245" s="79" t="str">
        <x:v>0</x:v>
      </x:c>
      <x:c r="F245" s="79" t="str">
        <x:v>17.098</x:v>
      </x:c>
      <x:c r="G245" s="79" t="str">
        <x:v>HP</x:v>
      </x:c>
      <x:c r="H245" s="79" t="str">
        <x:v>7E2</x:v>
      </x:c>
      <x:c r="I245" s="79" t="str">
        <x:v>PRIUS_PHV_GEN1 / ZVW35</x:v>
      </x:c>
      <x:c r="J245" s="79" t="str">
        <x:v>PiP Adv (US).csv</x:v>
      </x:c>
      <x:c r="K245" s="79" t="str">
        <x:v>2013-01-22</x:v>
      </x:c>
      <x:c r="L245" s="79" t="str">
        <x:v>READ-ONLY DIAGNOSTIC CANDIDATE</x:v>
      </x:c>
      <x:c r="M245" s="79" t="str">
        <x:v>CANDIDATE</x:v>
      </x:c>
      <x:c r="N245" s="80" t="str">
        <x:v>Advanced PHV source; never merge unchanged into ordinary Gen 3</x:v>
      </x:c>
    </x:row>
    <x:row r="246">
      <x:c r="A246" s="78" t="str">
        <x:v>Battery Block Voltage -V01</x:v>
      </x:c>
      <x:c r="B246" s="79" t="str">
        <x:v>V01</x:v>
      </x:c>
      <x:c r="C246" s="79" t="str">
        <x:v>2181</x:v>
      </x:c>
      <x:c r="D246" s="79" t="str">
        <x:v>(A * 256 + B) * 79.99 / 65535</x:v>
      </x:c>
      <x:c r="E246" s="79" t="str">
        <x:v>21</x:v>
      </x:c>
      <x:c r="F246" s="79" t="str">
        <x:v>30</x:v>
      </x:c>
      <x:c r="G246" s="79" t="str">
        <x:v>V</x:v>
      </x:c>
      <x:c r="H246" s="79" t="str">
        <x:v>7E2</x:v>
      </x:c>
      <x:c r="I246" s="79" t="str">
        <x:v>PRIUS_PHV_GEN1 / ZVW35</x:v>
      </x:c>
      <x:c r="J246" s="79" t="str">
        <x:v>PiP Adv (US).csv</x:v>
      </x:c>
      <x:c r="K246" s="79" t="str">
        <x:v>2013-01-22</x:v>
      </x:c>
      <x:c r="L246" s="79" t="str">
        <x:v>READ-ONLY DIAGNOSTIC CANDIDATE</x:v>
      </x:c>
      <x:c r="M246" s="79" t="str">
        <x:v>CANDIDATE</x:v>
      </x:c>
      <x:c r="N246" s="80" t="str">
        <x:v>Advanced PHV source; never merge unchanged into ordinary Gen 3</x:v>
      </x:c>
    </x:row>
    <x:row r="247">
      <x:c r="A247" s="78" t="str">
        <x:v>Battery Block Voltage -V02</x:v>
      </x:c>
      <x:c r="B247" s="79" t="str">
        <x:v>V02</x:v>
      </x:c>
      <x:c r="C247" s="79" t="str">
        <x:v>2181</x:v>
      </x:c>
      <x:c r="D247" s="79" t="str">
        <x:v>(C * 256 + D) * 79.99 / 65535</x:v>
      </x:c>
      <x:c r="E247" s="79" t="str">
        <x:v>21</x:v>
      </x:c>
      <x:c r="F247" s="79" t="str">
        <x:v>30</x:v>
      </x:c>
      <x:c r="G247" s="79" t="str">
        <x:v>V</x:v>
      </x:c>
      <x:c r="H247" s="79" t="str">
        <x:v>7E2</x:v>
      </x:c>
      <x:c r="I247" s="79" t="str">
        <x:v>PRIUS_PHV_GEN1 / ZVW35</x:v>
      </x:c>
      <x:c r="J247" s="79" t="str">
        <x:v>PiP Adv (US).csv</x:v>
      </x:c>
      <x:c r="K247" s="79" t="str">
        <x:v>2013-01-22</x:v>
      </x:c>
      <x:c r="L247" s="79" t="str">
        <x:v>READ-ONLY DIAGNOSTIC CANDIDATE</x:v>
      </x:c>
      <x:c r="M247" s="79" t="str">
        <x:v>CANDIDATE</x:v>
      </x:c>
      <x:c r="N247" s="80" t="str">
        <x:v>Advanced PHV source; never merge unchanged into ordinary Gen 3</x:v>
      </x:c>
    </x:row>
    <x:row r="248">
      <x:c r="A248" s="78" t="str">
        <x:v>Battery Block Voltage -V03</x:v>
      </x:c>
      <x:c r="B248" s="79" t="str">
        <x:v>V03</x:v>
      </x:c>
      <x:c r="C248" s="79" t="str">
        <x:v>2181</x:v>
      </x:c>
      <x:c r="D248" s="79" t="str">
        <x:v>(E * 256 + F) * 79.99 / 65535</x:v>
      </x:c>
      <x:c r="E248" s="79" t="str">
        <x:v>21</x:v>
      </x:c>
      <x:c r="F248" s="79" t="str">
        <x:v>30</x:v>
      </x:c>
      <x:c r="G248" s="79" t="str">
        <x:v>V</x:v>
      </x:c>
      <x:c r="H248" s="79" t="str">
        <x:v>7E2</x:v>
      </x:c>
      <x:c r="I248" s="79" t="str">
        <x:v>PRIUS_PHV_GEN1 / ZVW35</x:v>
      </x:c>
      <x:c r="J248" s="79" t="str">
        <x:v>PiP Adv (US).csv</x:v>
      </x:c>
      <x:c r="K248" s="79" t="str">
        <x:v>2013-01-22</x:v>
      </x:c>
      <x:c r="L248" s="79" t="str">
        <x:v>READ-ONLY DIAGNOSTIC CANDIDATE</x:v>
      </x:c>
      <x:c r="M248" s="79" t="str">
        <x:v>CANDIDATE</x:v>
      </x:c>
      <x:c r="N248" s="80" t="str">
        <x:v>Advanced PHV source; never merge unchanged into ordinary Gen 3</x:v>
      </x:c>
    </x:row>
    <x:row r="249">
      <x:c r="A249" s="78" t="str">
        <x:v>Battery Block Voltage -V04</x:v>
      </x:c>
      <x:c r="B249" s="79" t="str">
        <x:v>V04</x:v>
      </x:c>
      <x:c r="C249" s="79" t="str">
        <x:v>2181</x:v>
      </x:c>
      <x:c r="D249" s="79" t="str">
        <x:v>(G * 256 + H) * 79.99 / 65535</x:v>
      </x:c>
      <x:c r="E249" s="79" t="str">
        <x:v>21</x:v>
      </x:c>
      <x:c r="F249" s="79" t="str">
        <x:v>30</x:v>
      </x:c>
      <x:c r="G249" s="79" t="str">
        <x:v>V</x:v>
      </x:c>
      <x:c r="H249" s="79" t="str">
        <x:v>7E2</x:v>
      </x:c>
      <x:c r="I249" s="79" t="str">
        <x:v>PRIUS_PHV_GEN1 / ZVW35</x:v>
      </x:c>
      <x:c r="J249" s="79" t="str">
        <x:v>PiP Adv (US).csv</x:v>
      </x:c>
      <x:c r="K249" s="79" t="str">
        <x:v>2013-01-22</x:v>
      </x:c>
      <x:c r="L249" s="79" t="str">
        <x:v>READ-ONLY DIAGNOSTIC CANDIDATE</x:v>
      </x:c>
      <x:c r="M249" s="79" t="str">
        <x:v>CANDIDATE</x:v>
      </x:c>
      <x:c r="N249" s="80" t="str">
        <x:v>Advanced PHV source; never merge unchanged into ordinary Gen 3</x:v>
      </x:c>
    </x:row>
    <x:row r="250">
      <x:c r="A250" s="78" t="str">
        <x:v>Battery Block Voltage -V05</x:v>
      </x:c>
      <x:c r="B250" s="79" t="str">
        <x:v>V05</x:v>
      </x:c>
      <x:c r="C250" s="79" t="str">
        <x:v>2181</x:v>
      </x:c>
      <x:c r="D250" s="79" t="str">
        <x:v>(I * 256 + J) * 79.99 / 65535</x:v>
      </x:c>
      <x:c r="E250" s="79" t="str">
        <x:v>21</x:v>
      </x:c>
      <x:c r="F250" s="79" t="str">
        <x:v>30</x:v>
      </x:c>
      <x:c r="G250" s="79" t="str">
        <x:v>V</x:v>
      </x:c>
      <x:c r="H250" s="79" t="str">
        <x:v>7E2</x:v>
      </x:c>
      <x:c r="I250" s="79" t="str">
        <x:v>PRIUS_PHV_GEN1 / ZVW35</x:v>
      </x:c>
      <x:c r="J250" s="79" t="str">
        <x:v>PiP Adv (US).csv</x:v>
      </x:c>
      <x:c r="K250" s="79" t="str">
        <x:v>2013-01-22</x:v>
      </x:c>
      <x:c r="L250" s="79" t="str">
        <x:v>READ-ONLY DIAGNOSTIC CANDIDATE</x:v>
      </x:c>
      <x:c r="M250" s="79" t="str">
        <x:v>CANDIDATE</x:v>
      </x:c>
      <x:c r="N250" s="80" t="str">
        <x:v>Advanced PHV source; never merge unchanged into ordinary Gen 3</x:v>
      </x:c>
    </x:row>
    <x:row r="251">
      <x:c r="A251" s="78" t="str">
        <x:v>Battery Block Voltage -V06</x:v>
      </x:c>
      <x:c r="B251" s="79" t="str">
        <x:v>V06</x:v>
      </x:c>
      <x:c r="C251" s="79" t="str">
        <x:v>2181</x:v>
      </x:c>
      <x:c r="D251" s="79" t="str">
        <x:v>(K * 256 + L) * 79.99 / 65535</x:v>
      </x:c>
      <x:c r="E251" s="79" t="str">
        <x:v>21</x:v>
      </x:c>
      <x:c r="F251" s="79" t="str">
        <x:v>30</x:v>
      </x:c>
      <x:c r="G251" s="79" t="str">
        <x:v>V</x:v>
      </x:c>
      <x:c r="H251" s="79" t="str">
        <x:v>7E2</x:v>
      </x:c>
      <x:c r="I251" s="79" t="str">
        <x:v>PRIUS_PHV_GEN1 / ZVW35</x:v>
      </x:c>
      <x:c r="J251" s="79" t="str">
        <x:v>PiP Adv (US).csv</x:v>
      </x:c>
      <x:c r="K251" s="79" t="str">
        <x:v>2013-01-22</x:v>
      </x:c>
      <x:c r="L251" s="79" t="str">
        <x:v>READ-ONLY DIAGNOSTIC CANDIDATE</x:v>
      </x:c>
      <x:c r="M251" s="79" t="str">
        <x:v>CANDIDATE</x:v>
      </x:c>
      <x:c r="N251" s="80" t="str">
        <x:v>Advanced PHV source; never merge unchanged into ordinary Gen 3</x:v>
      </x:c>
    </x:row>
    <x:row r="252">
      <x:c r="A252" s="78" t="str">
        <x:v>Battery Block Voltage -V07</x:v>
      </x:c>
      <x:c r="B252" s="79" t="str">
        <x:v>V07</x:v>
      </x:c>
      <x:c r="C252" s="79" t="str">
        <x:v>2181</x:v>
      </x:c>
      <x:c r="D252" s="79" t="str">
        <x:v>(M * 256 + N) * 79.99 / 65535</x:v>
      </x:c>
      <x:c r="E252" s="79" t="str">
        <x:v>21</x:v>
      </x:c>
      <x:c r="F252" s="79" t="str">
        <x:v>30</x:v>
      </x:c>
      <x:c r="G252" s="79" t="str">
        <x:v>V</x:v>
      </x:c>
      <x:c r="H252" s="79" t="str">
        <x:v>7E2</x:v>
      </x:c>
      <x:c r="I252" s="79" t="str">
        <x:v>PRIUS_PHV_GEN1 / ZVW35</x:v>
      </x:c>
      <x:c r="J252" s="79" t="str">
        <x:v>PiP Adv (US).csv</x:v>
      </x:c>
      <x:c r="K252" s="79" t="str">
        <x:v>2013-01-22</x:v>
      </x:c>
      <x:c r="L252" s="79" t="str">
        <x:v>READ-ONLY DIAGNOSTIC CANDIDATE</x:v>
      </x:c>
      <x:c r="M252" s="79" t="str">
        <x:v>CANDIDATE</x:v>
      </x:c>
      <x:c r="N252" s="80" t="str">
        <x:v>Advanced PHV source; never merge unchanged into ordinary Gen 3</x:v>
      </x:c>
    </x:row>
    <x:row r="253">
      <x:c r="A253" s="78" t="str">
        <x:v>Battery Block Voltage -V08</x:v>
      </x:c>
      <x:c r="B253" s="79" t="str">
        <x:v>V08</x:v>
      </x:c>
      <x:c r="C253" s="79" t="str">
        <x:v>2181</x:v>
      </x:c>
      <x:c r="D253" s="79" t="str">
        <x:v>(O * 256 + P) * 79.99 / 65535</x:v>
      </x:c>
      <x:c r="E253" s="79" t="str">
        <x:v>21</x:v>
      </x:c>
      <x:c r="F253" s="79" t="str">
        <x:v>30</x:v>
      </x:c>
      <x:c r="G253" s="79" t="str">
        <x:v>V</x:v>
      </x:c>
      <x:c r="H253" s="79" t="str">
        <x:v>7E2</x:v>
      </x:c>
      <x:c r="I253" s="79" t="str">
        <x:v>PRIUS_PHV_GEN1 / ZVW35</x:v>
      </x:c>
      <x:c r="J253" s="79" t="str">
        <x:v>PiP Adv (US).csv</x:v>
      </x:c>
      <x:c r="K253" s="79" t="str">
        <x:v>2013-01-22</x:v>
      </x:c>
      <x:c r="L253" s="79" t="str">
        <x:v>READ-ONLY DIAGNOSTIC CANDIDATE</x:v>
      </x:c>
      <x:c r="M253" s="79" t="str">
        <x:v>CANDIDATE</x:v>
      </x:c>
      <x:c r="N253" s="80" t="str">
        <x:v>Advanced PHV source; never merge unchanged into ordinary Gen 3</x:v>
      </x:c>
    </x:row>
    <x:row r="254">
      <x:c r="A254" s="78" t="str">
        <x:v>Auxiliary Battery Voltage</x:v>
      </x:c>
      <x:c r="B254" s="79" t="str">
        <x:v>Aux Bty</x:v>
      </x:c>
      <x:c r="C254" s="79" t="str">
        <x:v>2181</x:v>
      </x:c>
      <x:c r="D254" s="79" t="str">
        <x:v>(Q * 256 + R) * 79.9 / 65535 - 40</x:v>
      </x:c>
      <x:c r="E254" s="79" t="str">
        <x:v>0</x:v>
      </x:c>
      <x:c r="F254" s="79" t="str">
        <x:v>16</x:v>
      </x:c>
      <x:c r="G254" s="79" t="str">
        <x:v>V</x:v>
      </x:c>
      <x:c r="H254" s="79" t="str">
        <x:v>7E2</x:v>
      </x:c>
      <x:c r="I254" s="79" t="str">
        <x:v>PRIUS_PHV_GEN1 / ZVW35</x:v>
      </x:c>
      <x:c r="J254" s="79" t="str">
        <x:v>PiP Adv (US).csv</x:v>
      </x:c>
      <x:c r="K254" s="79" t="str">
        <x:v>2013-01-22</x:v>
      </x:c>
      <x:c r="L254" s="79" t="str">
        <x:v>READ-ONLY DIAGNOSTIC CANDIDATE</x:v>
      </x:c>
      <x:c r="M254" s="79" t="str">
        <x:v>CANDIDATE</x:v>
      </x:c>
      <x:c r="N254" s="80" t="str">
        <x:v>Advanced PHV source; never merge unchanged into ordinary Gen 3</x:v>
      </x:c>
    </x:row>
    <x:row r="255">
      <x:c r="A255" s="78" t="str">
        <x:v>Power Resource VB</x:v>
      </x:c>
      <x:c r="B255" s="79" t="str">
        <x:v>VB</x:v>
      </x:c>
      <x:c r="C255" s="79" t="str">
        <x:v>2181</x:v>
      </x:c>
      <x:c r="D255" s="79" t="str">
        <x:v>(S * 256 + T) / 10</x:v>
      </x:c>
      <x:c r="E255" s="79" t="str">
        <x:v>168</x:v>
      </x:c>
      <x:c r="F255" s="79" t="str">
        <x:v>235</x:v>
      </x:c>
      <x:c r="G255" s="79" t="str">
        <x:v>V</x:v>
      </x:c>
      <x:c r="H255" s="79" t="str">
        <x:v>7E2</x:v>
      </x:c>
      <x:c r="I255" s="79" t="str">
        <x:v>PRIUS_PHV_GEN1 / ZVW35</x:v>
      </x:c>
      <x:c r="J255" s="79" t="str">
        <x:v>PiP Adv (US).csv</x:v>
      </x:c>
      <x:c r="K255" s="79" t="str">
        <x:v>2013-01-22</x:v>
      </x:c>
      <x:c r="L255" s="79" t="str">
        <x:v>READ-ONLY DIAGNOSTIC CANDIDATE</x:v>
      </x:c>
      <x:c r="M255" s="79" t="str">
        <x:v>CANDIDATE</x:v>
      </x:c>
      <x:c r="N255" s="80" t="str">
        <x:v>Advanced PHV source; never merge unchanged into ordinary Gen 3</x:v>
      </x:c>
    </x:row>
    <x:row r="256">
      <x:c r="A256" s="78" t="str">
        <x:v>VMF Fan Motor Voltage1</x:v>
      </x:c>
      <x:c r="B256" s="79" t="str">
        <x:v>VMF1</x:v>
      </x:c>
      <x:c r="C256" s="79" t="str">
        <x:v>2181</x:v>
      </x:c>
      <x:c r="D256" s="79" t="str">
        <x:v>U / 10</x:v>
      </x:c>
      <x:c r="E256" s="79" t="str">
        <x:v>0</x:v>
      </x:c>
      <x:c r="F256" s="79" t="str">
        <x:v>16</x:v>
      </x:c>
      <x:c r="G256" s="79" t="str">
        <x:v>V</x:v>
      </x:c>
      <x:c r="H256" s="79" t="str">
        <x:v>7E2</x:v>
      </x:c>
      <x:c r="I256" s="79" t="str">
        <x:v>PRIUS_PHV_GEN1 / ZVW35</x:v>
      </x:c>
      <x:c r="J256" s="79" t="str">
        <x:v>PiP Adv (US).csv</x:v>
      </x:c>
      <x:c r="K256" s="79" t="str">
        <x:v>2013-01-22</x:v>
      </x:c>
      <x:c r="L256" s="79" t="str">
        <x:v>READ-ONLY DIAGNOSTIC CANDIDATE</x:v>
      </x:c>
      <x:c r="M256" s="79" t="str">
        <x:v>CANDIDATE</x:v>
      </x:c>
      <x:c r="N256" s="80" t="str">
        <x:v>Advanced PHV source; never merge unchanged into ordinary Gen 3</x:v>
      </x:c>
    </x:row>
    <x:row r="257">
      <x:c r="A257" s="78" t="str">
        <x:v>VMF Fan Motor Voltage2</x:v>
      </x:c>
      <x:c r="B257" s="79" t="str">
        <x:v>VMF2</x:v>
      </x:c>
      <x:c r="C257" s="79" t="str">
        <x:v>2181</x:v>
      </x:c>
      <x:c r="D257" s="79" t="str">
        <x:v>V / 10</x:v>
      </x:c>
      <x:c r="E257" s="79" t="str">
        <x:v>0</x:v>
      </x:c>
      <x:c r="F257" s="79" t="str">
        <x:v>16</x:v>
      </x:c>
      <x:c r="G257" s="79" t="str">
        <x:v>V</x:v>
      </x:c>
      <x:c r="H257" s="79" t="str">
        <x:v>7E2</x:v>
      </x:c>
      <x:c r="I257" s="79" t="str">
        <x:v>PRIUS_PHV_GEN1 / ZVW35</x:v>
      </x:c>
      <x:c r="J257" s="79" t="str">
        <x:v>PiP Adv (US).csv</x:v>
      </x:c>
      <x:c r="K257" s="79" t="str">
        <x:v>2013-01-22</x:v>
      </x:c>
      <x:c r="L257" s="79" t="str">
        <x:v>READ-ONLY DIAGNOSTIC CANDIDATE</x:v>
      </x:c>
      <x:c r="M257" s="79" t="str">
        <x:v>CANDIDATE</x:v>
      </x:c>
      <x:c r="N257" s="80" t="str">
        <x:v>Advanced PHV source; never merge unchanged into ordinary Gen 3</x:v>
      </x:c>
    </x:row>
    <x:row r="258">
      <x:c r="A258" s="78" t="str">
        <x:v>HV battery intake air temperature</x:v>
      </x:c>
      <x:c r="B258" s="79" t="str">
        <x:v>TB Intake</x:v>
      </x:c>
      <x:c r="C258" s="79" t="str">
        <x:v>2187</x:v>
      </x:c>
      <x:c r="D258" s="79" t="str">
        <x:v>(A * 256 + B) * 255.9 / 65535 * 9 / 5 - 58</x:v>
      </x:c>
      <x:c r="E258" s="79" t="str">
        <x:v>-58</x:v>
      </x:c>
      <x:c r="F258" s="79" t="str">
        <x:v>140</x:v>
      </x:c>
      <x:c r="G258" s="79" t="str">
        <x:v>F</x:v>
      </x:c>
      <x:c r="H258" s="79" t="str">
        <x:v>7E2</x:v>
      </x:c>
      <x:c r="I258" s="79" t="str">
        <x:v>PRIUS_PHV_GEN1 / ZVW35</x:v>
      </x:c>
      <x:c r="J258" s="79" t="str">
        <x:v>PiP Adv (US).csv</x:v>
      </x:c>
      <x:c r="K258" s="79" t="str">
        <x:v>2013-01-22</x:v>
      </x:c>
      <x:c r="L258" s="79" t="str">
        <x:v>READ-ONLY DIAGNOSTIC CANDIDATE</x:v>
      </x:c>
      <x:c r="M258" s="79" t="str">
        <x:v>CANDIDATE</x:v>
      </x:c>
      <x:c r="N258" s="80" t="str">
        <x:v>Advanced PHV source; never merge unchanged into ordinary Gen 3</x:v>
      </x:c>
    </x:row>
    <x:row r="259">
      <x:c r="A259" s="78" t="str">
        <x:v>Temp of Batt TB1</x:v>
      </x:c>
      <x:c r="B259" s="79" t="str">
        <x:v>TB 1</x:v>
      </x:c>
      <x:c r="C259" s="79" t="str">
        <x:v>2187</x:v>
      </x:c>
      <x:c r="D259" s="79" t="str">
        <x:v>(C * 256 + D) * 255.9 / 65535 * 9 / 5 - 58</x:v>
      </x:c>
      <x:c r="E259" s="79" t="str">
        <x:v>-58</x:v>
      </x:c>
      <x:c r="F259" s="79" t="str">
        <x:v>140</x:v>
      </x:c>
      <x:c r="G259" s="79" t="str">
        <x:v>F</x:v>
      </x:c>
      <x:c r="H259" s="79" t="str">
        <x:v>7E2</x:v>
      </x:c>
      <x:c r="I259" s="79" t="str">
        <x:v>PRIUS_PHV_GEN1 / ZVW35</x:v>
      </x:c>
      <x:c r="J259" s="79" t="str">
        <x:v>PiP Adv (US).csv</x:v>
      </x:c>
      <x:c r="K259" s="79" t="str">
        <x:v>2013-01-22</x:v>
      </x:c>
      <x:c r="L259" s="79" t="str">
        <x:v>READ-ONLY DIAGNOSTIC CANDIDATE</x:v>
      </x:c>
      <x:c r="M259" s="79" t="str">
        <x:v>CANDIDATE</x:v>
      </x:c>
      <x:c r="N259" s="80" t="str">
        <x:v>Advanced PHV source; never merge unchanged into ordinary Gen 3</x:v>
      </x:c>
    </x:row>
    <x:row r="260">
      <x:c r="A260" s="78" t="str">
        <x:v>Temp of Batt TB2</x:v>
      </x:c>
      <x:c r="B260" s="79" t="str">
        <x:v>TB 2</x:v>
      </x:c>
      <x:c r="C260" s="79" t="str">
        <x:v>2187</x:v>
      </x:c>
      <x:c r="D260" s="79" t="str">
        <x:v>(E * 256 + F) * 255.9 / 65535 * 9 / 5 - 58</x:v>
      </x:c>
      <x:c r="E260" s="79" t="str">
        <x:v>-58</x:v>
      </x:c>
      <x:c r="F260" s="79" t="str">
        <x:v>140</x:v>
      </x:c>
      <x:c r="G260" s="79" t="str">
        <x:v>F</x:v>
      </x:c>
      <x:c r="H260" s="79" t="str">
        <x:v>7E2</x:v>
      </x:c>
      <x:c r="I260" s="79" t="str">
        <x:v>PRIUS_PHV_GEN1 / ZVW35</x:v>
      </x:c>
      <x:c r="J260" s="79" t="str">
        <x:v>PiP Adv (US).csv</x:v>
      </x:c>
      <x:c r="K260" s="79" t="str">
        <x:v>2013-01-22</x:v>
      </x:c>
      <x:c r="L260" s="79" t="str">
        <x:v>READ-ONLY DIAGNOSTIC CANDIDATE</x:v>
      </x:c>
      <x:c r="M260" s="79" t="str">
        <x:v>CANDIDATE</x:v>
      </x:c>
      <x:c r="N260" s="80" t="str">
        <x:v>Advanced PHV source; never merge unchanged into ordinary Gen 3</x:v>
      </x:c>
    </x:row>
    <x:row r="261">
      <x:c r="A261" s="78" t="str">
        <x:v>Temp of Batt TB3</x:v>
      </x:c>
      <x:c r="B261" s="79" t="str">
        <x:v>TB 3</x:v>
      </x:c>
      <x:c r="C261" s="79" t="str">
        <x:v>2187</x:v>
      </x:c>
      <x:c r="D261" s="79" t="str">
        <x:v>(G * 256 + H) * 255.9 / 65535 * 9 / 5 - 58</x:v>
      </x:c>
      <x:c r="E261" s="79" t="str">
        <x:v>-58</x:v>
      </x:c>
      <x:c r="F261" s="79" t="str">
        <x:v>140</x:v>
      </x:c>
      <x:c r="G261" s="79" t="str">
        <x:v>F</x:v>
      </x:c>
      <x:c r="H261" s="79" t="str">
        <x:v>7E2</x:v>
      </x:c>
      <x:c r="I261" s="79" t="str">
        <x:v>PRIUS_PHV_GEN1 / ZVW35</x:v>
      </x:c>
      <x:c r="J261" s="79" t="str">
        <x:v>PiP Adv (US).csv</x:v>
      </x:c>
      <x:c r="K261" s="79" t="str">
        <x:v>2013-01-22</x:v>
      </x:c>
      <x:c r="L261" s="79" t="str">
        <x:v>READ-ONLY DIAGNOSTIC CANDIDATE</x:v>
      </x:c>
      <x:c r="M261" s="79" t="str">
        <x:v>CANDIDATE</x:v>
      </x:c>
      <x:c r="N261" s="80" t="str">
        <x:v>Advanced PHV source; never merge unchanged into ordinary Gen 3</x:v>
      </x:c>
    </x:row>
    <x:row r="262">
      <x:c r="A262" s="78" t="str">
        <x:v>Power Resource IB</x:v>
      </x:c>
      <x:c r="B262" s="79" t="str">
        <x:v>IB</x:v>
      </x:c>
      <x:c r="C262" s="79" t="str">
        <x:v>218A</x:v>
      </x:c>
      <x:c r="D262" s="79" t="str">
        <x:v>(A * 256 + B) / 100 - 327.68</x:v>
      </x:c>
      <x:c r="E262" s="79" t="str">
        <x:v>-200</x:v>
      </x:c>
      <x:c r="F262" s="79" t="str">
        <x:v>200</x:v>
      </x:c>
      <x:c r="G262" s="79" t="str">
        <x:v>Amperes</x:v>
      </x:c>
      <x:c r="H262" s="79" t="str">
        <x:v>7E2</x:v>
      </x:c>
      <x:c r="I262" s="79" t="str">
        <x:v>PRIUS_PHV_GEN1 / ZVW35</x:v>
      </x:c>
      <x:c r="J262" s="79" t="str">
        <x:v>PiP Adv (US).csv</x:v>
      </x:c>
      <x:c r="K262" s="79" t="str">
        <x:v>2013-01-22</x:v>
      </x:c>
      <x:c r="L262" s="79" t="str">
        <x:v>READ-ONLY DIAGNOSTIC CANDIDATE</x:v>
      </x:c>
      <x:c r="M262" s="79" t="str">
        <x:v>CANDIDATE</x:v>
      </x:c>
      <x:c r="N262" s="80" t="str">
        <x:v>Advanced PHV source; never merge unchanged into ordinary Gen 3</x:v>
      </x:c>
    </x:row>
    <x:row r="263">
      <x:c r="A263" s="78" t="str">
        <x:v>Cooling Fan 0</x:v>
      </x:c>
      <x:c r="B263" s="79" t="str">
        <x:v>C Fan 0</x:v>
      </x:c>
      <x:c r="C263" s="79" t="str">
        <x:v>218E</x:v>
      </x:c>
      <x:c r="D263" s="79" t="str">
        <x:v>A / 2</x:v>
      </x:c>
      <x:c r="E263" s="79" t="str">
        <x:v>0</x:v>
      </x:c>
      <x:c r="F263" s="79" t="str">
        <x:v>100</x:v>
      </x:c>
      <x:c r="G263" s="79" t="str">
        <x:v>%</x:v>
      </x:c>
      <x:c r="H263" s="79" t="str">
        <x:v>7E2</x:v>
      </x:c>
      <x:c r="I263" s="79" t="str">
        <x:v>PRIUS_PHV_GEN1 / ZVW35</x:v>
      </x:c>
      <x:c r="J263" s="79" t="str">
        <x:v>PiP Adv (US).csv</x:v>
      </x:c>
      <x:c r="K263" s="79" t="str">
        <x:v>2013-01-22</x:v>
      </x:c>
      <x:c r="L263" s="79" t="str">
        <x:v>READ-ONLY DIAGNOSTIC CANDIDATE</x:v>
      </x:c>
      <x:c r="M263" s="79" t="str">
        <x:v>CANDIDATE</x:v>
      </x:c>
      <x:c r="N263" s="80" t="str">
        <x:v>Advanced PHV source; never merge unchanged into ordinary Gen 3</x:v>
      </x:c>
    </x:row>
    <x:row r="264">
      <x:c r="A264" s="78" t="str">
        <x:v>Cooling Fan Relay Status</x:v>
      </x:c>
      <x:c r="B264" s="79" t="str">
        <x:v>C Fan Rly</x:v>
      </x:c>
      <x:c r="C264" s="79" t="str">
        <x:v>218E</x:v>
      </x:c>
      <x:c r="D264" s="79" t="str">
        <x:v>{B:7}</x:v>
      </x:c>
      <x:c r="E264" s="79" t="str">
        <x:v>0</x:v>
      </x:c>
      <x:c r="F264" s="79" t="str">
        <x:v>1</x:v>
      </x:c>
      <x:c r="G264" s="79" t="str">
        <x:v>Off/On</x:v>
      </x:c>
      <x:c r="H264" s="79" t="str">
        <x:v>7E2</x:v>
      </x:c>
      <x:c r="I264" s="79" t="str">
        <x:v>PRIUS_PHV_GEN1 / ZVW35</x:v>
      </x:c>
      <x:c r="J264" s="79" t="str">
        <x:v>PiP Adv (US).csv</x:v>
      </x:c>
      <x:c r="K264" s="79" t="str">
        <x:v>2013-01-22</x:v>
      </x:c>
      <x:c r="L264" s="79" t="str">
        <x:v>READ-ONLY DIAGNOSTIC CANDIDATE</x:v>
      </x:c>
      <x:c r="M264" s="79" t="str">
        <x:v>CANDIDATE</x:v>
      </x:c>
      <x:c r="N264" s="80" t="str">
        <x:v>Advanced PHV source; never merge unchanged into ordinary Gen 3</x:v>
      </x:c>
    </x:row>
    <x:row r="265">
      <x:c r="A265" s="78" t="str">
        <x:v>Battery block minimum voltage</x:v>
      </x:c>
      <x:c r="B265" s="79" t="str">
        <x:v>Vmin</x:v>
      </x:c>
      <x:c r="C265" s="79" t="str">
        <x:v>2192</x:v>
      </x:c>
      <x:c r="D265" s="79" t="str">
        <x:v>(A * 256 + B) * 79.99 / 65535</x:v>
      </x:c>
      <x:c r="E265" s="79" t="str">
        <x:v>21</x:v>
      </x:c>
      <x:c r="F265" s="79" t="str">
        <x:v>30</x:v>
      </x:c>
      <x:c r="G265" s="79" t="str">
        <x:v>V</x:v>
      </x:c>
      <x:c r="H265" s="79" t="str">
        <x:v>7E2</x:v>
      </x:c>
      <x:c r="I265" s="79" t="str">
        <x:v>PRIUS_PHV_GEN1 / ZVW35</x:v>
      </x:c>
      <x:c r="J265" s="79" t="str">
        <x:v>PiP Adv (US).csv</x:v>
      </x:c>
      <x:c r="K265" s="79" t="str">
        <x:v>2013-01-22</x:v>
      </x:c>
      <x:c r="L265" s="79" t="str">
        <x:v>READ-ONLY DIAGNOSTIC CANDIDATE</x:v>
      </x:c>
      <x:c r="M265" s="79" t="str">
        <x:v>CANDIDATE</x:v>
      </x:c>
      <x:c r="N265" s="80" t="str">
        <x:v>Advanced PHV source; never merge unchanged into ordinary Gen 3</x:v>
      </x:c>
    </x:row>
    <x:row r="266">
      <x:c r="A266" s="78" t="str">
        <x:v>Battery block number with minimum voltage</x:v>
      </x:c>
      <x:c r="B266" s="79" t="str">
        <x:v>Blk# min</x:v>
      </x:c>
      <x:c r="C266" s="79" t="str">
        <x:v>2192</x:v>
      </x:c>
      <x:c r="D266" s="79" t="str">
        <x:v>C + 1</x:v>
      </x:c>
      <x:c r="E266" s="79" t="str">
        <x:v>1</x:v>
      </x:c>
      <x:c r="F266" s="79" t="str">
        <x:v>8</x:v>
      </x:c>
      <x:c r="G266" s="79" t="str"/>
      <x:c r="H266" s="79" t="str">
        <x:v>7E2</x:v>
      </x:c>
      <x:c r="I266" s="79" t="str">
        <x:v>PRIUS_PHV_GEN1 / ZVW35</x:v>
      </x:c>
      <x:c r="J266" s="79" t="str">
        <x:v>PiP Adv (US).csv</x:v>
      </x:c>
      <x:c r="K266" s="79" t="str">
        <x:v>2013-01-22</x:v>
      </x:c>
      <x:c r="L266" s="79" t="str">
        <x:v>READ-ONLY DIAGNOSTIC CANDIDATE</x:v>
      </x:c>
      <x:c r="M266" s="79" t="str">
        <x:v>CANDIDATE</x:v>
      </x:c>
      <x:c r="N266" s="80" t="str">
        <x:v>Advanced PHV source; never merge unchanged into ordinary Gen 3</x:v>
      </x:c>
    </x:row>
    <x:row r="267">
      <x:c r="A267" s="78" t="str">
        <x:v>Battery block maximum voltage</x:v>
      </x:c>
      <x:c r="B267" s="79" t="str">
        <x:v>Vmax</x:v>
      </x:c>
      <x:c r="C267" s="79" t="str">
        <x:v>2192</x:v>
      </x:c>
      <x:c r="D267" s="79" t="str">
        <x:v>(D * 256 + E) * 79.99 / 65535</x:v>
      </x:c>
      <x:c r="E267" s="79" t="str">
        <x:v>21</x:v>
      </x:c>
      <x:c r="F267" s="79" t="str">
        <x:v>30</x:v>
      </x:c>
      <x:c r="G267" s="79" t="str">
        <x:v>V</x:v>
      </x:c>
      <x:c r="H267" s="79" t="str">
        <x:v>7E2</x:v>
      </x:c>
      <x:c r="I267" s="79" t="str">
        <x:v>PRIUS_PHV_GEN1 / ZVW35</x:v>
      </x:c>
      <x:c r="J267" s="79" t="str">
        <x:v>PiP Adv (US).csv</x:v>
      </x:c>
      <x:c r="K267" s="79" t="str">
        <x:v>2013-01-22</x:v>
      </x:c>
      <x:c r="L267" s="79" t="str">
        <x:v>READ-ONLY DIAGNOSTIC CANDIDATE</x:v>
      </x:c>
      <x:c r="M267" s="79" t="str">
        <x:v>CANDIDATE</x:v>
      </x:c>
      <x:c r="N267" s="80" t="str">
        <x:v>Advanced PHV source; never merge unchanged into ordinary Gen 3</x:v>
      </x:c>
    </x:row>
    <x:row r="268">
      <x:c r="A268" s="78" t="str">
        <x:v>Battery block number with maximum voltage</x:v>
      </x:c>
      <x:c r="B268" s="79" t="str">
        <x:v>Blk# max</x:v>
      </x:c>
      <x:c r="C268" s="79" t="str">
        <x:v>2192</x:v>
      </x:c>
      <x:c r="D268" s="79" t="str">
        <x:v>F + 1</x:v>
      </x:c>
      <x:c r="E268" s="79" t="str">
        <x:v>1</x:v>
      </x:c>
      <x:c r="F268" s="79" t="str">
        <x:v>8</x:v>
      </x:c>
      <x:c r="G268" s="79" t="str"/>
      <x:c r="H268" s="79" t="str">
        <x:v>7E2</x:v>
      </x:c>
      <x:c r="I268" s="79" t="str">
        <x:v>PRIUS_PHV_GEN1 / ZVW35</x:v>
      </x:c>
      <x:c r="J268" s="79" t="str">
        <x:v>PiP Adv (US).csv</x:v>
      </x:c>
      <x:c r="K268" s="79" t="str">
        <x:v>2013-01-22</x:v>
      </x:c>
      <x:c r="L268" s="79" t="str">
        <x:v>READ-ONLY DIAGNOSTIC CANDIDATE</x:v>
      </x:c>
      <x:c r="M268" s="79" t="str">
        <x:v>CANDIDATE</x:v>
      </x:c>
      <x:c r="N268" s="80" t="str">
        <x:v>Advanced PHV source; never merge unchanged into ordinary Gen 3</x:v>
      </x:c>
    </x:row>
    <x:row r="269">
      <x:c r="A269" s="78" t="str">
        <x:v>Difference between maximum &amp; minimum voltage</x:v>
      </x:c>
      <x:c r="B269" s="79" t="str">
        <x:v>Vmax-Vmin</x:v>
      </x:c>
      <x:c r="C269" s="79" t="str">
        <x:v>2192</x:v>
      </x:c>
      <x:c r="D269" s="79" t="str">
        <x:v>((D - A) * 256 + E - B) * 79.99 / 65535</x:v>
      </x:c>
      <x:c r="E269" s="79" t="str">
        <x:v>0</x:v>
      </x:c>
      <x:c r="F269" s="79" t="str">
        <x:v>2</x:v>
      </x:c>
      <x:c r="G269" s="79" t="str">
        <x:v>V</x:v>
      </x:c>
      <x:c r="H269" s="79" t="str">
        <x:v>7E2</x:v>
      </x:c>
      <x:c r="I269" s="79" t="str">
        <x:v>PRIUS_PHV_GEN1 / ZVW35</x:v>
      </x:c>
      <x:c r="J269" s="79" t="str">
        <x:v>PiP Adv (US).csv</x:v>
      </x:c>
      <x:c r="K269" s="79" t="str">
        <x:v>2013-01-22</x:v>
      </x:c>
      <x:c r="L269" s="79" t="str">
        <x:v>READ-ONLY DIAGNOSTIC CANDIDATE</x:v>
      </x:c>
      <x:c r="M269" s="79" t="str">
        <x:v>CANDIDATE</x:v>
      </x:c>
      <x:c r="N269" s="80" t="str">
        <x:v>Advanced PHV source; never merge unchanged into ordinary Gen 3</x:v>
      </x:c>
    </x:row>
    <x:row r="270">
      <x:c r="A270" s="78" t="str">
        <x:v>Number of battery blocks</x:v>
      </x:c>
      <x:c r="B270" s="79" t="str">
        <x:v>#Bty Blk</x:v>
      </x:c>
      <x:c r="C270" s="79" t="str">
        <x:v>2192</x:v>
      </x:c>
      <x:c r="D270" s="79" t="str">
        <x:v>G</x:v>
      </x:c>
      <x:c r="E270" s="79" t="str">
        <x:v>8</x:v>
      </x:c>
      <x:c r="F270" s="79" t="str">
        <x:v>8</x:v>
      </x:c>
      <x:c r="G270" s="79" t="str"/>
      <x:c r="H270" s="79" t="str">
        <x:v>7E2</x:v>
      </x:c>
      <x:c r="I270" s="79" t="str">
        <x:v>PRIUS_PHV_GEN1 / ZVW35</x:v>
      </x:c>
      <x:c r="J270" s="79" t="str">
        <x:v>PiP Adv (US).csv</x:v>
      </x:c>
      <x:c r="K270" s="79" t="str">
        <x:v>2013-01-22</x:v>
      </x:c>
      <x:c r="L270" s="79" t="str">
        <x:v>READ-ONLY DIAGNOSTIC CANDIDATE</x:v>
      </x:c>
      <x:c r="M270" s="79" t="str">
        <x:v>CANDIDATE</x:v>
      </x:c>
      <x:c r="N270" s="80" t="str">
        <x:v>Advanced PHV source; never merge unchanged into ordinary Gen 3</x:v>
      </x:c>
    </x:row>
    <x:row r="271">
      <x:c r="A271" s="78" t="str">
        <x:v>Accumulated Time of Battery Low</x:v>
      </x:c>
      <x:c r="B271" s="79" t="str">
        <x:v>Low count</x:v>
      </x:c>
      <x:c r="C271" s="79" t="str">
        <x:v>2192</x:v>
      </x:c>
      <x:c r="D271" s="79" t="str">
        <x:v>H * 256 + I</x:v>
      </x:c>
      <x:c r="E271" s="79" t="str">
        <x:v>0</x:v>
      </x:c>
      <x:c r="F271" s="79" t="str">
        <x:v>65535</x:v>
      </x:c>
      <x:c r="G271" s="79" t="str"/>
      <x:c r="H271" s="79" t="str">
        <x:v>7E2</x:v>
      </x:c>
      <x:c r="I271" s="79" t="str">
        <x:v>PRIUS_PHV_GEN1 / ZVW35</x:v>
      </x:c>
      <x:c r="J271" s="79" t="str">
        <x:v>PiP Adv (US).csv</x:v>
      </x:c>
      <x:c r="K271" s="79" t="str">
        <x:v>2013-01-22</x:v>
      </x:c>
      <x:c r="L271" s="79" t="str">
        <x:v>READ-ONLY DIAGNOSTIC CANDIDATE</x:v>
      </x:c>
      <x:c r="M271" s="79" t="str">
        <x:v>CANDIDATE</x:v>
      </x:c>
      <x:c r="N271" s="80" t="str">
        <x:v>Advanced PHV source; never merge unchanged into ordinary Gen 3</x:v>
      </x:c>
    </x:row>
    <x:row r="272">
      <x:c r="A272" s="78" t="str">
        <x:v>Accumulated Time of DC Inhibit</x:v>
      </x:c>
      <x:c r="B272" s="79" t="str">
        <x:v>DCI count</x:v>
      </x:c>
      <x:c r="C272" s="79" t="str">
        <x:v>2192</x:v>
      </x:c>
      <x:c r="D272" s="79" t="str">
        <x:v>J * 256 + K</x:v>
      </x:c>
      <x:c r="E272" s="79" t="str">
        <x:v>0</x:v>
      </x:c>
      <x:c r="F272" s="79" t="str">
        <x:v>65535</x:v>
      </x:c>
      <x:c r="G272" s="79" t="str"/>
      <x:c r="H272" s="79" t="str">
        <x:v>7E2</x:v>
      </x:c>
      <x:c r="I272" s="79" t="str">
        <x:v>PRIUS_PHV_GEN1 / ZVW35</x:v>
      </x:c>
      <x:c r="J272" s="79" t="str">
        <x:v>PiP Adv (US).csv</x:v>
      </x:c>
      <x:c r="K272" s="79" t="str">
        <x:v>2013-01-22</x:v>
      </x:c>
      <x:c r="L272" s="79" t="str">
        <x:v>READ-ONLY DIAGNOSTIC CANDIDATE</x:v>
      </x:c>
      <x:c r="M272" s="79" t="str">
        <x:v>CANDIDATE</x:v>
      </x:c>
      <x:c r="N272" s="80" t="str">
        <x:v>Advanced PHV source; never merge unchanged into ordinary Gen 3</x:v>
      </x:c>
    </x:row>
    <x:row r="273">
      <x:c r="A273" s="78" t="str">
        <x:v>Accumulated Time of Battery too High</x:v>
      </x:c>
      <x:c r="B273" s="79" t="str">
        <x:v>High count</x:v>
      </x:c>
      <x:c r="C273" s="79" t="str">
        <x:v>2192</x:v>
      </x:c>
      <x:c r="D273" s="79" t="str">
        <x:v>L * 256 + M</x:v>
      </x:c>
      <x:c r="E273" s="79" t="str">
        <x:v>0</x:v>
      </x:c>
      <x:c r="F273" s="79" t="str">
        <x:v>65535</x:v>
      </x:c>
      <x:c r="G273" s="79" t="str"/>
      <x:c r="H273" s="79" t="str">
        <x:v>7E2</x:v>
      </x:c>
      <x:c r="I273" s="79" t="str">
        <x:v>PRIUS_PHV_GEN1 / ZVW35</x:v>
      </x:c>
      <x:c r="J273" s="79" t="str">
        <x:v>PiP Adv (US).csv</x:v>
      </x:c>
      <x:c r="K273" s="79" t="str">
        <x:v>2013-01-22</x:v>
      </x:c>
      <x:c r="L273" s="79" t="str">
        <x:v>READ-ONLY DIAGNOSTIC CANDIDATE</x:v>
      </x:c>
      <x:c r="M273" s="79" t="str">
        <x:v>CANDIDATE</x:v>
      </x:c>
      <x:c r="N273" s="80" t="str">
        <x:v>Advanced PHV source; never merge unchanged into ordinary Gen 3</x:v>
      </x:c>
    </x:row>
    <x:row r="274">
      <x:c r="A274" s="78" t="str">
        <x:v>Accumulated Time of Hot Temperature</x:v>
      </x:c>
      <x:c r="B274" s="79" t="str">
        <x:v>Hot count</x:v>
      </x:c>
      <x:c r="C274" s="79" t="str">
        <x:v>2192</x:v>
      </x:c>
      <x:c r="D274" s="79" t="str">
        <x:v>N * 256 + O</x:v>
      </x:c>
      <x:c r="E274" s="79" t="str">
        <x:v>0</x:v>
      </x:c>
      <x:c r="F274" s="79" t="str">
        <x:v>65535</x:v>
      </x:c>
      <x:c r="G274" s="79" t="str"/>
      <x:c r="H274" s="79" t="str">
        <x:v>7E2</x:v>
      </x:c>
      <x:c r="I274" s="79" t="str">
        <x:v>PRIUS_PHV_GEN1 / ZVW35</x:v>
      </x:c>
      <x:c r="J274" s="79" t="str">
        <x:v>PiP Adv (US).csv</x:v>
      </x:c>
      <x:c r="K274" s="79" t="str">
        <x:v>2013-01-22</x:v>
      </x:c>
      <x:c r="L274" s="79" t="str">
        <x:v>READ-ONLY DIAGNOSTIC CANDIDATE</x:v>
      </x:c>
      <x:c r="M274" s="79" t="str">
        <x:v>CANDIDATE</x:v>
      </x:c>
      <x:c r="N274" s="80" t="str">
        <x:v>Advanced PHV source; never merge unchanged into ordinary Gen 3</x:v>
      </x:c>
    </x:row>
    <x:row r="275">
      <x:c r="A275" s="78" t="str">
        <x:v>Internal Resistance R01</x:v>
      </x:c>
      <x:c r="B275" s="79" t="str">
        <x:v>R01</x:v>
      </x:c>
      <x:c r="C275" s="79" t="str">
        <x:v>2195</x:v>
      </x:c>
      <x:c r="D275" s="79" t="str">
        <x:v>A / 1000</x:v>
      </x:c>
      <x:c r="E275" s="79" t="str">
        <x:v>0</x:v>
      </x:c>
      <x:c r="F275" s="79" t="str">
        <x:v>0.255</x:v>
      </x:c>
      <x:c r="G275" s="79" t="str">
        <x:v>ohm</x:v>
      </x:c>
      <x:c r="H275" s="79" t="str">
        <x:v>7E2</x:v>
      </x:c>
      <x:c r="I275" s="79" t="str">
        <x:v>PRIUS_PHV_GEN1 / ZVW35</x:v>
      </x:c>
      <x:c r="J275" s="79" t="str">
        <x:v>PiP Adv (US).csv</x:v>
      </x:c>
      <x:c r="K275" s="79" t="str">
        <x:v>2013-01-22</x:v>
      </x:c>
      <x:c r="L275" s="79" t="str">
        <x:v>READ-ONLY DIAGNOSTIC CANDIDATE</x:v>
      </x:c>
      <x:c r="M275" s="79" t="str">
        <x:v>CANDIDATE</x:v>
      </x:c>
      <x:c r="N275" s="80" t="str">
        <x:v>Advanced PHV source; never merge unchanged into ordinary Gen 3</x:v>
      </x:c>
    </x:row>
    <x:row r="276">
      <x:c r="A276" s="78" t="str">
        <x:v>Internal Resistance R02</x:v>
      </x:c>
      <x:c r="B276" s="79" t="str">
        <x:v>R02</x:v>
      </x:c>
      <x:c r="C276" s="79" t="str">
        <x:v>2195</x:v>
      </x:c>
      <x:c r="D276" s="79" t="str">
        <x:v>B / 1000</x:v>
      </x:c>
      <x:c r="E276" s="79" t="str">
        <x:v>0</x:v>
      </x:c>
      <x:c r="F276" s="79" t="str">
        <x:v>0.255</x:v>
      </x:c>
      <x:c r="G276" s="79" t="str">
        <x:v>ohm</x:v>
      </x:c>
      <x:c r="H276" s="79" t="str">
        <x:v>7E2</x:v>
      </x:c>
      <x:c r="I276" s="79" t="str">
        <x:v>PRIUS_PHV_GEN1 / ZVW35</x:v>
      </x:c>
      <x:c r="J276" s="79" t="str">
        <x:v>PiP Adv (US).csv</x:v>
      </x:c>
      <x:c r="K276" s="79" t="str">
        <x:v>2013-01-22</x:v>
      </x:c>
      <x:c r="L276" s="79" t="str">
        <x:v>READ-ONLY DIAGNOSTIC CANDIDATE</x:v>
      </x:c>
      <x:c r="M276" s="79" t="str">
        <x:v>CANDIDATE</x:v>
      </x:c>
      <x:c r="N276" s="80" t="str">
        <x:v>Advanced PHV source; never merge unchanged into ordinary Gen 3</x:v>
      </x:c>
    </x:row>
    <x:row r="277">
      <x:c r="A277" s="78" t="str">
        <x:v>Internal Resistance R03</x:v>
      </x:c>
      <x:c r="B277" s="79" t="str">
        <x:v>R03</x:v>
      </x:c>
      <x:c r="C277" s="79" t="str">
        <x:v>2195</x:v>
      </x:c>
      <x:c r="D277" s="79" t="str">
        <x:v>C / 1000</x:v>
      </x:c>
      <x:c r="E277" s="79" t="str">
        <x:v>0</x:v>
      </x:c>
      <x:c r="F277" s="79" t="str">
        <x:v>0.255</x:v>
      </x:c>
      <x:c r="G277" s="79" t="str">
        <x:v>ohm</x:v>
      </x:c>
      <x:c r="H277" s="79" t="str">
        <x:v>7E2</x:v>
      </x:c>
      <x:c r="I277" s="79" t="str">
        <x:v>PRIUS_PHV_GEN1 / ZVW35</x:v>
      </x:c>
      <x:c r="J277" s="79" t="str">
        <x:v>PiP Adv (US).csv</x:v>
      </x:c>
      <x:c r="K277" s="79" t="str">
        <x:v>2013-01-22</x:v>
      </x:c>
      <x:c r="L277" s="79" t="str">
        <x:v>READ-ONLY DIAGNOSTIC CANDIDATE</x:v>
      </x:c>
      <x:c r="M277" s="79" t="str">
        <x:v>CANDIDATE</x:v>
      </x:c>
      <x:c r="N277" s="80" t="str">
        <x:v>Advanced PHV source; never merge unchanged into ordinary Gen 3</x:v>
      </x:c>
    </x:row>
    <x:row r="278">
      <x:c r="A278" s="78" t="str">
        <x:v>Internal Resistance R04</x:v>
      </x:c>
      <x:c r="B278" s="79" t="str">
        <x:v>R04</x:v>
      </x:c>
      <x:c r="C278" s="79" t="str">
        <x:v>2195</x:v>
      </x:c>
      <x:c r="D278" s="79" t="str">
        <x:v>D / 1000</x:v>
      </x:c>
      <x:c r="E278" s="79" t="str">
        <x:v>0</x:v>
      </x:c>
      <x:c r="F278" s="79" t="str">
        <x:v>0.255</x:v>
      </x:c>
      <x:c r="G278" s="79" t="str">
        <x:v>ohm</x:v>
      </x:c>
      <x:c r="H278" s="79" t="str">
        <x:v>7E2</x:v>
      </x:c>
      <x:c r="I278" s="79" t="str">
        <x:v>PRIUS_PHV_GEN1 / ZVW35</x:v>
      </x:c>
      <x:c r="J278" s="79" t="str">
        <x:v>PiP Adv (US).csv</x:v>
      </x:c>
      <x:c r="K278" s="79" t="str">
        <x:v>2013-01-22</x:v>
      </x:c>
      <x:c r="L278" s="79" t="str">
        <x:v>READ-ONLY DIAGNOSTIC CANDIDATE</x:v>
      </x:c>
      <x:c r="M278" s="79" t="str">
        <x:v>CANDIDATE</x:v>
      </x:c>
      <x:c r="N278" s="80" t="str">
        <x:v>Advanced PHV source; never merge unchanged into ordinary Gen 3</x:v>
      </x:c>
    </x:row>
    <x:row r="279">
      <x:c r="A279" s="78" t="str">
        <x:v>Internal Resistance R05</x:v>
      </x:c>
      <x:c r="B279" s="79" t="str">
        <x:v>R05</x:v>
      </x:c>
      <x:c r="C279" s="79" t="str">
        <x:v>2195</x:v>
      </x:c>
      <x:c r="D279" s="79" t="str">
        <x:v>E / 1000</x:v>
      </x:c>
      <x:c r="E279" s="79" t="str">
        <x:v>0</x:v>
      </x:c>
      <x:c r="F279" s="79" t="str">
        <x:v>0.255</x:v>
      </x:c>
      <x:c r="G279" s="79" t="str">
        <x:v>ohm</x:v>
      </x:c>
      <x:c r="H279" s="79" t="str">
        <x:v>7E2</x:v>
      </x:c>
      <x:c r="I279" s="79" t="str">
        <x:v>PRIUS_PHV_GEN1 / ZVW35</x:v>
      </x:c>
      <x:c r="J279" s="79" t="str">
        <x:v>PiP Adv (US).csv</x:v>
      </x:c>
      <x:c r="K279" s="79" t="str">
        <x:v>2013-01-22</x:v>
      </x:c>
      <x:c r="L279" s="79" t="str">
        <x:v>READ-ONLY DIAGNOSTIC CANDIDATE</x:v>
      </x:c>
      <x:c r="M279" s="79" t="str">
        <x:v>CANDIDATE</x:v>
      </x:c>
      <x:c r="N279" s="80" t="str">
        <x:v>Advanced PHV source; never merge unchanged into ordinary Gen 3</x:v>
      </x:c>
    </x:row>
    <x:row r="280">
      <x:c r="A280" s="78" t="str">
        <x:v>Internal Resistance R06</x:v>
      </x:c>
      <x:c r="B280" s="79" t="str">
        <x:v>R06</x:v>
      </x:c>
      <x:c r="C280" s="79" t="str">
        <x:v>2195</x:v>
      </x:c>
      <x:c r="D280" s="79" t="str">
        <x:v>F / 1000</x:v>
      </x:c>
      <x:c r="E280" s="79" t="str">
        <x:v>0</x:v>
      </x:c>
      <x:c r="F280" s="79" t="str">
        <x:v>0.255</x:v>
      </x:c>
      <x:c r="G280" s="79" t="str">
        <x:v>ohm</x:v>
      </x:c>
      <x:c r="H280" s="79" t="str">
        <x:v>7E2</x:v>
      </x:c>
      <x:c r="I280" s="79" t="str">
        <x:v>PRIUS_PHV_GEN1 / ZVW35</x:v>
      </x:c>
      <x:c r="J280" s="79" t="str">
        <x:v>PiP Adv (US).csv</x:v>
      </x:c>
      <x:c r="K280" s="79" t="str">
        <x:v>2013-01-22</x:v>
      </x:c>
      <x:c r="L280" s="79" t="str">
        <x:v>READ-ONLY DIAGNOSTIC CANDIDATE</x:v>
      </x:c>
      <x:c r="M280" s="79" t="str">
        <x:v>CANDIDATE</x:v>
      </x:c>
      <x:c r="N280" s="80" t="str">
        <x:v>Advanced PHV source; never merge unchanged into ordinary Gen 3</x:v>
      </x:c>
    </x:row>
    <x:row r="281">
      <x:c r="A281" s="78" t="str">
        <x:v>Internal Resistance R07</x:v>
      </x:c>
      <x:c r="B281" s="79" t="str">
        <x:v>R07</x:v>
      </x:c>
      <x:c r="C281" s="79" t="str">
        <x:v>2195</x:v>
      </x:c>
      <x:c r="D281" s="79" t="str">
        <x:v>G / 1000</x:v>
      </x:c>
      <x:c r="E281" s="79" t="str">
        <x:v>0</x:v>
      </x:c>
      <x:c r="F281" s="79" t="str">
        <x:v>0.255</x:v>
      </x:c>
      <x:c r="G281" s="79" t="str">
        <x:v>ohm</x:v>
      </x:c>
      <x:c r="H281" s="79" t="str">
        <x:v>7E2</x:v>
      </x:c>
      <x:c r="I281" s="79" t="str">
        <x:v>PRIUS_PHV_GEN1 / ZVW35</x:v>
      </x:c>
      <x:c r="J281" s="79" t="str">
        <x:v>PiP Adv (US).csv</x:v>
      </x:c>
      <x:c r="K281" s="79" t="str">
        <x:v>2013-01-22</x:v>
      </x:c>
      <x:c r="L281" s="79" t="str">
        <x:v>READ-ONLY DIAGNOSTIC CANDIDATE</x:v>
      </x:c>
      <x:c r="M281" s="79" t="str">
        <x:v>CANDIDATE</x:v>
      </x:c>
      <x:c r="N281" s="80" t="str">
        <x:v>Advanced PHV source; never merge unchanged into ordinary Gen 3</x:v>
      </x:c>
    </x:row>
    <x:row r="282">
      <x:c r="A282" s="78" t="str">
        <x:v>Internal Resistance R08</x:v>
      </x:c>
      <x:c r="B282" s="79" t="str">
        <x:v>R08</x:v>
      </x:c>
      <x:c r="C282" s="79" t="str">
        <x:v>2195</x:v>
      </x:c>
      <x:c r="D282" s="79" t="str">
        <x:v>H / 1000</x:v>
      </x:c>
      <x:c r="E282" s="79" t="str">
        <x:v>0</x:v>
      </x:c>
      <x:c r="F282" s="79" t="str">
        <x:v>0.255</x:v>
      </x:c>
      <x:c r="G282" s="79" t="str">
        <x:v>ohm</x:v>
      </x:c>
      <x:c r="H282" s="79" t="str">
        <x:v>7E2</x:v>
      </x:c>
      <x:c r="I282" s="79" t="str">
        <x:v>PRIUS_PHV_GEN1 / ZVW35</x:v>
      </x:c>
      <x:c r="J282" s="79" t="str">
        <x:v>PiP Adv (US).csv</x:v>
      </x:c>
      <x:c r="K282" s="79" t="str">
        <x:v>2013-01-22</x:v>
      </x:c>
      <x:c r="L282" s="79" t="str">
        <x:v>READ-ONLY DIAGNOSTIC CANDIDATE</x:v>
      </x:c>
      <x:c r="M282" s="79" t="str">
        <x:v>CANDIDATE</x:v>
      </x:c>
      <x:c r="N282" s="80" t="str">
        <x:v>Advanced PHV source; never merge unchanged into ordinary Gen 3</x:v>
      </x:c>
    </x:row>
    <x:row r="283">
      <x:c r="A283" s="78" t="str">
        <x:v>Batt Pack Current Val</x:v>
      </x:c>
      <x:c r="B283" s="79" t="str">
        <x:v>Bty Curr</x:v>
      </x:c>
      <x:c r="C283" s="79" t="str">
        <x:v>2198</x:v>
      </x:c>
      <x:c r="D283" s="79" t="str">
        <x:v>(A * 256 + B) / 100 - 327.68</x:v>
      </x:c>
      <x:c r="E283" s="79" t="str">
        <x:v>-200</x:v>
      </x:c>
      <x:c r="F283" s="79" t="str">
        <x:v>200</x:v>
      </x:c>
      <x:c r="G283" s="79" t="str">
        <x:v>Amperes</x:v>
      </x:c>
      <x:c r="H283" s="79" t="str">
        <x:v>7E2</x:v>
      </x:c>
      <x:c r="I283" s="79" t="str">
        <x:v>PRIUS_PHV_GEN1 / ZVW35</x:v>
      </x:c>
      <x:c r="J283" s="79" t="str">
        <x:v>PiP Adv (US).csv</x:v>
      </x:c>
      <x:c r="K283" s="79" t="str">
        <x:v>2013-01-22</x:v>
      </x:c>
      <x:c r="L283" s="79" t="str">
        <x:v>READ-ONLY DIAGNOSTIC CANDIDATE</x:v>
      </x:c>
      <x:c r="M283" s="79" t="str">
        <x:v>CANDIDATE</x:v>
      </x:c>
      <x:c r="N283" s="80" t="str">
        <x:v>Advanced PHV source; never merge unchanged into ordinary Gen 3</x:v>
      </x:c>
    </x:row>
    <x:row r="284">
      <x:c r="A284" s="78" t="str">
        <x:v>HV battery charge control</x:v>
      </x:c>
      <x:c r="B284" s="79" t="str">
        <x:v>Chg ctrl</x:v>
      </x:c>
      <x:c r="C284" s="79" t="str">
        <x:v>2198</x:v>
      </x:c>
      <x:c r="D284" s="79" t="str">
        <x:v>(C / 2 - 64) * 1.341022089595028</x:v>
      </x:c>
      <x:c r="E284" s="79" t="str">
        <x:v>-50</x:v>
      </x:c>
      <x:c r="F284" s="79" t="str">
        <x:v>0</x:v>
      </x:c>
      <x:c r="G284" s="79" t="str">
        <x:v>HP</x:v>
      </x:c>
      <x:c r="H284" s="79" t="str">
        <x:v>7E2</x:v>
      </x:c>
      <x:c r="I284" s="79" t="str">
        <x:v>PRIUS_PHV_GEN1 / ZVW35</x:v>
      </x:c>
      <x:c r="J284" s="79" t="str">
        <x:v>PiP Adv (US).csv</x:v>
      </x:c>
      <x:c r="K284" s="79" t="str">
        <x:v>2013-01-22</x:v>
      </x:c>
      <x:c r="L284" s="79" t="str">
        <x:v>READ-ONLY DIAGNOSTIC CANDIDATE</x:v>
      </x:c>
      <x:c r="M284" s="79" t="str">
        <x:v>CANDIDATE</x:v>
      </x:c>
      <x:c r="N284" s="80" t="str">
        <x:v>Advanced PHV source; never merge unchanged into ordinary Gen 3</x:v>
      </x:c>
    </x:row>
    <x:row r="285">
      <x:c r="A285" s="78" t="str">
        <x:v>HV battery discharge control</x:v>
      </x:c>
      <x:c r="B285" s="79" t="str">
        <x:v>Dischg ctrl</x:v>
      </x:c>
      <x:c r="C285" s="79" t="str">
        <x:v>2198</x:v>
      </x:c>
      <x:c r="D285" s="79" t="str">
        <x:v>(D / 2 - 64) * 1.341022089595028</x:v>
      </x:c>
      <x:c r="E285" s="79" t="str">
        <x:v>0</x:v>
      </x:c>
      <x:c r="F285" s="79" t="str">
        <x:v>50</x:v>
      </x:c>
      <x:c r="G285" s="79" t="str">
        <x:v>HP</x:v>
      </x:c>
      <x:c r="H285" s="79" t="str">
        <x:v>7E2</x:v>
      </x:c>
      <x:c r="I285" s="79" t="str">
        <x:v>PRIUS_PHV_GEN1 / ZVW35</x:v>
      </x:c>
      <x:c r="J285" s="79" t="str">
        <x:v>PiP Adv (US).csv</x:v>
      </x:c>
      <x:c r="K285" s="79" t="str">
        <x:v>2013-01-22</x:v>
      </x:c>
      <x:c r="L285" s="79" t="str">
        <x:v>READ-ONLY DIAGNOSTIC CANDIDATE</x:v>
      </x:c>
      <x:c r="M285" s="79" t="str">
        <x:v>CANDIDATE</x:v>
      </x:c>
      <x:c r="N285" s="80" t="str">
        <x:v>Advanced PHV source; never merge unchanged into ordinary Gen 3</x:v>
      </x:c>
    </x:row>
    <x:row r="286">
      <x:c r="A286" s="78" t="str">
        <x:v>Delta SOC</x:v>
      </x:c>
      <x:c r="B286" s="79" t="str">
        <x:v>Delta SOC</x:v>
      </x:c>
      <x:c r="C286" s="79" t="str">
        <x:v>2198</x:v>
      </x:c>
      <x:c r="D286" s="79" t="str">
        <x:v>E / 2</x:v>
      </x:c>
      <x:c r="E286" s="79" t="str">
        <x:v>0</x:v>
      </x:c>
      <x:c r="F286" s="79" t="str">
        <x:v>100</x:v>
      </x:c>
      <x:c r="G286" s="79" t="str">
        <x:v>%</x:v>
      </x:c>
      <x:c r="H286" s="79" t="str">
        <x:v>7E2</x:v>
      </x:c>
      <x:c r="I286" s="79" t="str">
        <x:v>PRIUS_PHV_GEN1 / ZVW35</x:v>
      </x:c>
      <x:c r="J286" s="79" t="str">
        <x:v>PiP Adv (US).csv</x:v>
      </x:c>
      <x:c r="K286" s="79" t="str">
        <x:v>2013-01-22</x:v>
      </x:c>
      <x:c r="L286" s="79" t="str">
        <x:v>READ-ONLY DIAGNOSTIC CANDIDATE</x:v>
      </x:c>
      <x:c r="M286" s="79" t="str">
        <x:v>CANDIDATE</x:v>
      </x:c>
      <x:c r="N286" s="80" t="str">
        <x:v>Advanced PHV source; never merge unchanged into ordinary Gen 3</x:v>
      </x:c>
    </x:row>
    <x:row r="287">
      <x:c r="A287" s="78" t="str">
        <x:v>SOC after IG-ON</x:v>
      </x:c>
      <x:c r="B287" s="79" t="str">
        <x:v>SOC ig-on</x:v>
      </x:c>
      <x:c r="C287" s="79" t="str">
        <x:v>2198</x:v>
      </x:c>
      <x:c r="D287" s="79" t="str">
        <x:v>F / 2</x:v>
      </x:c>
      <x:c r="E287" s="79" t="str">
        <x:v>20</x:v>
      </x:c>
      <x:c r="F287" s="79" t="str">
        <x:v>90</x:v>
      </x:c>
      <x:c r="G287" s="79" t="str">
        <x:v>%</x:v>
      </x:c>
      <x:c r="H287" s="79" t="str">
        <x:v>7E2</x:v>
      </x:c>
      <x:c r="I287" s="79" t="str">
        <x:v>PRIUS_PHV_GEN1 / ZVW35</x:v>
      </x:c>
      <x:c r="J287" s="79" t="str">
        <x:v>PiP Adv (US).csv</x:v>
      </x:c>
      <x:c r="K287" s="79" t="str">
        <x:v>2013-01-22</x:v>
      </x:c>
      <x:c r="L287" s="79" t="str">
        <x:v>READ-ONLY DIAGNOSTIC CANDIDATE</x:v>
      </x:c>
      <x:c r="M287" s="79" t="str">
        <x:v>CANDIDATE</x:v>
      </x:c>
      <x:c r="N287" s="80" t="str">
        <x:v>Advanced PHV source; never merge unchanged into ordinary Gen 3</x:v>
      </x:c>
    </x:row>
    <x:row r="288">
      <x:c r="A288" s="78" t="str">
        <x:v>SOC Max</x:v>
      </x:c>
      <x:c r="B288" s="79" t="str">
        <x:v>SOC max</x:v>
      </x:c>
      <x:c r="C288" s="79" t="str">
        <x:v>2198</x:v>
      </x:c>
      <x:c r="D288" s="79" t="str">
        <x:v>G / 2</x:v>
      </x:c>
      <x:c r="E288" s="79" t="str">
        <x:v>20</x:v>
      </x:c>
      <x:c r="F288" s="79" t="str">
        <x:v>90</x:v>
      </x:c>
      <x:c r="G288" s="79" t="str">
        <x:v>%</x:v>
      </x:c>
      <x:c r="H288" s="79" t="str">
        <x:v>7E2</x:v>
      </x:c>
      <x:c r="I288" s="79" t="str">
        <x:v>PRIUS_PHV_GEN1 / ZVW35</x:v>
      </x:c>
      <x:c r="J288" s="79" t="str">
        <x:v>PiP Adv (US).csv</x:v>
      </x:c>
      <x:c r="K288" s="79" t="str">
        <x:v>2013-01-22</x:v>
      </x:c>
      <x:c r="L288" s="79" t="str">
        <x:v>READ-ONLY DIAGNOSTIC CANDIDATE</x:v>
      </x:c>
      <x:c r="M288" s="79" t="str">
        <x:v>CANDIDATE</x:v>
      </x:c>
      <x:c r="N288" s="80" t="str">
        <x:v>Advanced PHV source; never merge unchanged into ordinary Gen 3</x:v>
      </x:c>
    </x:row>
    <x:row r="289">
      <x:c r="A289" s="78" t="str">
        <x:v>SOC Min</x:v>
      </x:c>
      <x:c r="B289" s="79" t="str">
        <x:v>SOC min</x:v>
      </x:c>
      <x:c r="C289" s="79" t="str">
        <x:v>2198</x:v>
      </x:c>
      <x:c r="D289" s="79" t="str">
        <x:v>H / 2</x:v>
      </x:c>
      <x:c r="E289" s="79" t="str">
        <x:v>20</x:v>
      </x:c>
      <x:c r="F289" s="79" t="str">
        <x:v>90</x:v>
      </x:c>
      <x:c r="G289" s="79" t="str">
        <x:v>%</x:v>
      </x:c>
      <x:c r="H289" s="79" t="str">
        <x:v>7E2</x:v>
      </x:c>
      <x:c r="I289" s="79" t="str">
        <x:v>PRIUS_PHV_GEN1 / ZVW35</x:v>
      </x:c>
      <x:c r="J289" s="79" t="str">
        <x:v>PiP Adv (US).csv</x:v>
      </x:c>
      <x:c r="K289" s="79" t="str">
        <x:v>2013-01-22</x:v>
      </x:c>
      <x:c r="L289" s="79" t="str">
        <x:v>READ-ONLY DIAGNOSTIC CANDIDATE</x:v>
      </x:c>
      <x:c r="M289" s="79" t="str">
        <x:v>CANDIDATE</x:v>
      </x:c>
      <x:c r="N289" s="80" t="str">
        <x:v>Advanced PHV source; never merge unchanged into ordinary Gen 3</x:v>
      </x:c>
    </x:row>
    <x:row r="290">
      <x:c r="A290" s="78" t="str">
        <x:v>ECU Control Mode (Driving control mode=1,Current sensor offset mode=2,External charge control mode=3,Power supply end mode=4)</x:v>
      </x:c>
      <x:c r="B290" s="79" t="str">
        <x:v>ECU mode</x:v>
      </x:c>
      <x:c r="C290" s="79" t="str">
        <x:v>219B</x:v>
      </x:c>
      <x:c r="D290" s="79" t="str">
        <x:v>A</x:v>
      </x:c>
      <x:c r="E290" s="79" t="str">
        <x:v>1</x:v>
      </x:c>
      <x:c r="F290" s="79" t="str">
        <x:v>4</x:v>
      </x:c>
      <x:c r="G290" s="79" t="str"/>
      <x:c r="H290" s="79" t="str">
        <x:v>7E2</x:v>
      </x:c>
      <x:c r="I290" s="79" t="str">
        <x:v>PRIUS_PHV_GEN1 / ZVW35</x:v>
      </x:c>
      <x:c r="J290" s="79" t="str">
        <x:v>PiP Adv (US).csv</x:v>
      </x:c>
      <x:c r="K290" s="79" t="str">
        <x:v>2013-01-22</x:v>
      </x:c>
      <x:c r="L290" s="79" t="str">
        <x:v>READ-ONLY DIAGNOSTIC CANDIDATE</x:v>
      </x:c>
      <x:c r="M290" s="79" t="str">
        <x:v>CANDIDATE</x:v>
      </x:c>
      <x:c r="N290" s="80" t="str">
        <x:v>Advanced PHV source; never merge unchanged into ordinary Gen 3</x:v>
      </x:c>
    </x:row>
    <x:row r="291">
      <x:c r="A291" s="78" t="str">
        <x:v>Cooling Fan Mode 1</x:v>
      </x:c>
      <x:c r="B291" s="79" t="str">
        <x:v>Fan Mode</x:v>
      </x:c>
      <x:c r="C291" s="79" t="str">
        <x:v>219B</x:v>
      </x:c>
      <x:c r="D291" s="79" t="str">
        <x:v>B</x:v>
      </x:c>
      <x:c r="E291" s="79" t="str">
        <x:v>0</x:v>
      </x:c>
      <x:c r="F291" s="79" t="str">
        <x:v>6</x:v>
      </x:c>
      <x:c r="G291" s="79" t="str"/>
      <x:c r="H291" s="79" t="str">
        <x:v>7E2</x:v>
      </x:c>
      <x:c r="I291" s="79" t="str">
        <x:v>PRIUS_PHV_GEN1 / ZVW35</x:v>
      </x:c>
      <x:c r="J291" s="79" t="str">
        <x:v>PiP Adv (US).csv</x:v>
      </x:c>
      <x:c r="K291" s="79" t="str">
        <x:v>2013-01-22</x:v>
      </x:c>
      <x:c r="L291" s="79" t="str">
        <x:v>READ-ONLY DIAGNOSTIC CANDIDATE</x:v>
      </x:c>
      <x:c r="M291" s="79" t="str">
        <x:v>CANDIDATE</x:v>
      </x:c>
      <x:c r="N291" s="80" t="str">
        <x:v>Advanced PHV source; never merge unchanged into ordinary Gen 3</x:v>
      </x:c>
    </x:row>
    <x:row r="292">
      <x:c r="A292" s="78" t="str">
        <x:v>Standby Blower Request Status</x:v>
      </x:c>
      <x:c r="B292" s="79" t="str">
        <x:v>SBRS</x:v>
      </x:c>
      <x:c r="C292" s="79" t="str">
        <x:v>219B</x:v>
      </x:c>
      <x:c r="D292" s="79" t="str">
        <x:v>{C:7}</x:v>
      </x:c>
      <x:c r="E292" s="79" t="str">
        <x:v>0</x:v>
      </x:c>
      <x:c r="F292" s="79" t="str">
        <x:v>1</x:v>
      </x:c>
      <x:c r="G292" s="79" t="str">
        <x:v>Off/On</x:v>
      </x:c>
      <x:c r="H292" s="79" t="str">
        <x:v>7E2</x:v>
      </x:c>
      <x:c r="I292" s="79" t="str">
        <x:v>PRIUS_PHV_GEN1 / ZVW35</x:v>
      </x:c>
      <x:c r="J292" s="79" t="str">
        <x:v>PiP Adv (US).csv</x:v>
      </x:c>
      <x:c r="K292" s="79" t="str">
        <x:v>2013-01-22</x:v>
      </x:c>
      <x:c r="L292" s="79" t="str">
        <x:v>READ-ONLY DIAGNOSTIC CANDIDATE</x:v>
      </x:c>
      <x:c r="M292" s="79" t="str">
        <x:v>CANDIDATE</x:v>
      </x:c>
      <x:c r="N292" s="80" t="str">
        <x:v>Advanced PHV source; never merge unchanged into ordinary Gen 3</x:v>
      </x:c>
    </x:row>
    <x:row r="293">
      <x:c r="A293" s="78" t="str">
        <x:v>Short Circuit Wave Highest Value</x:v>
      </x:c>
      <x:c r="B293" s="79" t="str">
        <x:v>S/C Wave Hi</x:v>
      </x:c>
      <x:c r="C293" s="79" t="str">
        <x:v>219B</x:v>
      </x:c>
      <x:c r="D293" s="79" t="str">
        <x:v>D * 4.98 / 255</x:v>
      </x:c>
      <x:c r="E293" s="79" t="str">
        <x:v>0</x:v>
      </x:c>
      <x:c r="F293" s="79" t="str">
        <x:v>4.98</x:v>
      </x:c>
      <x:c r="G293" s="79" t="str">
        <x:v>V</x:v>
      </x:c>
      <x:c r="H293" s="79" t="str">
        <x:v>7E2</x:v>
      </x:c>
      <x:c r="I293" s="79" t="str">
        <x:v>PRIUS_PHV_GEN1 / ZVW35</x:v>
      </x:c>
      <x:c r="J293" s="79" t="str">
        <x:v>PiP Adv (US).csv</x:v>
      </x:c>
      <x:c r="K293" s="79" t="str">
        <x:v>2013-01-22</x:v>
      </x:c>
      <x:c r="L293" s="79" t="str">
        <x:v>READ-ONLY DIAGNOSTIC CANDIDATE</x:v>
      </x:c>
      <x:c r="M293" s="79" t="str">
        <x:v>CANDIDATE</x:v>
      </x:c>
      <x:c r="N293" s="80" t="str">
        <x:v>Advanced PHV source; never merge unchanged into ordinary Gen 3</x:v>
      </x:c>
    </x:row>
    <x:row r="294">
      <x:c r="A294" s="78" t="str">
        <x:v>Model Code_7E2</x:v>
      </x:c>
      <x:c r="B294" s="79" t="str">
        <x:v>MCode_7E2</x:v>
      </x:c>
      <x:c r="C294" s="79" t="str">
        <x:v>21C1</x:v>
      </x:c>
      <x:c r="D294" s="79" t="str">
        <x:v>ABCDEFG</x:v>
      </x:c>
      <x:c r="E294" s="79" t="str">
        <x:v>0</x:v>
      </x:c>
      <x:c r="F294" s="79" t="str">
        <x:v>0</x:v>
      </x:c>
      <x:c r="G294" s="79" t="str"/>
      <x:c r="H294" s="79" t="str">
        <x:v>7E2</x:v>
      </x:c>
      <x:c r="I294" s="79" t="str">
        <x:v>PRIUS_PHV_GEN1 / ZVW35</x:v>
      </x:c>
      <x:c r="J294" s="79" t="str">
        <x:v>PiP Adv (US).csv</x:v>
      </x:c>
      <x:c r="K294" s="79" t="str">
        <x:v>2013-01-22</x:v>
      </x:c>
      <x:c r="L294" s="79" t="str">
        <x:v>READ-ONLY DIAGNOSTIC CANDIDATE</x:v>
      </x:c>
      <x:c r="M294" s="79" t="str">
        <x:v>CANDIDATE</x:v>
      </x:c>
      <x:c r="N294" s="80" t="str">
        <x:v>Advanced PHV source; never merge unchanged into ordinary Gen 3</x:v>
      </x:c>
    </x:row>
    <x:row r="295">
      <x:c r="A295" s="78" t="str">
        <x:v>Engine Code (P410)</x:v>
      </x:c>
      <x:c r="B295" s="79" t="str">
        <x:v>Eng Code</x:v>
      </x:c>
      <x:c r="C295" s="79" t="str">
        <x:v>21C1</x:v>
      </x:c>
      <x:c r="D295" s="79" t="str">
        <x:v>HIJKLM</x:v>
      </x:c>
      <x:c r="E295" s="79" t="str">
        <x:v>0</x:v>
      </x:c>
      <x:c r="F295" s="79" t="str">
        <x:v>0</x:v>
      </x:c>
      <x:c r="G295" s="79" t="str"/>
      <x:c r="H295" s="79" t="str">
        <x:v>7E2</x:v>
      </x:c>
      <x:c r="I295" s="79" t="str">
        <x:v>PRIUS_PHV_GEN1 / ZVW35</x:v>
      </x:c>
      <x:c r="J295" s="79" t="str">
        <x:v>PiP Adv (US).csv</x:v>
      </x:c>
      <x:c r="K295" s="79" t="str">
        <x:v>2013-01-22</x:v>
      </x:c>
      <x:c r="L295" s="79" t="str">
        <x:v>READ-ONLY DIAGNOSTIC CANDIDATE</x:v>
      </x:c>
      <x:c r="M295" s="79" t="str">
        <x:v>CANDIDATE</x:v>
      </x:c>
      <x:c r="N295" s="80" t="str">
        <x:v>Advanced PHV source; never merge unchanged into ordinary Gen 3</x:v>
      </x:c>
    </x:row>
    <x:row r="296">
      <x:c r="A296" s="78" t="str">
        <x:v>Destination (America=A=65)</x:v>
      </x:c>
      <x:c r="B296" s="79" t="str">
        <x:v>Dest</x:v>
      </x:c>
      <x:c r="C296" s="79" t="str">
        <x:v>21C1</x:v>
      </x:c>
      <x:c r="D296" s="79" t="str">
        <x:v>P</x:v>
      </x:c>
      <x:c r="E296" s="79" t="str">
        <x:v>0</x:v>
      </x:c>
      <x:c r="F296" s="79" t="str">
        <x:v>0</x:v>
      </x:c>
      <x:c r="G296" s="79" t="str"/>
      <x:c r="H296" s="79" t="str">
        <x:v>7E2</x:v>
      </x:c>
      <x:c r="I296" s="79" t="str">
        <x:v>PRIUS_PHV_GEN1 / ZVW35</x:v>
      </x:c>
      <x:c r="J296" s="79" t="str">
        <x:v>PiP Adv (US).csv</x:v>
      </x:c>
      <x:c r="K296" s="79" t="str">
        <x:v>2013-01-22</x:v>
      </x:c>
      <x:c r="L296" s="79" t="str">
        <x:v>READ-ONLY DIAGNOSTIC CANDIDATE</x:v>
      </x:c>
      <x:c r="M296" s="79" t="str">
        <x:v>CANDIDATE</x:v>
      </x:c>
      <x:c r="N296" s="80" t="str">
        <x:v>Advanced PHV source; never merge unchanged into ordinary Gen 3</x:v>
      </x:c>
    </x:row>
    <x:row r="297">
      <x:c r="A297" s="78" t="str">
        <x:v>ECU Code</x:v>
      </x:c>
      <x:c r="B297" s="79" t="str">
        <x:v>ECU Code</x:v>
      </x:c>
      <x:c r="C297" s="79" t="str">
        <x:v>21C2</x:v>
      </x:c>
      <x:c r="D297" s="79" t="str">
        <x:v>ABCDE</x:v>
      </x:c>
      <x:c r="E297" s="79" t="str">
        <x:v>0</x:v>
      </x:c>
      <x:c r="F297" s="79" t="str">
        <x:v>0</x:v>
      </x:c>
      <x:c r="G297" s="79" t="str"/>
      <x:c r="H297" s="79" t="str">
        <x:v>7E2</x:v>
      </x:c>
      <x:c r="I297" s="79" t="str">
        <x:v>PRIUS_PHV_GEN1 / ZVW35</x:v>
      </x:c>
      <x:c r="J297" s="79" t="str">
        <x:v>PiP Adv (US).csv</x:v>
      </x:c>
      <x:c r="K297" s="79" t="str">
        <x:v>2013-01-22</x:v>
      </x:c>
      <x:c r="L297" s="79" t="str">
        <x:v>READ-ONLY DIAGNOSTIC CANDIDATE</x:v>
      </x:c>
      <x:c r="M297" s="79" t="str">
        <x:v>CANDIDATE</x:v>
      </x:c>
      <x:c r="N297" s="80" t="str">
        <x:v>Advanced PHV source; never merge unchanged into ordinary Gen 3</x:v>
      </x:c>
    </x:row>
    <x:row r="298">
      <x:c r="A298" s="78" t="str">
        <x:v>Number of Current Code</x:v>
      </x:c>
      <x:c r="B298" s="79" t="str">
        <x:v>#Curr Code</x:v>
      </x:c>
      <x:c r="C298" s="79" t="str">
        <x:v>21E1</x:v>
      </x:c>
      <x:c r="D298" s="79" t="str">
        <x:v>A</x:v>
      </x:c>
      <x:c r="E298" s="79" t="str">
        <x:v>0</x:v>
      </x:c>
      <x:c r="F298" s="79" t="str">
        <x:v>255</x:v>
      </x:c>
      <x:c r="G298" s="79" t="str"/>
      <x:c r="H298" s="79" t="str">
        <x:v>7E2</x:v>
      </x:c>
      <x:c r="I298" s="79" t="str">
        <x:v>PRIUS_PHV_GEN1 / ZVW35</x:v>
      </x:c>
      <x:c r="J298" s="79" t="str">
        <x:v>PiP Adv (US).csv</x:v>
      </x:c>
      <x:c r="K298" s="79" t="str">
        <x:v>2013-01-22</x:v>
      </x:c>
      <x:c r="L298" s="79" t="str">
        <x:v>READ-ONLY DIAGNOSTIC CANDIDATE</x:v>
      </x:c>
      <x:c r="M298" s="79" t="str">
        <x:v>CANDIDATE</x:v>
      </x:c>
      <x:c r="N298" s="80" t="str">
        <x:v>Advanced PHV source; never merge unchanged into ordinary Gen 3</x:v>
      </x:c>
    </x:row>
    <x:row r="299">
      <x:c r="A299" s="81" t="str">
        <x:v>Number of History Code</x:v>
      </x:c>
      <x:c r="B299" s="82" t="str">
        <x:v>#Hist Code</x:v>
      </x:c>
      <x:c r="C299" s="82" t="str">
        <x:v>21E1</x:v>
      </x:c>
      <x:c r="D299" s="82" t="str">
        <x:v>B</x:v>
      </x:c>
      <x:c r="E299" s="82" t="str">
        <x:v>0</x:v>
      </x:c>
      <x:c r="F299" s="82" t="str">
        <x:v>255</x:v>
      </x:c>
      <x:c r="G299" s="82" t="str"/>
      <x:c r="H299" s="82" t="str">
        <x:v>7E2</x:v>
      </x:c>
      <x:c r="I299" s="82" t="str">
        <x:v>PRIUS_PHV_GEN1 / ZVW35</x:v>
      </x:c>
      <x:c r="J299" s="82" t="str">
        <x:v>PiP Adv (US).csv</x:v>
      </x:c>
      <x:c r="K299" s="82" t="str">
        <x:v>2013-01-22</x:v>
      </x:c>
      <x:c r="L299" s="82" t="str">
        <x:v>READ-ONLY DIAGNOSTIC CANDIDATE</x:v>
      </x:c>
      <x:c r="M299" s="82" t="str">
        <x:v>CANDIDATE</x:v>
      </x:c>
      <x:c r="N299" s="83" t="str">
        <x:v>Advanced PHV source; never merge unchanged into ordinary Gen 3</x:v>
      </x:c>
    </x:row>
  </x:sheetData>
  <x:pageMargins left="0.7" right="0.7" top="0.75" bottom="0.75" header="0.3" footer="0.3"/>
  <x:tableParts count="1">
    <x:tablePart xmlns:r="http://schemas.openxmlformats.org/officeDocument/2006/relationships" r:id="R33a408f1c9d34bb7"/>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2" customHeight="1">
      <x:c r="A1" s="84" t="str">
        <x:v>Name</x:v>
      </x:c>
      <x:c r="B1" s="85" t="str">
        <x:v>ShortName</x:v>
      </x:c>
      <x:c r="C1" s="85" t="str">
        <x:v>ModeAndPID</x:v>
      </x:c>
      <x:c r="D1" s="85" t="str">
        <x:v>Equation</x:v>
      </x:c>
      <x:c r="E1" s="85" t="str">
        <x:v>Min Value</x:v>
      </x:c>
      <x:c r="F1" s="85" t="str">
        <x:v>Max Value</x:v>
      </x:c>
      <x:c r="G1" s="85" t="str">
        <x:v>Units</x:v>
      </x:c>
      <x:c r="H1" s="85" t="str">
        <x:v>Header</x:v>
      </x:c>
      <x:c r="I1" s="85" t="str">
        <x:v>Profile</x:v>
      </x:c>
      <x:c r="J1" s="85" t="str">
        <x:v>Source File</x:v>
      </x:c>
      <x:c r="K1" s="85" t="str">
        <x:v>Safety Class</x:v>
      </x:c>
      <x:c r="L1" s="86" t="str">
        <x:v>Firmware Policy</x:v>
      </x:c>
    </x:row>
    <x:row r="2">
      <x:c r="A2" s="78" t="str">
        <x:v>Seat Belt Beep Disable All</x:v>
      </x:c>
      <x:c r="B2" s="79" t="str">
        <x:v>SBB Dis A</x:v>
      </x:c>
      <x:c r="C2" s="79" t="str">
        <x:v>3BA700</x:v>
      </x:c>
      <x:c r="D2" s="79" t="str">
        <x:v>A</x:v>
      </x:c>
      <x:c r="E2" s="79" t="n">
        <x:v>0</x:v>
      </x:c>
      <x:c r="F2" s="79" t="n">
        <x:v>0</x:v>
      </x:c>
      <x:c r="G2" s="79" t="str">
        <x:v>No reply req'd</x:v>
      </x:c>
      <x:c r="H2" s="79" t="str">
        <x:v>7C0</x:v>
      </x:c>
      <x:c r="I2" s="79" t="str">
        <x:v>PRIUS_GEN3 / ZVW30</x:v>
      </x:c>
      <x:c r="J2" s="79" t="str">
        <x:v>ZVW30 Custom PIDs - Customize Options</x:v>
      </x:c>
      <x:c r="K2" s="79" t="str">
        <x:v>CONTROL/WRITE - QUARANTINED</x:v>
      </x:c>
      <x:c r="L2" s="80" t="str">
        <x:v>DO NOT AUTO-TRANSMIT</x:v>
      </x:c>
    </x:row>
    <x:row r="3">
      <x:c r="A3" s="78" t="str">
        <x:v>Seat Belt Beep Enable Rear Only (if equipped)</x:v>
      </x:c>
      <x:c r="B3" s="79" t="str">
        <x:v>SBB Ena R</x:v>
      </x:c>
      <x:c r="C3" s="79" t="str">
        <x:v>3BA720</x:v>
      </x:c>
      <x:c r="D3" s="79" t="str">
        <x:v>A</x:v>
      </x:c>
      <x:c r="E3" s="79" t="n">
        <x:v>0</x:v>
      </x:c>
      <x:c r="F3" s="79" t="n">
        <x:v>0</x:v>
      </x:c>
      <x:c r="G3" s="79" t="str">
        <x:v>No reply req'd</x:v>
      </x:c>
      <x:c r="H3" s="79" t="str">
        <x:v>7C0</x:v>
      </x:c>
      <x:c r="I3" s="79" t="str">
        <x:v>PRIUS_GEN3 / ZVW30</x:v>
      </x:c>
      <x:c r="J3" s="79" t="str">
        <x:v>ZVW30 Custom PIDs - Customize Options</x:v>
      </x:c>
      <x:c r="K3" s="79" t="str">
        <x:v>CONTROL/WRITE - QUARANTINED</x:v>
      </x:c>
      <x:c r="L3" s="80" t="str">
        <x:v>DO NOT AUTO-TRANSMIT</x:v>
      </x:c>
    </x:row>
    <x:row r="4">
      <x:c r="A4" s="78" t="str">
        <x:v>Seat Belt Beep Enable Passenger Only</x:v>
      </x:c>
      <x:c r="B4" s="79" t="str">
        <x:v>SBB Ena P</x:v>
      </x:c>
      <x:c r="C4" s="79" t="str">
        <x:v>3BA740</x:v>
      </x:c>
      <x:c r="D4" s="79" t="str">
        <x:v>A</x:v>
      </x:c>
      <x:c r="E4" s="79" t="n">
        <x:v>0</x:v>
      </x:c>
      <x:c r="F4" s="79" t="n">
        <x:v>0</x:v>
      </x:c>
      <x:c r="G4" s="79" t="str">
        <x:v>No reply req'd</x:v>
      </x:c>
      <x:c r="H4" s="79" t="str">
        <x:v>7C0</x:v>
      </x:c>
      <x:c r="I4" s="79" t="str">
        <x:v>PRIUS_GEN3 / ZVW30</x:v>
      </x:c>
      <x:c r="J4" s="79" t="str">
        <x:v>ZVW30 Custom PIDs - Customize Options</x:v>
      </x:c>
      <x:c r="K4" s="79" t="str">
        <x:v>CONTROL/WRITE - QUARANTINED</x:v>
      </x:c>
      <x:c r="L4" s="80" t="str">
        <x:v>DO NOT AUTO-TRANSMIT</x:v>
      </x:c>
    </x:row>
    <x:row r="5">
      <x:c r="A5" s="78" t="str">
        <x:v>Seat Belt Beep Disable Driver Only</x:v>
      </x:c>
      <x:c r="B5" s="79" t="str">
        <x:v>SBB Dis D</x:v>
      </x:c>
      <x:c r="C5" s="79" t="str">
        <x:v>3BA760</x:v>
      </x:c>
      <x:c r="D5" s="79" t="str">
        <x:v>A</x:v>
      </x:c>
      <x:c r="E5" s="79" t="n">
        <x:v>0</x:v>
      </x:c>
      <x:c r="F5" s="79" t="n">
        <x:v>0</x:v>
      </x:c>
      <x:c r="G5" s="79" t="str">
        <x:v>No reply req'd</x:v>
      </x:c>
      <x:c r="H5" s="79" t="str">
        <x:v>7C0</x:v>
      </x:c>
      <x:c r="I5" s="79" t="str">
        <x:v>PRIUS_GEN3 / ZVW30</x:v>
      </x:c>
      <x:c r="J5" s="79" t="str">
        <x:v>ZVW30 Custom PIDs - Customize Options</x:v>
      </x:c>
      <x:c r="K5" s="79" t="str">
        <x:v>CONTROL/WRITE - QUARANTINED</x:v>
      </x:c>
      <x:c r="L5" s="80" t="str">
        <x:v>DO NOT AUTO-TRANSMIT</x:v>
      </x:c>
    </x:row>
    <x:row r="6">
      <x:c r="A6" s="78" t="str">
        <x:v>Seat Belt Beep Enable Driver Only</x:v>
      </x:c>
      <x:c r="B6" s="79" t="str">
        <x:v>SBB Ena D</x:v>
      </x:c>
      <x:c r="C6" s="79" t="str">
        <x:v>3BA780</x:v>
      </x:c>
      <x:c r="D6" s="79" t="str">
        <x:v>A</x:v>
      </x:c>
      <x:c r="E6" s="79" t="n">
        <x:v>0</x:v>
      </x:c>
      <x:c r="F6" s="79" t="n">
        <x:v>0</x:v>
      </x:c>
      <x:c r="G6" s="79" t="str">
        <x:v>No reply req'd</x:v>
      </x:c>
      <x:c r="H6" s="79" t="str">
        <x:v>7C0</x:v>
      </x:c>
      <x:c r="I6" s="79" t="str">
        <x:v>PRIUS_GEN3 / ZVW30</x:v>
      </x:c>
      <x:c r="J6" s="79" t="str">
        <x:v>ZVW30 Custom PIDs - Customize Options</x:v>
      </x:c>
      <x:c r="K6" s="79" t="str">
        <x:v>CONTROL/WRITE - QUARANTINED</x:v>
      </x:c>
      <x:c r="L6" s="80" t="str">
        <x:v>DO NOT AUTO-TRANSMIT</x:v>
      </x:c>
    </x:row>
    <x:row r="7">
      <x:c r="A7" s="78" t="str">
        <x:v>Seat Belt Beep Disable Passenger Only</x:v>
      </x:c>
      <x:c r="B7" s="79" t="str">
        <x:v>SBB Dis P</x:v>
      </x:c>
      <x:c r="C7" s="79" t="str">
        <x:v>3BA7A0</x:v>
      </x:c>
      <x:c r="D7" s="79" t="str">
        <x:v>A</x:v>
      </x:c>
      <x:c r="E7" s="79" t="n">
        <x:v>0</x:v>
      </x:c>
      <x:c r="F7" s="79" t="n">
        <x:v>0</x:v>
      </x:c>
      <x:c r="G7" s="79" t="str">
        <x:v>No reply req'd</x:v>
      </x:c>
      <x:c r="H7" s="79" t="str">
        <x:v>7C0</x:v>
      </x:c>
      <x:c r="I7" s="79" t="str">
        <x:v>PRIUS_GEN3 / ZVW30</x:v>
      </x:c>
      <x:c r="J7" s="79" t="str">
        <x:v>ZVW30 Custom PIDs - Customize Options</x:v>
      </x:c>
      <x:c r="K7" s="79" t="str">
        <x:v>CONTROL/WRITE - QUARANTINED</x:v>
      </x:c>
      <x:c r="L7" s="80" t="str">
        <x:v>DO NOT AUTO-TRANSMIT</x:v>
      </x:c>
    </x:row>
    <x:row r="8">
      <x:c r="A8" s="78" t="str">
        <x:v>Seat Belt Beep Disable Rear Only (if equipped)</x:v>
      </x:c>
      <x:c r="B8" s="79" t="str">
        <x:v>SBB Dis R</x:v>
      </x:c>
      <x:c r="C8" s="79" t="str">
        <x:v>3BA7C0</x:v>
      </x:c>
      <x:c r="D8" s="79" t="str">
        <x:v>A</x:v>
      </x:c>
      <x:c r="E8" s="79" t="n">
        <x:v>0</x:v>
      </x:c>
      <x:c r="F8" s="79" t="n">
        <x:v>0</x:v>
      </x:c>
      <x:c r="G8" s="79" t="str">
        <x:v>No reply req'd</x:v>
      </x:c>
      <x:c r="H8" s="79" t="str">
        <x:v>7C0</x:v>
      </x:c>
      <x:c r="I8" s="79" t="str">
        <x:v>PRIUS_GEN3 / ZVW30</x:v>
      </x:c>
      <x:c r="J8" s="79" t="str">
        <x:v>ZVW30 Custom PIDs - Customize Options</x:v>
      </x:c>
      <x:c r="K8" s="79" t="str">
        <x:v>CONTROL/WRITE - QUARANTINED</x:v>
      </x:c>
      <x:c r="L8" s="80" t="str">
        <x:v>DO NOT AUTO-TRANSMIT</x:v>
      </x:c>
    </x:row>
    <x:row r="9">
      <x:c r="A9" s="78" t="str">
        <x:v>Seat Belt Beep Enable All</x:v>
      </x:c>
      <x:c r="B9" s="79" t="str">
        <x:v>SBB Ena A</x:v>
      </x:c>
      <x:c r="C9" s="79" t="str">
        <x:v>3BA7E0</x:v>
      </x:c>
      <x:c r="D9" s="79" t="str">
        <x:v>A</x:v>
      </x:c>
      <x:c r="E9" s="79" t="n">
        <x:v>0</x:v>
      </x:c>
      <x:c r="F9" s="79" t="n">
        <x:v>0</x:v>
      </x:c>
      <x:c r="G9" s="79" t="str">
        <x:v>No reply req'd</x:v>
      </x:c>
      <x:c r="H9" s="79" t="str">
        <x:v>7C0</x:v>
      </x:c>
      <x:c r="I9" s="79" t="str">
        <x:v>PRIUS_GEN3 / ZVW30</x:v>
      </x:c>
      <x:c r="J9" s="79" t="str">
        <x:v>ZVW30 Custom PIDs - Customize Options</x:v>
      </x:c>
      <x:c r="K9" s="79" t="str">
        <x:v>CONTROL/WRITE - QUARANTINED</x:v>
      </x:c>
      <x:c r="L9" s="80" t="str">
        <x:v>DO NOT AUTO-TRANSMIT</x:v>
      </x:c>
    </x:row>
    <x:row r="10">
      <x:c r="A10" s="78" t="str">
        <x:v>Reverse Beep Enable</x:v>
      </x:c>
      <x:c r="B10" s="79" t="str">
        <x:v>RB Ena</x:v>
      </x:c>
      <x:c r="C10" s="79" t="str">
        <x:v>3BAC00</x:v>
      </x:c>
      <x:c r="D10" s="79" t="str">
        <x:v>A</x:v>
      </x:c>
      <x:c r="E10" s="79" t="n">
        <x:v>0</x:v>
      </x:c>
      <x:c r="F10" s="79" t="n">
        <x:v>0</x:v>
      </x:c>
      <x:c r="G10" s="79" t="str">
        <x:v>No reply req'd</x:v>
      </x:c>
      <x:c r="H10" s="79" t="str">
        <x:v>7C0</x:v>
      </x:c>
      <x:c r="I10" s="79" t="str">
        <x:v>PRIUS_GEN3 / ZVW30</x:v>
      </x:c>
      <x:c r="J10" s="79" t="str">
        <x:v>ZVW30 Custom PIDs - Customize Options</x:v>
      </x:c>
      <x:c r="K10" s="79" t="str">
        <x:v>CONTROL/WRITE - QUARANTINED</x:v>
      </x:c>
      <x:c r="L10" s="80" t="str">
        <x:v>DO NOT AUTO-TRANSMIT</x:v>
      </x:c>
    </x:row>
    <x:row r="11">
      <x:c r="A11" s="78" t="str">
        <x:v>Reverse Beep Disable</x:v>
      </x:c>
      <x:c r="B11" s="79" t="str">
        <x:v>RB Dis</x:v>
      </x:c>
      <x:c r="C11" s="79" t="str">
        <x:v>3BAC40</x:v>
      </x:c>
      <x:c r="D11" s="79" t="str">
        <x:v>A</x:v>
      </x:c>
      <x:c r="E11" s="79" t="n">
        <x:v>0</x:v>
      </x:c>
      <x:c r="F11" s="79" t="n">
        <x:v>0</x:v>
      </x:c>
      <x:c r="G11" s="79" t="str">
        <x:v>No reply req'd</x:v>
      </x:c>
      <x:c r="H11" s="79" t="str">
        <x:v>7C0</x:v>
      </x:c>
      <x:c r="I11" s="79" t="str">
        <x:v>PRIUS_GEN3 / ZVW30</x:v>
      </x:c>
      <x:c r="J11" s="79" t="str">
        <x:v>ZVW30 Custom PIDs - Customize Options</x:v>
      </x:c>
      <x:c r="K11" s="79" t="str">
        <x:v>CONTROL/WRITE - QUARANTINED</x:v>
      </x:c>
      <x:c r="L11" s="80" t="str">
        <x:v>DO NOT AUTO-TRANSMIT</x:v>
      </x:c>
    </x:row>
    <x:row r="12">
      <x:c r="A12" s="78" t="str">
        <x:v>Disable Traction Control (Car in IGN-ON, NOT READY. Reset: Turn car off and on again.)</x:v>
      </x:c>
      <x:c r="B12" s="79" t="str">
        <x:v>TRAC Dis</x:v>
      </x:c>
      <x:c r="C12" s="79" t="str">
        <x:v>30610040</x:v>
      </x:c>
      <x:c r="D12" s="79" t="str">
        <x:v>A</x:v>
      </x:c>
      <x:c r="E12" s="79" t="n">
        <x:v>0</x:v>
      </x:c>
      <x:c r="F12" s="79" t="n">
        <x:v>0</x:v>
      </x:c>
      <x:c r="G12" s="79" t="str">
        <x:v>No reply req'd</x:v>
      </x:c>
      <x:c r="H12" s="79" t="str">
        <x:v>7E2</x:v>
      </x:c>
      <x:c r="I12" s="79" t="str">
        <x:v>PRIUS_GEN3 / ZVW30</x:v>
      </x:c>
      <x:c r="J12" s="79" t="str">
        <x:v>ZVW30 Custom PIDs - Customize Options</x:v>
      </x:c>
      <x:c r="K12" s="79" t="str">
        <x:v>CONTROL/WRITE - QUARANTINED</x:v>
      </x:c>
      <x:c r="L12" s="80" t="str">
        <x:v>DO NOT AUTO-TRANSMIT</x:v>
      </x:c>
    </x:row>
    <x:row r="13">
      <x:c r="A13" s="78" t="str">
        <x:v>Set Battery Cooling Fan Speed 0 (Off)</x:v>
      </x:c>
      <x:c r="B13" s="79" t="str">
        <x:v>SFS0</x:v>
      </x:c>
      <x:c r="C13" s="79" t="str">
        <x:v>30810600</x:v>
      </x:c>
      <x:c r="D13" s="79" t="str">
        <x:v>A</x:v>
      </x:c>
      <x:c r="E13" s="79" t="n">
        <x:v>0</x:v>
      </x:c>
      <x:c r="F13" s="79" t="n">
        <x:v>0</x:v>
      </x:c>
      <x:c r="G13" s="79" t="str">
        <x:v>No reply req'd</x:v>
      </x:c>
      <x:c r="H13" s="79" t="str">
        <x:v>7E2</x:v>
      </x:c>
      <x:c r="I13" s="79" t="str">
        <x:v>PRIUS_GEN3 / ZVW30</x:v>
      </x:c>
      <x:c r="J13" s="79" t="str">
        <x:v>ZVW30 Custom PIDs - Customize Options</x:v>
      </x:c>
      <x:c r="K13" s="79" t="str">
        <x:v>CONTROL/WRITE - QUARANTINED</x:v>
      </x:c>
      <x:c r="L13" s="80" t="str">
        <x:v>DO NOT AUTO-TRANSMIT</x:v>
      </x:c>
    </x:row>
    <x:row r="14">
      <x:c r="A14" s="78" t="str">
        <x:v>Set Battery Cooling Fan Speed 1</x:v>
      </x:c>
      <x:c r="B14" s="79" t="str">
        <x:v>SFS1</x:v>
      </x:c>
      <x:c r="C14" s="79" t="str">
        <x:v>30810601</x:v>
      </x:c>
      <x:c r="D14" s="79" t="str">
        <x:v>A</x:v>
      </x:c>
      <x:c r="E14" s="79" t="n">
        <x:v>0</x:v>
      </x:c>
      <x:c r="F14" s="79" t="n">
        <x:v>0</x:v>
      </x:c>
      <x:c r="G14" s="79" t="str">
        <x:v>No reply req'd</x:v>
      </x:c>
      <x:c r="H14" s="79" t="str">
        <x:v>7E2</x:v>
      </x:c>
      <x:c r="I14" s="79" t="str">
        <x:v>PRIUS_GEN3 / ZVW30</x:v>
      </x:c>
      <x:c r="J14" s="79" t="str">
        <x:v>ZVW30 Custom PIDs - Customize Options</x:v>
      </x:c>
      <x:c r="K14" s="79" t="str">
        <x:v>CONTROL/WRITE - QUARANTINED</x:v>
      </x:c>
      <x:c r="L14" s="80" t="str">
        <x:v>DO NOT AUTO-TRANSMIT</x:v>
      </x:c>
    </x:row>
    <x:row r="15">
      <x:c r="A15" s="78" t="str">
        <x:v>Set Battery Cooling Fan Speed 2</x:v>
      </x:c>
      <x:c r="B15" s="79" t="str">
        <x:v>SFS2</x:v>
      </x:c>
      <x:c r="C15" s="79" t="str">
        <x:v>30810602</x:v>
      </x:c>
      <x:c r="D15" s="79" t="str">
        <x:v>A</x:v>
      </x:c>
      <x:c r="E15" s="79" t="n">
        <x:v>0</x:v>
      </x:c>
      <x:c r="F15" s="79" t="n">
        <x:v>0</x:v>
      </x:c>
      <x:c r="G15" s="79" t="str">
        <x:v>No reply req'd</x:v>
      </x:c>
      <x:c r="H15" s="79" t="str">
        <x:v>7E2</x:v>
      </x:c>
      <x:c r="I15" s="79" t="str">
        <x:v>PRIUS_GEN3 / ZVW30</x:v>
      </x:c>
      <x:c r="J15" s="79" t="str">
        <x:v>ZVW30 Custom PIDs - Customize Options</x:v>
      </x:c>
      <x:c r="K15" s="79" t="str">
        <x:v>CONTROL/WRITE - QUARANTINED</x:v>
      </x:c>
      <x:c r="L15" s="80" t="str">
        <x:v>DO NOT AUTO-TRANSMIT</x:v>
      </x:c>
    </x:row>
    <x:row r="16">
      <x:c r="A16" s="78" t="str">
        <x:v>Set Battery Cooling Fan Speed 3</x:v>
      </x:c>
      <x:c r="B16" s="79" t="str">
        <x:v>SFS3</x:v>
      </x:c>
      <x:c r="C16" s="79" t="str">
        <x:v>30810603</x:v>
      </x:c>
      <x:c r="D16" s="79" t="str">
        <x:v>A</x:v>
      </x:c>
      <x:c r="E16" s="79" t="n">
        <x:v>0</x:v>
      </x:c>
      <x:c r="F16" s="79" t="n">
        <x:v>0</x:v>
      </x:c>
      <x:c r="G16" s="79" t="str">
        <x:v>No reply req'd</x:v>
      </x:c>
      <x:c r="H16" s="79" t="str">
        <x:v>7E2</x:v>
      </x:c>
      <x:c r="I16" s="79" t="str">
        <x:v>PRIUS_GEN3 / ZVW30</x:v>
      </x:c>
      <x:c r="J16" s="79" t="str">
        <x:v>ZVW30 Custom PIDs - Customize Options</x:v>
      </x:c>
      <x:c r="K16" s="79" t="str">
        <x:v>CONTROL/WRITE - QUARANTINED</x:v>
      </x:c>
      <x:c r="L16" s="80" t="str">
        <x:v>DO NOT AUTO-TRANSMIT</x:v>
      </x:c>
    </x:row>
    <x:row r="17">
      <x:c r="A17" s="78" t="str">
        <x:v>Set Battery Cooling Fan Speed 4</x:v>
      </x:c>
      <x:c r="B17" s="79" t="str">
        <x:v>SFS4</x:v>
      </x:c>
      <x:c r="C17" s="79" t="str">
        <x:v>30810604</x:v>
      </x:c>
      <x:c r="D17" s="79" t="str">
        <x:v>A</x:v>
      </x:c>
      <x:c r="E17" s="79" t="n">
        <x:v>0</x:v>
      </x:c>
      <x:c r="F17" s="79" t="n">
        <x:v>0</x:v>
      </x:c>
      <x:c r="G17" s="79" t="str">
        <x:v>No reply req'd</x:v>
      </x:c>
      <x:c r="H17" s="79" t="str">
        <x:v>7E2</x:v>
      </x:c>
      <x:c r="I17" s="79" t="str">
        <x:v>PRIUS_GEN3 / ZVW30</x:v>
      </x:c>
      <x:c r="J17" s="79" t="str">
        <x:v>ZVW30 Custom PIDs - Customize Options</x:v>
      </x:c>
      <x:c r="K17" s="79" t="str">
        <x:v>CONTROL/WRITE - QUARANTINED</x:v>
      </x:c>
      <x:c r="L17" s="80" t="str">
        <x:v>DO NOT AUTO-TRANSMIT</x:v>
      </x:c>
    </x:row>
    <x:row r="18">
      <x:c r="A18" s="78" t="str">
        <x:v>Set Battery Cooling Fan Speed 5</x:v>
      </x:c>
      <x:c r="B18" s="79" t="str">
        <x:v>SFS5</x:v>
      </x:c>
      <x:c r="C18" s="79" t="str">
        <x:v>30810605</x:v>
      </x:c>
      <x:c r="D18" s="79" t="str">
        <x:v>A</x:v>
      </x:c>
      <x:c r="E18" s="79" t="n">
        <x:v>0</x:v>
      </x:c>
      <x:c r="F18" s="79" t="n">
        <x:v>0</x:v>
      </x:c>
      <x:c r="G18" s="79" t="str">
        <x:v>No reply req'd</x:v>
      </x:c>
      <x:c r="H18" s="79" t="str">
        <x:v>7E2</x:v>
      </x:c>
      <x:c r="I18" s="79" t="str">
        <x:v>PRIUS_GEN3 / ZVW30</x:v>
      </x:c>
      <x:c r="J18" s="79" t="str">
        <x:v>ZVW30 Custom PIDs - Customize Options</x:v>
      </x:c>
      <x:c r="K18" s="79" t="str">
        <x:v>CONTROL/WRITE - QUARANTINED</x:v>
      </x:c>
      <x:c r="L18" s="80" t="str">
        <x:v>DO NOT AUTO-TRANSMIT</x:v>
      </x:c>
    </x:row>
    <x:row r="19">
      <x:c r="A19" s="78" t="str">
        <x:v>Set Battery Cooling Fan Speed 6 (max.)</x:v>
      </x:c>
      <x:c r="B19" s="79" t="str">
        <x:v>SFS6</x:v>
      </x:c>
      <x:c r="C19" s="79" t="str">
        <x:v>30810606</x:v>
      </x:c>
      <x:c r="D19" s="79" t="str">
        <x:v>A</x:v>
      </x:c>
      <x:c r="E19" s="79" t="n">
        <x:v>0</x:v>
      </x:c>
      <x:c r="F19" s="79" t="n">
        <x:v>0</x:v>
      </x:c>
      <x:c r="G19" s="79" t="str">
        <x:v>No reply req'd</x:v>
      </x:c>
      <x:c r="H19" s="79" t="str">
        <x:v>7E2</x:v>
      </x:c>
      <x:c r="I19" s="79" t="str">
        <x:v>PRIUS_GEN3 / ZVW30</x:v>
      </x:c>
      <x:c r="J19" s="79" t="str">
        <x:v>ZVW30 Custom PIDs - Customize Options</x:v>
      </x:c>
      <x:c r="K19" s="79" t="str">
        <x:v>CONTROL/WRITE - QUARANTINED</x:v>
      </x:c>
      <x:c r="L19" s="80" t="str">
        <x:v>DO NOT AUTO-TRANSMIT</x:v>
      </x:c>
    </x:row>
    <x:row r="20">
      <x:c r="A20" s="78" t="str">
        <x:v>Disable Traction Control (Car in IGN-ON, NOT READY. Reset: Turn car off and on again.)</x:v>
      </x:c>
      <x:c r="B20" s="79" t="str">
        <x:v>TRAC Dis</x:v>
      </x:c>
      <x:c r="C20" s="79" t="str">
        <x:v>30610040</x:v>
      </x:c>
      <x:c r="D20" s="79" t="str">
        <x:v>A</x:v>
      </x:c>
      <x:c r="E20" s="79" t="str">
        <x:v>0</x:v>
      </x:c>
      <x:c r="F20" s="79" t="str">
        <x:v>0</x:v>
      </x:c>
      <x:c r="G20" s="79" t="str">
        <x:v>No reply req'd</x:v>
      </x:c>
      <x:c r="H20" s="79" t="str">
        <x:v>7E2</x:v>
      </x:c>
      <x:c r="I20" s="79" t="str">
        <x:v>PRIUS_PHV_GEN1 / ZVW35</x:v>
      </x:c>
      <x:c r="J20" s="79" t="str">
        <x:v>PiP Config.csv</x:v>
      </x:c>
      <x:c r="K20" s="79" t="str">
        <x:v>CONTROL/WRITE - QUARANTINED</x:v>
      </x:c>
      <x:c r="L20" s="80" t="str">
        <x:v>DO NOT AUTO-TRANSMIT</x:v>
      </x:c>
    </x:row>
    <x:row r="21">
      <x:c r="A21" s="78" t="str">
        <x:v>Set Battery Cooling Fan Speed 0 (Off)</x:v>
      </x:c>
      <x:c r="B21" s="79" t="str">
        <x:v>SFS0</x:v>
      </x:c>
      <x:c r="C21" s="79" t="str">
        <x:v>30810600</x:v>
      </x:c>
      <x:c r="D21" s="79" t="str">
        <x:v>A</x:v>
      </x:c>
      <x:c r="E21" s="79" t="str">
        <x:v>0</x:v>
      </x:c>
      <x:c r="F21" s="79" t="str">
        <x:v>0</x:v>
      </x:c>
      <x:c r="G21" s="79" t="str">
        <x:v>No reply req'd</x:v>
      </x:c>
      <x:c r="H21" s="79" t="str">
        <x:v>7E2</x:v>
      </x:c>
      <x:c r="I21" s="79" t="str">
        <x:v>PRIUS_PHV_GEN1 / ZVW35</x:v>
      </x:c>
      <x:c r="J21" s="79" t="str">
        <x:v>PiP Config.csv</x:v>
      </x:c>
      <x:c r="K21" s="79" t="str">
        <x:v>CONTROL/WRITE - QUARANTINED</x:v>
      </x:c>
      <x:c r="L21" s="80" t="str">
        <x:v>DO NOT AUTO-TRANSMIT</x:v>
      </x:c>
    </x:row>
    <x:row r="22">
      <x:c r="A22" s="78" t="str">
        <x:v>Set Battery Cooling Fan Speed 1</x:v>
      </x:c>
      <x:c r="B22" s="79" t="str">
        <x:v>SFS1</x:v>
      </x:c>
      <x:c r="C22" s="79" t="str">
        <x:v>30810601</x:v>
      </x:c>
      <x:c r="D22" s="79" t="str">
        <x:v>A</x:v>
      </x:c>
      <x:c r="E22" s="79" t="str">
        <x:v>0</x:v>
      </x:c>
      <x:c r="F22" s="79" t="str">
        <x:v>0</x:v>
      </x:c>
      <x:c r="G22" s="79" t="str">
        <x:v>No reply req'd</x:v>
      </x:c>
      <x:c r="H22" s="79" t="str">
        <x:v>7E2</x:v>
      </x:c>
      <x:c r="I22" s="79" t="str">
        <x:v>PRIUS_PHV_GEN1 / ZVW35</x:v>
      </x:c>
      <x:c r="J22" s="79" t="str">
        <x:v>PiP Config.csv</x:v>
      </x:c>
      <x:c r="K22" s="79" t="str">
        <x:v>CONTROL/WRITE - QUARANTINED</x:v>
      </x:c>
      <x:c r="L22" s="80" t="str">
        <x:v>DO NOT AUTO-TRANSMIT</x:v>
      </x:c>
    </x:row>
    <x:row r="23">
      <x:c r="A23" s="78" t="str">
        <x:v>Set Battery Cooling Fan Speed 2</x:v>
      </x:c>
      <x:c r="B23" s="79" t="str">
        <x:v>SFS2</x:v>
      </x:c>
      <x:c r="C23" s="79" t="str">
        <x:v>30810602</x:v>
      </x:c>
      <x:c r="D23" s="79" t="str">
        <x:v>A</x:v>
      </x:c>
      <x:c r="E23" s="79" t="str">
        <x:v>0</x:v>
      </x:c>
      <x:c r="F23" s="79" t="str">
        <x:v>0</x:v>
      </x:c>
      <x:c r="G23" s="79" t="str">
        <x:v>No reply req'd</x:v>
      </x:c>
      <x:c r="H23" s="79" t="str">
        <x:v>7E2</x:v>
      </x:c>
      <x:c r="I23" s="79" t="str">
        <x:v>PRIUS_PHV_GEN1 / ZVW35</x:v>
      </x:c>
      <x:c r="J23" s="79" t="str">
        <x:v>PiP Config.csv</x:v>
      </x:c>
      <x:c r="K23" s="79" t="str">
        <x:v>CONTROL/WRITE - QUARANTINED</x:v>
      </x:c>
      <x:c r="L23" s="80" t="str">
        <x:v>DO NOT AUTO-TRANSMIT</x:v>
      </x:c>
    </x:row>
    <x:row r="24">
      <x:c r="A24" s="78" t="str">
        <x:v>Set Battery Cooling Fan Speed 3</x:v>
      </x:c>
      <x:c r="B24" s="79" t="str">
        <x:v>SFS3</x:v>
      </x:c>
      <x:c r="C24" s="79" t="str">
        <x:v>30810603</x:v>
      </x:c>
      <x:c r="D24" s="79" t="str">
        <x:v>A</x:v>
      </x:c>
      <x:c r="E24" s="79" t="str">
        <x:v>0</x:v>
      </x:c>
      <x:c r="F24" s="79" t="str">
        <x:v>0</x:v>
      </x:c>
      <x:c r="G24" s="79" t="str">
        <x:v>No reply req'd</x:v>
      </x:c>
      <x:c r="H24" s="79" t="str">
        <x:v>7E2</x:v>
      </x:c>
      <x:c r="I24" s="79" t="str">
        <x:v>PRIUS_PHV_GEN1 / ZVW35</x:v>
      </x:c>
      <x:c r="J24" s="79" t="str">
        <x:v>PiP Config.csv</x:v>
      </x:c>
      <x:c r="K24" s="79" t="str">
        <x:v>CONTROL/WRITE - QUARANTINED</x:v>
      </x:c>
      <x:c r="L24" s="80" t="str">
        <x:v>DO NOT AUTO-TRANSMIT</x:v>
      </x:c>
    </x:row>
    <x:row r="25">
      <x:c r="A25" s="78" t="str">
        <x:v>Set Battery Cooling Fan Speed 4</x:v>
      </x:c>
      <x:c r="B25" s="79" t="str">
        <x:v>SFS4</x:v>
      </x:c>
      <x:c r="C25" s="79" t="str">
        <x:v>30810604</x:v>
      </x:c>
      <x:c r="D25" s="79" t="str">
        <x:v>A</x:v>
      </x:c>
      <x:c r="E25" s="79" t="str">
        <x:v>0</x:v>
      </x:c>
      <x:c r="F25" s="79" t="str">
        <x:v>0</x:v>
      </x:c>
      <x:c r="G25" s="79" t="str">
        <x:v>No reply req'd</x:v>
      </x:c>
      <x:c r="H25" s="79" t="str">
        <x:v>7E2</x:v>
      </x:c>
      <x:c r="I25" s="79" t="str">
        <x:v>PRIUS_PHV_GEN1 / ZVW35</x:v>
      </x:c>
      <x:c r="J25" s="79" t="str">
        <x:v>PiP Config.csv</x:v>
      </x:c>
      <x:c r="K25" s="79" t="str">
        <x:v>CONTROL/WRITE - QUARANTINED</x:v>
      </x:c>
      <x:c r="L25" s="80" t="str">
        <x:v>DO NOT AUTO-TRANSMIT</x:v>
      </x:c>
    </x:row>
    <x:row r="26">
      <x:c r="A26" s="78" t="str">
        <x:v>Set Battery Cooling Fan Speed 5</x:v>
      </x:c>
      <x:c r="B26" s="79" t="str">
        <x:v>SFS5</x:v>
      </x:c>
      <x:c r="C26" s="79" t="str">
        <x:v>30810605</x:v>
      </x:c>
      <x:c r="D26" s="79" t="str">
        <x:v>A</x:v>
      </x:c>
      <x:c r="E26" s="79" t="str">
        <x:v>0</x:v>
      </x:c>
      <x:c r="F26" s="79" t="str">
        <x:v>0</x:v>
      </x:c>
      <x:c r="G26" s="79" t="str">
        <x:v>No reply req'd</x:v>
      </x:c>
      <x:c r="H26" s="79" t="str">
        <x:v>7E2</x:v>
      </x:c>
      <x:c r="I26" s="79" t="str">
        <x:v>PRIUS_PHV_GEN1 / ZVW35</x:v>
      </x:c>
      <x:c r="J26" s="79" t="str">
        <x:v>PiP Config.csv</x:v>
      </x:c>
      <x:c r="K26" s="79" t="str">
        <x:v>CONTROL/WRITE - QUARANTINED</x:v>
      </x:c>
      <x:c r="L26" s="80" t="str">
        <x:v>DO NOT AUTO-TRANSMIT</x:v>
      </x:c>
    </x:row>
    <x:row r="27">
      <x:c r="A27" s="78" t="str">
        <x:v>Set Battery Cooling Fan Speed 6 (max.)</x:v>
      </x:c>
      <x:c r="B27" s="79" t="str">
        <x:v>SFS6</x:v>
      </x:c>
      <x:c r="C27" s="79" t="str">
        <x:v>30810606</x:v>
      </x:c>
      <x:c r="D27" s="79" t="str">
        <x:v>A</x:v>
      </x:c>
      <x:c r="E27" s="79" t="str">
        <x:v>0</x:v>
      </x:c>
      <x:c r="F27" s="79" t="str">
        <x:v>0</x:v>
      </x:c>
      <x:c r="G27" s="79" t="str">
        <x:v>No reply req'd</x:v>
      </x:c>
      <x:c r="H27" s="79" t="str">
        <x:v>7E2</x:v>
      </x:c>
      <x:c r="I27" s="79" t="str">
        <x:v>PRIUS_PHV_GEN1 / ZVW35</x:v>
      </x:c>
      <x:c r="J27" s="79" t="str">
        <x:v>PiP Config.csv</x:v>
      </x:c>
      <x:c r="K27" s="79" t="str">
        <x:v>CONTROL/WRITE - QUARANTINED</x:v>
      </x:c>
      <x:c r="L27" s="80" t="str">
        <x:v>DO NOT AUTO-TRANSMIT</x:v>
      </x:c>
    </x:row>
    <x:row r="28">
      <x:c r="A28" s="78" t="str">
        <x:v>Seat Belt Beep Disable All</x:v>
      </x:c>
      <x:c r="B28" s="79" t="str">
        <x:v>SBB Dis A</x:v>
      </x:c>
      <x:c r="C28" s="79" t="str">
        <x:v>3BA700</x:v>
      </x:c>
      <x:c r="D28" s="79" t="str">
        <x:v>A</x:v>
      </x:c>
      <x:c r="E28" s="79" t="str">
        <x:v>0</x:v>
      </x:c>
      <x:c r="F28" s="79" t="str">
        <x:v>0</x:v>
      </x:c>
      <x:c r="G28" s="79" t="str">
        <x:v>No reply req'd</x:v>
      </x:c>
      <x:c r="H28" s="79" t="str">
        <x:v>7C0</x:v>
      </x:c>
      <x:c r="I28" s="79" t="str">
        <x:v>PRIUS_PHV_GEN1 / ZVW35</x:v>
      </x:c>
      <x:c r="J28" s="79" t="str">
        <x:v>PiP Config.csv</x:v>
      </x:c>
      <x:c r="K28" s="79" t="str">
        <x:v>CONTROL/WRITE - QUARANTINED</x:v>
      </x:c>
      <x:c r="L28" s="80" t="str">
        <x:v>DO NOT AUTO-TRANSMIT</x:v>
      </x:c>
    </x:row>
    <x:row r="29">
      <x:c r="A29" s="78" t="str">
        <x:v>Seat Belt Beep Enable Rear Only</x:v>
      </x:c>
      <x:c r="B29" s="79" t="str">
        <x:v>SBB Ena R</x:v>
      </x:c>
      <x:c r="C29" s="79" t="str">
        <x:v>3BA720</x:v>
      </x:c>
      <x:c r="D29" s="79" t="str">
        <x:v>A</x:v>
      </x:c>
      <x:c r="E29" s="79" t="str">
        <x:v>0</x:v>
      </x:c>
      <x:c r="F29" s="79" t="str">
        <x:v>0</x:v>
      </x:c>
      <x:c r="G29" s="79" t="str">
        <x:v>No reply req'd</x:v>
      </x:c>
      <x:c r="H29" s="79" t="str">
        <x:v>7C0</x:v>
      </x:c>
      <x:c r="I29" s="79" t="str">
        <x:v>PRIUS_PHV_GEN1 / ZVW35</x:v>
      </x:c>
      <x:c r="J29" s="79" t="str">
        <x:v>PiP Config.csv</x:v>
      </x:c>
      <x:c r="K29" s="79" t="str">
        <x:v>CONTROL/WRITE - QUARANTINED</x:v>
      </x:c>
      <x:c r="L29" s="80" t="str">
        <x:v>DO NOT AUTO-TRANSMIT</x:v>
      </x:c>
    </x:row>
    <x:row r="30">
      <x:c r="A30" s="78" t="str">
        <x:v>Seat Belt Beep Enable Passenger Only</x:v>
      </x:c>
      <x:c r="B30" s="79" t="str">
        <x:v>SBB Ena P</x:v>
      </x:c>
      <x:c r="C30" s="79" t="str">
        <x:v>3BA740</x:v>
      </x:c>
      <x:c r="D30" s="79" t="str">
        <x:v>A</x:v>
      </x:c>
      <x:c r="E30" s="79" t="str">
        <x:v>0</x:v>
      </x:c>
      <x:c r="F30" s="79" t="str">
        <x:v>0</x:v>
      </x:c>
      <x:c r="G30" s="79" t="str">
        <x:v>No reply req'd</x:v>
      </x:c>
      <x:c r="H30" s="79" t="str">
        <x:v>7C0</x:v>
      </x:c>
      <x:c r="I30" s="79" t="str">
        <x:v>PRIUS_PHV_GEN1 / ZVW35</x:v>
      </x:c>
      <x:c r="J30" s="79" t="str">
        <x:v>PiP Config.csv</x:v>
      </x:c>
      <x:c r="K30" s="79" t="str">
        <x:v>CONTROL/WRITE - QUARANTINED</x:v>
      </x:c>
      <x:c r="L30" s="80" t="str">
        <x:v>DO NOT AUTO-TRANSMIT</x:v>
      </x:c>
    </x:row>
    <x:row r="31">
      <x:c r="A31" s="78" t="str">
        <x:v>Seat Belt Beep Disable Driver Only</x:v>
      </x:c>
      <x:c r="B31" s="79" t="str">
        <x:v>SBB Dis D</x:v>
      </x:c>
      <x:c r="C31" s="79" t="str">
        <x:v>3BA760</x:v>
      </x:c>
      <x:c r="D31" s="79" t="str">
        <x:v>A</x:v>
      </x:c>
      <x:c r="E31" s="79" t="str">
        <x:v>0</x:v>
      </x:c>
      <x:c r="F31" s="79" t="str">
        <x:v>0</x:v>
      </x:c>
      <x:c r="G31" s="79" t="str">
        <x:v>No reply req'd</x:v>
      </x:c>
      <x:c r="H31" s="79" t="str">
        <x:v>7C0</x:v>
      </x:c>
      <x:c r="I31" s="79" t="str">
        <x:v>PRIUS_PHV_GEN1 / ZVW35</x:v>
      </x:c>
      <x:c r="J31" s="79" t="str">
        <x:v>PiP Config.csv</x:v>
      </x:c>
      <x:c r="K31" s="79" t="str">
        <x:v>CONTROL/WRITE - QUARANTINED</x:v>
      </x:c>
      <x:c r="L31" s="80" t="str">
        <x:v>DO NOT AUTO-TRANSMIT</x:v>
      </x:c>
    </x:row>
    <x:row r="32">
      <x:c r="A32" s="78" t="str">
        <x:v>Seat Belt Beep Enable Driver Only</x:v>
      </x:c>
      <x:c r="B32" s="79" t="str">
        <x:v>SBB Ena D</x:v>
      </x:c>
      <x:c r="C32" s="79" t="str">
        <x:v>3BA780</x:v>
      </x:c>
      <x:c r="D32" s="79" t="str">
        <x:v>A</x:v>
      </x:c>
      <x:c r="E32" s="79" t="str">
        <x:v>0</x:v>
      </x:c>
      <x:c r="F32" s="79" t="str">
        <x:v>0</x:v>
      </x:c>
      <x:c r="G32" s="79" t="str">
        <x:v>No reply req'd</x:v>
      </x:c>
      <x:c r="H32" s="79" t="str">
        <x:v>7C0</x:v>
      </x:c>
      <x:c r="I32" s="79" t="str">
        <x:v>PRIUS_PHV_GEN1 / ZVW35</x:v>
      </x:c>
      <x:c r="J32" s="79" t="str">
        <x:v>PiP Config.csv</x:v>
      </x:c>
      <x:c r="K32" s="79" t="str">
        <x:v>CONTROL/WRITE - QUARANTINED</x:v>
      </x:c>
      <x:c r="L32" s="80" t="str">
        <x:v>DO NOT AUTO-TRANSMIT</x:v>
      </x:c>
    </x:row>
    <x:row r="33">
      <x:c r="A33" s="78" t="str">
        <x:v>Seat Belt Beep Disable Passenger Only</x:v>
      </x:c>
      <x:c r="B33" s="79" t="str">
        <x:v>SBB Dis P</x:v>
      </x:c>
      <x:c r="C33" s="79" t="str">
        <x:v>3BA7A0</x:v>
      </x:c>
      <x:c r="D33" s="79" t="str">
        <x:v>A</x:v>
      </x:c>
      <x:c r="E33" s="79" t="str">
        <x:v>0</x:v>
      </x:c>
      <x:c r="F33" s="79" t="str">
        <x:v>0</x:v>
      </x:c>
      <x:c r="G33" s="79" t="str">
        <x:v>No reply req'd</x:v>
      </x:c>
      <x:c r="H33" s="79" t="str">
        <x:v>7C0</x:v>
      </x:c>
      <x:c r="I33" s="79" t="str">
        <x:v>PRIUS_PHV_GEN1 / ZVW35</x:v>
      </x:c>
      <x:c r="J33" s="79" t="str">
        <x:v>PiP Config.csv</x:v>
      </x:c>
      <x:c r="K33" s="79" t="str">
        <x:v>CONTROL/WRITE - QUARANTINED</x:v>
      </x:c>
      <x:c r="L33" s="80" t="str">
        <x:v>DO NOT AUTO-TRANSMIT</x:v>
      </x:c>
    </x:row>
    <x:row r="34">
      <x:c r="A34" s="78" t="str">
        <x:v>Seat Belt Beep Disable Rear Only</x:v>
      </x:c>
      <x:c r="B34" s="79" t="str">
        <x:v>SBB Dis R</x:v>
      </x:c>
      <x:c r="C34" s="79" t="str">
        <x:v>3BA7C0</x:v>
      </x:c>
      <x:c r="D34" s="79" t="str">
        <x:v>A</x:v>
      </x:c>
      <x:c r="E34" s="79" t="str">
        <x:v>0</x:v>
      </x:c>
      <x:c r="F34" s="79" t="str">
        <x:v>0</x:v>
      </x:c>
      <x:c r="G34" s="79" t="str">
        <x:v>No reply req'd</x:v>
      </x:c>
      <x:c r="H34" s="79" t="str">
        <x:v>7C0</x:v>
      </x:c>
      <x:c r="I34" s="79" t="str">
        <x:v>PRIUS_PHV_GEN1 / ZVW35</x:v>
      </x:c>
      <x:c r="J34" s="79" t="str">
        <x:v>PiP Config.csv</x:v>
      </x:c>
      <x:c r="K34" s="79" t="str">
        <x:v>CONTROL/WRITE - QUARANTINED</x:v>
      </x:c>
      <x:c r="L34" s="80" t="str">
        <x:v>DO NOT AUTO-TRANSMIT</x:v>
      </x:c>
    </x:row>
    <x:row r="35">
      <x:c r="A35" s="78" t="str">
        <x:v>Seat Belt Beep Enable All</x:v>
      </x:c>
      <x:c r="B35" s="79" t="str">
        <x:v>SBB Ena A</x:v>
      </x:c>
      <x:c r="C35" s="79" t="str">
        <x:v>3BA7E0</x:v>
      </x:c>
      <x:c r="D35" s="79" t="str">
        <x:v>A</x:v>
      </x:c>
      <x:c r="E35" s="79" t="str">
        <x:v>0</x:v>
      </x:c>
      <x:c r="F35" s="79" t="str">
        <x:v>0</x:v>
      </x:c>
      <x:c r="G35" s="79" t="str">
        <x:v>No reply req'd</x:v>
      </x:c>
      <x:c r="H35" s="79" t="str">
        <x:v>7C0</x:v>
      </x:c>
      <x:c r="I35" s="79" t="str">
        <x:v>PRIUS_PHV_GEN1 / ZVW35</x:v>
      </x:c>
      <x:c r="J35" s="79" t="str">
        <x:v>PiP Config.csv</x:v>
      </x:c>
      <x:c r="K35" s="79" t="str">
        <x:v>CONTROL/WRITE - QUARANTINED</x:v>
      </x:c>
      <x:c r="L35" s="80" t="str">
        <x:v>DO NOT AUTO-TRANSMIT</x:v>
      </x:c>
    </x:row>
    <x:row r="36">
      <x:c r="A36" s="78" t="str">
        <x:v>Reverse Beep Enable</x:v>
      </x:c>
      <x:c r="B36" s="79" t="str">
        <x:v>RB Ena</x:v>
      </x:c>
      <x:c r="C36" s="79" t="str">
        <x:v>3BAC00</x:v>
      </x:c>
      <x:c r="D36" s="79" t="str">
        <x:v>A</x:v>
      </x:c>
      <x:c r="E36" s="79" t="str">
        <x:v>0</x:v>
      </x:c>
      <x:c r="F36" s="79" t="str">
        <x:v>0</x:v>
      </x:c>
      <x:c r="G36" s="79" t="str">
        <x:v>No reply req'd</x:v>
      </x:c>
      <x:c r="H36" s="79" t="str">
        <x:v>7C0</x:v>
      </x:c>
      <x:c r="I36" s="79" t="str">
        <x:v>PRIUS_PHV_GEN1 / ZVW35</x:v>
      </x:c>
      <x:c r="J36" s="79" t="str">
        <x:v>PiP Config.csv</x:v>
      </x:c>
      <x:c r="K36" s="79" t="str">
        <x:v>CONTROL/WRITE - QUARANTINED</x:v>
      </x:c>
      <x:c r="L36" s="80" t="str">
        <x:v>DO NOT AUTO-TRANSMIT</x:v>
      </x:c>
    </x:row>
    <x:row r="37">
      <x:c r="A37" s="81" t="str">
        <x:v>Reverse Beep Disable</x:v>
      </x:c>
      <x:c r="B37" s="82" t="str">
        <x:v>RB Dis</x:v>
      </x:c>
      <x:c r="C37" s="82" t="str">
        <x:v>3BAC40</x:v>
      </x:c>
      <x:c r="D37" s="82" t="str">
        <x:v>A</x:v>
      </x:c>
      <x:c r="E37" s="82" t="str">
        <x:v>0</x:v>
      </x:c>
      <x:c r="F37" s="82" t="str">
        <x:v>0</x:v>
      </x:c>
      <x:c r="G37" s="82" t="str">
        <x:v>No reply req'd</x:v>
      </x:c>
      <x:c r="H37" s="82" t="str">
        <x:v>7C0</x:v>
      </x:c>
      <x:c r="I37" s="82" t="str">
        <x:v>PRIUS_PHV_GEN1 / ZVW35</x:v>
      </x:c>
      <x:c r="J37" s="82" t="str">
        <x:v>PiP Config.csv</x:v>
      </x:c>
      <x:c r="K37" s="82" t="str">
        <x:v>CONTROL/WRITE - QUARANTINED</x:v>
      </x:c>
      <x:c r="L37" s="83" t="str">
        <x:v>DO NOT AUTO-TRANSMIT</x:v>
      </x:c>
    </x:row>
  </x:sheetData>
  <x:pageMargins left="0.7" right="0.7" top="0.75" bottom="0.75" header="0.3" footer="0.3"/>
  <x:tableParts count="1">
    <x:tablePart xmlns:r="http://schemas.openxmlformats.org/officeDocument/2006/relationships" r:id="R5bccb3b087634ef1"/>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40" hidden="0" customWidth="1"/>
    <x:col min="2" max="2" width="20" hidden="0" customWidth="1"/>
    <x:col min="3" max="3" width="20" hidden="0" customWidth="1"/>
    <x:col min="4" max="4" width="20" hidden="0" customWidth="1"/>
    <x:col min="5" max="5" width="20" hidden="0" customWidth="1"/>
    <x:col min="6" max="6" width="20" hidden="0" customWidth="1"/>
    <x:col min="7" max="7" width="35" hidden="0" customWidth="1"/>
    <x:col min="8" max="8" width="20" hidden="0" customWidth="1"/>
  </x:cols>
  <x:sheetData>
    <x:row r="1" ht="32" customHeight="1">
      <x:c r="A1" s="66" t="str">
        <x:v>Source File</x:v>
      </x:c>
      <x:c r="B1" s="67" t="str">
        <x:v>Profile</x:v>
      </x:c>
      <x:c r="C1" s="67" t="str">
        <x:v>Source Date</x:v>
      </x:c>
      <x:c r="D1" s="67" t="str">
        <x:v>Total Data Rows</x:v>
      </x:c>
      <x:c r="E1" s="67" t="str">
        <x:v>Diagnostic Header</x:v>
      </x:c>
      <x:c r="F1" s="67" t="str">
        <x:v>Rows for Header</x:v>
      </x:c>
      <x:c r="G1" s="67" t="str">
        <x:v>Role / Caveat</x:v>
      </x:c>
      <x:c r="H1" s="68" t="str">
        <x:v>Evidence Class</x:v>
      </x:c>
    </x:row>
    <x:row r="2">
      <x:c r="A2" s="69" t="str">
        <x:v>GenIII Prius 4-24-12 (US).csv</x:v>
      </x:c>
      <x:c r="B2" s="70" t="str">
        <x:v>PRIUS_GEN3</x:v>
      </x:c>
      <x:c r="C2" s="70" t="str">
        <x:v>2012-04-24</x:v>
      </x:c>
      <x:c r="D2" s="70" t="n">
        <x:v>227</x:v>
      </x:c>
      <x:c r="E2" s="70" t="str">
        <x:v>7B0</x:v>
      </x:c>
      <x:c r="F2" s="70" t="n">
        <x:v>32</x:v>
      </x:c>
      <x:c r="G2" s="70" t="str">
        <x:v>Older snapshot</x:v>
      </x:c>
      <x:c r="H2" s="71" t="str">
        <x:v>CANDIDATE / SOURCE AUDIT</x:v>
      </x:c>
    </x:row>
    <x:row r="3">
      <x:c r="A3" s="69" t="str">
        <x:v>GenIII Prius 4-24-12 (US).csv</x:v>
      </x:c>
      <x:c r="B3" s="70" t="str">
        <x:v>PRIUS_GEN3</x:v>
      </x:c>
      <x:c r="C3" s="70" t="str">
        <x:v>2012-04-24</x:v>
      </x:c>
      <x:c r="D3" s="70" t="n">
        <x:v>227</x:v>
      </x:c>
      <x:c r="E3" s="70" t="str">
        <x:v>7C0</x:v>
      </x:c>
      <x:c r="F3" s="70" t="n">
        <x:v>17</x:v>
      </x:c>
      <x:c r="G3" s="70" t="str">
        <x:v>Older snapshot</x:v>
      </x:c>
      <x:c r="H3" s="71" t="str">
        <x:v>CANDIDATE / SOURCE AUDIT</x:v>
      </x:c>
    </x:row>
    <x:row r="4">
      <x:c r="A4" s="69" t="str">
        <x:v>GenIII Prius 4-24-12 (US).csv</x:v>
      </x:c>
      <x:c r="B4" s="70" t="str">
        <x:v>PRIUS_GEN3</x:v>
      </x:c>
      <x:c r="C4" s="70" t="str">
        <x:v>2012-04-24</x:v>
      </x:c>
      <x:c r="D4" s="70" t="n">
        <x:v>227</x:v>
      </x:c>
      <x:c r="E4" s="70" t="str">
        <x:v>7C4</x:v>
      </x:c>
      <x:c r="F4" s="70" t="n">
        <x:v>18</x:v>
      </x:c>
      <x:c r="G4" s="70" t="str">
        <x:v>Older snapshot</x:v>
      </x:c>
      <x:c r="H4" s="71" t="str">
        <x:v>CANDIDATE / SOURCE AUDIT</x:v>
      </x:c>
    </x:row>
    <x:row r="5">
      <x:c r="A5" s="69" t="str">
        <x:v>GenIII Prius 4-24-12 (US).csv</x:v>
      </x:c>
      <x:c r="B5" s="70" t="str">
        <x:v>PRIUS_GEN3</x:v>
      </x:c>
      <x:c r="C5" s="70" t="str">
        <x:v>2012-04-24</x:v>
      </x:c>
      <x:c r="D5" s="70" t="n">
        <x:v>227</x:v>
      </x:c>
      <x:c r="E5" s="70" t="str">
        <x:v>7E0</x:v>
      </x:c>
      <x:c r="F5" s="70" t="n">
        <x:v>13</x:v>
      </x:c>
      <x:c r="G5" s="70" t="str">
        <x:v>Older snapshot</x:v>
      </x:c>
      <x:c r="H5" s="71" t="str">
        <x:v>CANDIDATE / SOURCE AUDIT</x:v>
      </x:c>
    </x:row>
    <x:row r="6">
      <x:c r="A6" s="69" t="str">
        <x:v>GenIII Prius 4-24-12 (US).csv</x:v>
      </x:c>
      <x:c r="B6" s="70" t="str">
        <x:v>PRIUS_GEN3</x:v>
      </x:c>
      <x:c r="C6" s="70" t="str">
        <x:v>2012-04-24</x:v>
      </x:c>
      <x:c r="D6" s="70" t="n">
        <x:v>227</x:v>
      </x:c>
      <x:c r="E6" s="70" t="str">
        <x:v>7E2</x:v>
      </x:c>
      <x:c r="F6" s="70" t="n">
        <x:v>147</x:v>
      </x:c>
      <x:c r="G6" s="70" t="str">
        <x:v>Older snapshot</x:v>
      </x:c>
      <x:c r="H6" s="71" t="str">
        <x:v>CANDIDATE / SOURCE AUDIT</x:v>
      </x:c>
    </x:row>
    <x:row r="7">
      <x:c r="A7" s="69" t="str">
        <x:v>ZVW30 Custom PIDs - US</x:v>
      </x:c>
      <x:c r="B7" s="70" t="str">
        <x:v>PRIUS_GEN3</x:v>
      </x:c>
      <x:c r="C7" s="70" t="str">
        <x:v>2012-11-12</x:v>
      </x:c>
      <x:c r="D7" s="70" t="n">
        <x:v>312</x:v>
      </x:c>
      <x:c r="E7" s="70" t="str">
        <x:v>7B0</x:v>
      </x:c>
      <x:c r="F7" s="70" t="n">
        <x:v>72</x:v>
      </x:c>
      <x:c r="G7" s="70" t="str">
        <x:v>Later and larger source</x:v>
      </x:c>
      <x:c r="H7" s="71" t="str">
        <x:v>CANDIDATE / SOURCE AUDIT</x:v>
      </x:c>
    </x:row>
    <x:row r="8">
      <x:c r="A8" s="69" t="str">
        <x:v>ZVW30 Custom PIDs - US</x:v>
      </x:c>
      <x:c r="B8" s="70" t="str">
        <x:v>PRIUS_GEN3</x:v>
      </x:c>
      <x:c r="C8" s="70" t="str">
        <x:v>2012-11-12</x:v>
      </x:c>
      <x:c r="D8" s="70" t="n">
        <x:v>312</x:v>
      </x:c>
      <x:c r="E8" s="70" t="str">
        <x:v>7C0</x:v>
      </x:c>
      <x:c r="F8" s="70" t="n">
        <x:v>13</x:v>
      </x:c>
      <x:c r="G8" s="70" t="str">
        <x:v>Later and larger source</x:v>
      </x:c>
      <x:c r="H8" s="71" t="str">
        <x:v>CANDIDATE / SOURCE AUDIT</x:v>
      </x:c>
    </x:row>
    <x:row r="9">
      <x:c r="A9" s="69" t="str">
        <x:v>ZVW30 Custom PIDs - US</x:v>
      </x:c>
      <x:c r="B9" s="70" t="str">
        <x:v>PRIUS_GEN3</x:v>
      </x:c>
      <x:c r="C9" s="70" t="str">
        <x:v>2012-11-12</x:v>
      </x:c>
      <x:c r="D9" s="70" t="n">
        <x:v>312</x:v>
      </x:c>
      <x:c r="E9" s="70" t="str">
        <x:v>7C4</x:v>
      </x:c>
      <x:c r="F9" s="70" t="n">
        <x:v>18</x:v>
      </x:c>
      <x:c r="G9" s="70" t="str">
        <x:v>Later and larger source</x:v>
      </x:c>
      <x:c r="H9" s="71" t="str">
        <x:v>CANDIDATE / SOURCE AUDIT</x:v>
      </x:c>
    </x:row>
    <x:row r="10">
      <x:c r="A10" s="69" t="str">
        <x:v>ZVW30 Custom PIDs - US</x:v>
      </x:c>
      <x:c r="B10" s="70" t="str">
        <x:v>PRIUS_GEN3</x:v>
      </x:c>
      <x:c r="C10" s="70" t="str">
        <x:v>2012-11-12</x:v>
      </x:c>
      <x:c r="D10" s="70" t="n">
        <x:v>312</x:v>
      </x:c>
      <x:c r="E10" s="70" t="str">
        <x:v>7E0</x:v>
      </x:c>
      <x:c r="F10" s="70" t="n">
        <x:v>63</x:v>
      </x:c>
      <x:c r="G10" s="70" t="str">
        <x:v>Later and larger source</x:v>
      </x:c>
      <x:c r="H10" s="71" t="str">
        <x:v>CANDIDATE / SOURCE AUDIT</x:v>
      </x:c>
    </x:row>
    <x:row r="11">
      <x:c r="A11" s="69" t="str">
        <x:v>ZVW30 Custom PIDs - US</x:v>
      </x:c>
      <x:c r="B11" s="70" t="str">
        <x:v>PRIUS_GEN3</x:v>
      </x:c>
      <x:c r="C11" s="70" t="str">
        <x:v>2012-11-12</x:v>
      </x:c>
      <x:c r="D11" s="70" t="n">
        <x:v>312</x:v>
      </x:c>
      <x:c r="E11" s="70" t="str">
        <x:v>7E2</x:v>
      </x:c>
      <x:c r="F11" s="70" t="n">
        <x:v>146</x:v>
      </x:c>
      <x:c r="G11" s="70" t="str">
        <x:v>Later and larger source</x:v>
      </x:c>
      <x:c r="H11" s="71" t="str">
        <x:v>CANDIDATE / SOURCE AUDIT</x:v>
      </x:c>
    </x:row>
    <x:row r="12">
      <x:c r="A12" s="69" t="str">
        <x:v>PiP Adv (US).csv</x:v>
      </x:c>
      <x:c r="B12" s="70" t="str">
        <x:v>PRIUS_PHV_GEN1</x:v>
      </x:c>
      <x:c r="C12" s="70" t="str">
        <x:v>2013-01-22</x:v>
      </x:c>
      <x:c r="D12" s="70" t="n">
        <x:v>298</x:v>
      </x:c>
      <x:c r="E12" s="70" t="str">
        <x:v>7B0</x:v>
      </x:c>
      <x:c r="F12" s="70" t="n">
        <x:v>72</x:v>
      </x:c>
      <x:c r="G12" s="70" t="str">
        <x:v>Advanced PHV source</x:v>
      </x:c>
      <x:c r="H12" s="71" t="str">
        <x:v>CANDIDATE / SOURCE AUDIT</x:v>
      </x:c>
    </x:row>
    <x:row r="13">
      <x:c r="A13" s="69" t="str">
        <x:v>PiP Adv (US).csv</x:v>
      </x:c>
      <x:c r="B13" s="70" t="str">
        <x:v>PRIUS_PHV_GEN1</x:v>
      </x:c>
      <x:c r="C13" s="70" t="str">
        <x:v>2013-01-22</x:v>
      </x:c>
      <x:c r="D13" s="70" t="n">
        <x:v>298</x:v>
      </x:c>
      <x:c r="E13" s="70" t="str">
        <x:v>7C0</x:v>
      </x:c>
      <x:c r="F13" s="70" t="n">
        <x:v>13</x:v>
      </x:c>
      <x:c r="G13" s="70" t="str">
        <x:v>Advanced PHV source</x:v>
      </x:c>
      <x:c r="H13" s="71" t="str">
        <x:v>CANDIDATE / SOURCE AUDIT</x:v>
      </x:c>
    </x:row>
    <x:row r="14">
      <x:c r="A14" s="69" t="str">
        <x:v>PiP Adv (US).csv</x:v>
      </x:c>
      <x:c r="B14" s="70" t="str">
        <x:v>PRIUS_PHV_GEN1</x:v>
      </x:c>
      <x:c r="C14" s="70" t="str">
        <x:v>2013-01-22</x:v>
      </x:c>
      <x:c r="D14" s="70" t="n">
        <x:v>298</x:v>
      </x:c>
      <x:c r="E14" s="70" t="str">
        <x:v>7C4</x:v>
      </x:c>
      <x:c r="F14" s="70" t="n">
        <x:v>18</x:v>
      </x:c>
      <x:c r="G14" s="70" t="str">
        <x:v>Advanced PHV source</x:v>
      </x:c>
      <x:c r="H14" s="71" t="str">
        <x:v>CANDIDATE / SOURCE AUDIT</x:v>
      </x:c>
    </x:row>
    <x:row r="15">
      <x:c r="A15" s="69" t="str">
        <x:v>PiP Adv (US).csv</x:v>
      </x:c>
      <x:c r="B15" s="70" t="str">
        <x:v>PRIUS_PHV_GEN1</x:v>
      </x:c>
      <x:c r="C15" s="70" t="str">
        <x:v>2013-01-22</x:v>
      </x:c>
      <x:c r="D15" s="70" t="n">
        <x:v>298</x:v>
      </x:c>
      <x:c r="E15" s="70" t="str">
        <x:v>7E0</x:v>
      </x:c>
      <x:c r="F15" s="70" t="n">
        <x:v>63</x:v>
      </x:c>
      <x:c r="G15" s="70" t="str">
        <x:v>Advanced PHV source</x:v>
      </x:c>
      <x:c r="H15" s="71" t="str">
        <x:v>CANDIDATE / SOURCE AUDIT</x:v>
      </x:c>
    </x:row>
    <x:row r="16">
      <x:c r="A16" s="69" t="str">
        <x:v>PiP Adv (US).csv</x:v>
      </x:c>
      <x:c r="B16" s="70" t="str">
        <x:v>PRIUS_PHV_GEN1</x:v>
      </x:c>
      <x:c r="C16" s="70" t="str">
        <x:v>2013-01-22</x:v>
      </x:c>
      <x:c r="D16" s="70" t="n">
        <x:v>298</x:v>
      </x:c>
      <x:c r="E16" s="70" t="str">
        <x:v>7E2</x:v>
      </x:c>
      <x:c r="F16" s="70" t="n">
        <x:v>128</x:v>
      </x:c>
      <x:c r="G16" s="70" t="str">
        <x:v>Advanced PHV source</x:v>
      </x:c>
      <x:c r="H16" s="71" t="str">
        <x:v>CANDIDATE / SOURCE AUDIT</x:v>
      </x:c>
    </x:row>
    <x:row r="17">
      <x:c r="A17" s="69" t="str">
        <x:v>PiP Adv (US).csv</x:v>
      </x:c>
      <x:c r="B17" s="70" t="str">
        <x:v>PRIUS_PHV_GEN1</x:v>
      </x:c>
      <x:c r="C17" s="70" t="str">
        <x:v>2013-01-22</x:v>
      </x:c>
      <x:c r="D17" s="70" t="n">
        <x:v>298</x:v>
      </x:c>
      <x:c r="E17" s="70" t="str">
        <x:v>DERIVED</x:v>
      </x:c>
      <x:c r="F17" s="70" t="n">
        <x:v>4</x:v>
      </x:c>
      <x:c r="G17" s="70" t="str">
        <x:v>Advanced PHV source</x:v>
      </x:c>
      <x:c r="H17" s="71" t="str">
        <x:v>CANDIDATE / SOURCE AUDIT</x:v>
      </x:c>
    </x:row>
    <x:row r="18">
      <x:c r="A18" s="69" t="str">
        <x:v>PiP Basic (US).csv</x:v>
      </x:c>
      <x:c r="B18" s="70" t="str">
        <x:v>PRIUS_PHV_GEN1</x:v>
      </x:c>
      <x:c r="C18" s="70" t="str">
        <x:v>2013-01-22</x:v>
      </x:c>
      <x:c r="D18" s="70" t="n">
        <x:v>57</x:v>
      </x:c>
      <x:c r="E18" s="70" t="str">
        <x:v>7C0</x:v>
      </x:c>
      <x:c r="F18" s="70" t="n">
        <x:v>2</x:v>
      </x:c>
      <x:c r="G18" s="70" t="str">
        <x:v>Basic subset</x:v>
      </x:c>
      <x:c r="H18" s="71" t="str">
        <x:v>CANDIDATE / SOURCE AUDIT</x:v>
      </x:c>
    </x:row>
    <x:row r="19">
      <x:c r="A19" s="69" t="str">
        <x:v>PiP Basic (US).csv</x:v>
      </x:c>
      <x:c r="B19" s="70" t="str">
        <x:v>PRIUS_PHV_GEN1</x:v>
      </x:c>
      <x:c r="C19" s="70" t="str">
        <x:v>2013-01-22</x:v>
      </x:c>
      <x:c r="D19" s="70" t="n">
        <x:v>57</x:v>
      </x:c>
      <x:c r="E19" s="70" t="str">
        <x:v>7E0</x:v>
      </x:c>
      <x:c r="F19" s="70" t="n">
        <x:v>10</x:v>
      </x:c>
      <x:c r="G19" s="70" t="str">
        <x:v>Basic subset</x:v>
      </x:c>
      <x:c r="H19" s="71" t="str">
        <x:v>CANDIDATE / SOURCE AUDIT</x:v>
      </x:c>
    </x:row>
    <x:row r="20">
      <x:c r="A20" s="69" t="str">
        <x:v>PiP Basic (US).csv</x:v>
      </x:c>
      <x:c r="B20" s="70" t="str">
        <x:v>PRIUS_PHV_GEN1</x:v>
      </x:c>
      <x:c r="C20" s="70" t="str">
        <x:v>2013-01-22</x:v>
      </x:c>
      <x:c r="D20" s="70" t="n">
        <x:v>57</x:v>
      </x:c>
      <x:c r="E20" s="70" t="str">
        <x:v>7E2</x:v>
      </x:c>
      <x:c r="F20" s="70" t="n">
        <x:v>41</x:v>
      </x:c>
      <x:c r="G20" s="70" t="str">
        <x:v>Basic subset</x:v>
      </x:c>
      <x:c r="H20" s="71" t="str">
        <x:v>CANDIDATE / SOURCE AUDIT</x:v>
      </x:c>
    </x:row>
    <x:row r="21">
      <x:c r="A21" s="69" t="str">
        <x:v>PiP Basic (US).csv</x:v>
      </x:c>
      <x:c r="B21" s="70" t="str">
        <x:v>PRIUS_PHV_GEN1</x:v>
      </x:c>
      <x:c r="C21" s="70" t="str">
        <x:v>2013-01-22</x:v>
      </x:c>
      <x:c r="D21" s="70" t="n">
        <x:v>57</x:v>
      </x:c>
      <x:c r="E21" s="70" t="str">
        <x:v>DERIVED</x:v>
      </x:c>
      <x:c r="F21" s="70" t="n">
        <x:v>4</x:v>
      </x:c>
      <x:c r="G21" s="70" t="str">
        <x:v>Basic subset</x:v>
      </x:c>
      <x:c r="H21" s="71" t="str">
        <x:v>CANDIDATE / SOURCE AUDIT</x:v>
      </x:c>
    </x:row>
    <x:row r="22">
      <x:c r="A22" s="69" t="str">
        <x:v>PiP Config.csv</x:v>
      </x:c>
      <x:c r="B22" s="70" t="str">
        <x:v>PRIUS_PHV_GEN1</x:v>
      </x:c>
      <x:c r="C22" s="70" t="str">
        <x:v>2013-01-22</x:v>
      </x:c>
      <x:c r="D22" s="70" t="n">
        <x:v>18</x:v>
      </x:c>
      <x:c r="E22" s="70" t="str">
        <x:v>7C0</x:v>
      </x:c>
      <x:c r="F22" s="70" t="n">
        <x:v>10</x:v>
      </x:c>
      <x:c r="G22" s="70" t="str">
        <x:v>Commands quarantined</x:v>
      </x:c>
      <x:c r="H22" s="71" t="str">
        <x:v>CANDIDATE / SOURCE AUDIT</x:v>
      </x:c>
    </x:row>
    <x:row r="23">
      <x:c r="A23" s="72" t="str">
        <x:v>PiP Config.csv</x:v>
      </x:c>
      <x:c r="B23" s="73" t="str">
        <x:v>PRIUS_PHV_GEN1</x:v>
      </x:c>
      <x:c r="C23" s="73" t="str">
        <x:v>2013-01-22</x:v>
      </x:c>
      <x:c r="D23" s="73" t="n">
        <x:v>18</x:v>
      </x:c>
      <x:c r="E23" s="73" t="str">
        <x:v>7E2</x:v>
      </x:c>
      <x:c r="F23" s="73" t="n">
        <x:v>8</x:v>
      </x:c>
      <x:c r="G23" s="73" t="str">
        <x:v>Commands quarantined</x:v>
      </x:c>
      <x:c r="H23" s="74" t="str">
        <x:v>CANDIDATE / SOURCE AUDIT</x:v>
      </x:c>
    </x:row>
  </x:sheetData>
  <x:pageMargins left="0.7" right="0.7" top="0.75" bottom="0.75" header="0.3" footer="0.3"/>
  <x:tableParts count="1">
    <x:tablePart xmlns:r="http://schemas.openxmlformats.org/officeDocument/2006/relationships" r:id="R26440b16c9af4392"/>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2" hidden="0" customWidth="1"/>
    <x:col min="4" max="4" width="34" hidden="0" customWidth="1"/>
    <x:col min="5" max="5" width="82" hidden="0" customWidth="1"/>
  </x:cols>
  <x:sheetData>
    <x:row r="1" ht="34" customHeight="1">
      <x:c r="A1" s="118" t="str">
        <x:v>Record</x:v>
      </x:c>
      <x:c r="B1" s="119" t="str">
        <x:v>Type</x:v>
      </x:c>
      <x:c r="C1" s="119" t="str">
        <x:v>Source / Profile</x:v>
      </x:c>
      <x:c r="D1" s="119" t="str">
        <x:v>Evidence / Safety</x:v>
      </x:c>
      <x:c r="E1" s="120" t="str">
        <x:v>Details</x:v>
      </x:c>
    </x:row>
    <x:row r="2">
      <x:c r="A2" s="123" t="str">
        <x:v>v0.5</x:v>
      </x:c>
      <x:c r="B2" s="124" t="str">
        <x:v>Version</x:v>
      </x:c>
      <x:c r="C2" s="124" t="str">
        <x:v>Database</x:v>
      </x:c>
      <x:c r="D2" s="124" t="str">
        <x:v>Validated workbook checkpoint</x:v>
      </x:c>
      <x:c r="E2" s="125" t="str">
        <x:v>2026-08-29; preserves v0.4 as the rollback checkpoint</x:v>
      </x:c>
    </x:row>
    <x:row r="3">
      <x:c r="A3" s="121" t="str">
        <x:v>S22</x:v>
      </x:c>
      <x:c r="B3" s="107" t="str">
        <x:v>User source</x:v>
      </x:c>
      <x:c r="C3" s="107" t="str">
        <x:v>Assorted Toyota CAN PIDS.xlsx</x:v>
      </x:c>
      <x:c r="D3" s="107" t="str">
        <x:v>CANDIDATE / mixed provenance</x:v>
      </x:c>
      <x:c r="E3" s="108" t="str">
        <x:v>191 data rows, 78 unique CAN IDs, 43 DBC-style rows and 20 control-adjacent rows</x:v>
      </x:c>
    </x:row>
    <x:row r="4">
      <x:c r="A4" s="121" t="str">
        <x:v>S22 policy</x:v>
      </x:c>
      <x:c r="B4" s="107" t="str">
        <x:v>Profile isolation</x:v>
      </x:c>
      <x:c r="C4" s="107" t="str">
        <x:v>TOYOTA_UNASSIGNED</x:v>
      </x:c>
      <x:c r="D4" s="107" t="str">
        <x:v>Do not auto-promote</x:v>
      </x:c>
      <x:c r="E4" s="108" t="str">
        <x:v>Workbook mixes Toyota generations and lacks reliable per-row vehicle/model provenance</x:v>
      </x:c>
    </x:row>
    <x:row r="5">
      <x:c r="A5" s="121" t="str">
        <x:v>S22 useful</x:v>
      </x:c>
      <x:c r="B5" s="107" t="str">
        <x:v>Corroboration</x:v>
      </x:c>
      <x:c r="C5" s="107" t="str">
        <x:v>CAMRY_HYBRID_GEN1 / AHV40</x:v>
      </x:c>
      <x:c r="D5" s="107" t="str">
        <x:v>PASSIVE_BROADCAST</x:v>
      </x:c>
      <x:c r="E5" s="108" t="str">
        <x:v>Structural corroboration retained for 0x025, 0x0B0, 0x0B2, 0x230, 0x2C4, 0x380, 0x381, 0x3B4 and 0x610</x:v>
      </x:c>
    </x:row>
    <x:row r="6">
      <x:c r="A6" s="129" t="str">
        <x:v>S22 quarantine</x:v>
      </x:c>
      <x:c r="B6" s="130" t="str">
        <x:v>Safety</x:v>
      </x:c>
      <x:c r="C6" s="130" t="str">
        <x:v>Unassigned steering/ACC/LKA/PCS rows</x:v>
      </x:c>
      <x:c r="D6" s="130" t="str">
        <x:v>CONTROL_WRITE_QUARANTINED</x:v>
      </x:c>
      <x:c r="E6" s="131" t="str">
        <x:v>0x266, 0x283, 0x2E4, 0x343 and 0x411/0x412 groups are excluded from transmit whitelists</x:v>
      </x:c>
    </x:row>
    <x:row r="7">
      <x:c r="A7" s="121" t="str">
        <x:v>S23</x:v>
      </x:c>
      <x:c r="B7" s="107" t="str">
        <x:v>Empirical capture</x:v>
      </x:c>
      <x:c r="C7" s="107" t="str">
        <x:v>CANLOG(1).zip / 2007 Camry Hybrid</x:v>
      </x:c>
      <x:c r="D7" s="107" t="str">
        <x:v>PRIMARY CAPTURE</x:v>
      </x:c>
      <x:c r="E7" s="108" t="str">
        <x:v>S0018-S0020 contain 175,188 binary raw records with zero logged queue/SD drops</x:v>
      </x:c>
    </x:row>
    <x:row r="8">
      <x:c r="A8" s="121" t="str">
        <x:v>S23</x:v>
      </x:c>
      <x:c r="B8" s="107" t="str">
        <x:v>Empirical capture</x:v>
      </x:c>
      <x:c r="C8" s="107" t="str">
        <x:v>CANLOG(1).zip / 2004 Prius Gen 2</x:v>
      </x:c>
      <x:c r="D8" s="107" t="str">
        <x:v>PRIMARY CAPTURE + READ-ONLY DIAGNOSTICS</x:v>
      </x:c>
      <x:c r="E8" s="108" t="str">
        <x:v>S0021 contains 196,273 binary raw records and 159 diagnostic transactions: 157 OK, 1 timeout, 1 user-disabled</x:v>
      </x:c>
    </x:row>
    <x:row r="9">
      <x:c r="A9" s="121" t="str">
        <x:v>S24</x:v>
      </x:c>
      <x:c r="B9" s="107" t="str">
        <x:v>Correlated empirical capture</x:v>
      </x:c>
      <x:c r="C9" s="107" t="str">
        <x:v>CANLOG(2).zip S0034 / 2004 Prius Gen 2</x:v>
      </x:c>
      <x:c r="D9" s="107" t="str">
        <x:v>PRIMARY CAPTURE + READ-ONLY DIAGNOSTICS</x:v>
      </x:c>
      <x:c r="E9" s="108" t="str">
        <x:v>1,583,358 binary records, 3,209 diagnostic transactions and a clean close; 0 SD-log drops</x:v>
      </x:c>
    </x:row>
    <x:row r="10">
      <x:c r="A10" s="121" t="str">
        <x:v>S24</x:v>
      </x:c>
      <x:c r="B10" s="107" t="str">
        <x:v>Independent screen reference</x:v>
      </x:c>
      <x:c r="C10" s="107" t="str">
        <x:v>Hybrid Assistant MP4</x:v>
      </x:c>
      <x:c r="D10" s="107" t="str">
        <x:v>OCR-CORRELATED OBSERVATION</x:v>
      </x:c>
      <x:c r="E10" s="108" t="str">
        <x:v>30 exact-timestamp samples aligned to S0034 with video time approximately logger-relative time + 70.8 s (plus/minus 1.5 s)</x:v>
      </x:c>
    </x:row>
    <x:row r="11">
      <x:c r="A11" s="121" t="str">
        <x:v>S24</x:v>
      </x:c>
      <x:c r="B11" s="107" t="str">
        <x:v>Narration</x:v>
      </x:c>
      <x:c r="C11" s="107" t="str">
        <x:v>MP4 audio track</x:v>
      </x:c>
      <x:c r="D11" s="107" t="str">
        <x:v>SOURCE RETAINED / NOT TRANSCRIBED</x:v>
      </x:c>
      <x:c r="E11" s="108" t="str">
        <x:v>Audio was preserved but no reliable transcript was available in this processing environment; no voice-derived claim was promoted</x:v>
      </x:c>
    </x:row>
    <x:row r="12">
      <x:c r="A12" s="121" t="str">
        <x:v>S25</x:v>
      </x:c>
      <x:c r="B12" s="107" t="str">
        <x:v>Reference</x:v>
      </x:c>
      <x:c r="C12" s="107" t="str">
        <x:v>Hybrid Assistant dashboard documentation</x:v>
      </x:c>
      <x:c r="D12" s="107" t="str">
        <x:v>SECONDARY DOCUMENTATION</x:v>
      </x:c>
      <x:c r="E12" s="108" t="str">
        <x:v>https://hybridassistant.blogspot.com/p/dashboard.html</x:v>
      </x:c>
    </x:row>
    <x:row r="13">
      <x:c r="A13" s="121" t="str">
        <x:v>Decoder change</x:v>
      </x:c>
      <x:c r="B13" s="107" t="str">
        <x:v>AHV40</x:v>
      </x:c>
      <x:c r="C13" s="107" t="str">
        <x:v>CAMRY_HYBRID_GEN1</x:v>
      </x:c>
      <x:c r="D13" s="107" t="str">
        <x:v>PROBABLE</x:v>
      </x:c>
      <x:c r="E13" s="108" t="str">
        <x:v>0x2C4 bytes 0-1 direct RPM; 0x3B9 byte 0 direct degC; 0x2D0 byte 2 redundant P/R/N/D</x:v>
      </x:c>
    </x:row>
    <x:row r="14">
      <x:c r="A14" s="121" t="str">
        <x:v>Decoder change</x:v>
      </x:c>
      <x:c r="B14" s="107" t="str">
        <x:v>NHW20</x:v>
      </x:c>
      <x:c r="C14" s="107" t="str">
        <x:v>PRIUS_GEN2</x:v>
      </x:c>
      <x:c r="D14" s="107" t="str">
        <x:v>CONFIRMED / READ-ONLY</x:v>
      </x:c>
      <x:c r="E14" s="108" t="str">
        <x:v>Promotes SOC, engine RPM, coolant, MG/inverter temperature pairs, battery intake/sensor 2 and fan level using S0034 screen/CAN agreement</x:v>
      </x:c>
    </x:row>
    <x:row r="15">
      <x:c r="A15" s="121" t="str">
        <x:v>Parser finding</x:v>
      </x:c>
      <x:c r="B15" s="107" t="str">
        <x:v>Diagnostic coexistence</x:v>
      </x:c>
      <x:c r="C15" s="107" t="str">
        <x:v>PRIUS_GEN2</x:v>
      </x:c>
      <x:c r="D15" s="107" t="str">
        <x:v>FIRMWARE IMPROVEMENT</x:v>
      </x:c>
      <x:c r="E15" s="108" t="str">
        <x:v>43 of 3,209 transactions were labeled UNEXPECTED_RESPONSE while Hybrid Assistant was also querying; classify unmatched valid replies as external tester traffic without aborting the logger transaction</x:v>
      </x:c>
    </x:row>
    <x:row r="16">
      <x:c r="A16" s="121" t="str">
        <x:v>No merge</x:v>
      </x:c>
      <x:c r="B16" s="107" t="str">
        <x:v>Cross-profile guard</x:v>
      </x:c>
      <x:c r="C16" s="107" t="str">
        <x:v>0x1C4, 0x127, 0x1AA and other unattributed definitions</x:v>
      </x:c>
      <x:c r="D16" s="107" t="str">
        <x:v>CANDIDATE / REJECTED FOR CURRENT DECODER</x:v>
      </x:c>
      <x:c r="E16" s="108" t="str">
        <x:v>Kept in audit/raw source only until a labeled target-vehicle capture agrees</x:v>
      </x:c>
    </x:row>
    <x:row r="17">
      <x:c r="A17" s="122" t="str">
        <x:v>Rollback</x:v>
      </x:c>
      <x:c r="B17" s="110" t="str">
        <x:v>Preservation</x:v>
      </x:c>
      <x:c r="C17" s="110" t="str">
        <x:v>Toyota_Hybrid_CAN_Database_v0.4.xlsx</x:v>
      </x:c>
      <x:c r="D17" s="110" t="str">
        <x:v>UNCHANGED</x:v>
      </x:c>
      <x:c r="E17" s="111" t="str">
        <x:v>Original v0.4 workbook remains available separately</x:v>
      </x:c>
    </x:row>
    <x:row r="18">
      <x:c r="A18" s="215" t="str">
        <x:v>v0.5.1</x:v>
      </x:c>
      <x:c r="B18" s="230" t="str">
        <x:v>Version</x:v>
      </x:c>
      <x:c r="C18" s="230" t="str">
        <x:v>Database</x:v>
      </x:c>
      <x:c r="D18" s="230" t="str">
        <x:v>Source-audited candidate supplement</x:v>
      </x:c>
      <x:c r="E18" s="216" t="str">
        <x:v>2026-08-29; v0.5 remains the unchanged rollback</x:v>
      </x:c>
    </x:row>
    <x:row r="19">
      <x:c r="A19" s="217" t="str">
        <x:v>S26</x:v>
      </x:c>
      <x:c r="B19" s="231" t="str">
        <x:v>User source</x:v>
      </x:c>
      <x:c r="C19" s="231" t="str">
        <x:v>2007-2011 camry hybrid PID table - Google Search.pdf</x:v>
      </x:c>
      <x:c r="D19" s="231" t="str">
        <x:v>CANDIDATE / READ_ONLY_DIAGNOSTIC</x:v>
      </x:c>
      <x:c r="E19" s="218" t="str">
        <x:v>Four-page Google Search printout; SHA-256 0cff173f219af53c0137714988a457209583e712e5a62686e4c71c5a01ff3e3a</x:v>
      </x:c>
    </x:row>
    <x:row r="20">
      <x:c r="A20" s="217" t="str">
        <x:v>S26 import</x:v>
      </x:c>
      <x:c r="B20" s="231" t="str">
        <x:v>AHV40 diagnostic catalog</x:v>
      </x:c>
      <x:c r="C20" s="231" t="str">
        <x:v>CAMRY_HYBRID_GEN1 / AHV40</x:v>
      </x:c>
      <x:c r="D20" s="231" t="str">
        <x:v>45 CANDIDATE signals</x:v>
      </x:c>
      <x:c r="E20" s="218" t="str">
        <x:v>7E2/7EA: 2122 and 212B; 7E3/7EB: 2101, 2102 and 2141-2148</x:v>
      </x:c>
    </x:row>
    <x:row r="21">
      <x:c r="A21" s="217" t="str">
        <x:v>S26 comparison</x:v>
      </x:c>
      <x:c r="B21" s="231" t="str">
        <x:v>Cross-profile guard</x:v>
      </x:c>
      <x:c r="C21" s="231" t="str">
        <x:v>NHW20/ZVW30/ZVW35 versus AHV40</x:v>
      </x:c>
      <x:c r="D21" s="231" t="str">
        <x:v>NO CROSS-PROFILE PROMOTION</x:v>
      </x:c>
      <x:c r="E21" s="218" t="str">
        <x:v>Some signals or scaling resemble other profiles, but headers, PIDs and response fields differ</x:v>
      </x:c>
    </x:row>
    <x:row r="22">
      <x:c r="A22" s="217" t="str">
        <x:v>S26 safety</x:v>
      </x:c>
      <x:c r="B22" s="231" t="str">
        <x:v>Firmware boundary</x:v>
      </x:c>
      <x:c r="C22" s="231" t="str">
        <x:v>CYD Logger v2.4.2</x:v>
      </x:c>
      <x:c r="D22" s="231" t="str">
        <x:v>PASSIVE CAMRY ONLY</x:v>
      </x:c>
      <x:c r="E22" s="218" t="str">
        <x:v>Database rows are not added to the logger scheduler; test with an independent scan tool or a future stationary read-only test build</x:v>
      </x:c>
    </x:row>
    <x:row r="23">
      <x:c r="A23" s="235" t="str">
        <x:v>S26 provenance</x:v>
      </x:c>
      <x:c r="B23" s="236" t="str">
        <x:v>Source limitation</x:v>
      </x:c>
      <x:c r="C23" s="236" t="str">
        <x:v>Google Search generated table</x:v>
      </x:c>
      <x:c r="D23" s="236" t="str">
        <x:v>LOW SOURCE AUTHORITY</x:v>
      </x:c>
      <x:c r="E23" s="237" t="str">
        <x:v>Cited general OBD pages do not establish these exact PID layouts; live vehicle evidence is required</x:v>
      </x:c>
    </x:row>
  </x:sheetData>
  <x:pageMargins left="0.7" right="0.7" top="0.75" bottom="0.75" header="0.3" footer="0.3"/>
  <x:tableParts count="1">
    <x:tablePart xmlns:r="http://schemas.openxmlformats.org/officeDocument/2006/relationships" r:id="Rb41ffe7813a348c6"/>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2" hidden="0" customWidth="1"/>
    <x:col min="6" max="6" width="12" hidden="0" customWidth="1"/>
    <x:col min="7" max="7" width="1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s>
  <x:sheetData>
    <x:row r="1" ht="36" customHeight="1">
      <x:c r="A1" s="118" t="str">
        <x:v>Info source</x:v>
      </x:c>
      <x:c r="B1" s="119" t="str">
        <x:v>CAN ID (Decimal)</x:v>
      </x:c>
      <x:c r="C1" s="119" t="str">
        <x:v>CAN ID (Hex)</x:v>
      </x:c>
      <x:c r="D1" s="119" t="str">
        <x:v>Description</x:v>
      </x:c>
      <x:c r="E1" s="119" t="str">
        <x:v>Data start</x:v>
      </x:c>
      <x:c r="F1" s="119" t="str">
        <x:v>Data Length</x:v>
      </x:c>
      <x:c r="G1" s="119" t="str">
        <x:v>Rate (seconds)</x:v>
      </x:c>
      <x:c r="H1" s="119" t="str">
        <x:v>Notes</x:v>
      </x:c>
      <x:c r="I1" s="119"/>
      <x:c r="J1" s="119"/>
      <x:c r="K1" s="119"/>
      <x:c r="L1" s="119"/>
      <x:c r="M1" s="120"/>
    </x:row>
    <x:row r="2">
      <x:c r="A2" s="154"/>
      <x:c r="B2" s="155" t="n">
        <x:v>32</x:v>
      </x:c>
      <x:c r="C2" s="155" t="str">
        <x:v>20</x:v>
      </x:c>
      <x:c r="D2" s="155" t="str">
        <x:v>Unknown</x:v>
      </x:c>
      <x:c r="E2" s="155"/>
      <x:c r="F2" s="155" t="n">
        <x:v>3</x:v>
      </x:c>
      <x:c r="G2" s="155" t="str">
        <x:v>0.01</x:v>
      </x:c>
      <x:c r="H2" s="155" t="str">
        <x:v>Not Data change</x:v>
      </x:c>
      <x:c r="I2" s="155"/>
      <x:c r="J2" s="155"/>
      <x:c r="K2" s="155"/>
      <x:c r="L2" s="155"/>
      <x:c r="M2" s="156"/>
    </x:row>
    <x:row r="3">
      <x:c r="A3" s="154"/>
      <x:c r="B3" s="155" t="n">
        <x:v>34</x:v>
      </x:c>
      <x:c r="C3" s="155" t="str">
        <x:v>22</x:v>
      </x:c>
      <x:c r="D3" s="155" t="str">
        <x:v>Steering like signals</x:v>
      </x:c>
      <x:c r="E3" s="155"/>
      <x:c r="F3" s="155" t="n">
        <x:v>8</x:v>
      </x:c>
      <x:c r="G3" s="155" t="str">
        <x:v>0.02</x:v>
      </x:c>
      <x:c r="H3" s="155" t="str">
        <x:v>Bytes 1-2 and 8 change data</x:v>
      </x:c>
      <x:c r="I3" s="155"/>
      <x:c r="J3" s="155"/>
      <x:c r="K3" s="155"/>
      <x:c r="L3" s="155"/>
      <x:c r="M3" s="156"/>
    </x:row>
    <x:row r="4">
      <x:c r="A4" s="154"/>
      <x:c r="B4" s="155" t="n">
        <x:v>35</x:v>
      </x:c>
      <x:c r="C4" s="155" t="str">
        <x:v>23</x:v>
      </x:c>
      <x:c r="D4" s="155" t="str">
        <x:v>Unknown</x:v>
      </x:c>
      <x:c r="E4" s="155"/>
      <x:c r="F4" s="155" t="n">
        <x:v>7</x:v>
      </x:c>
      <x:c r="G4" s="155" t="str">
        <x:v>0.02</x:v>
      </x:c>
      <x:c r="H4" s="155" t="str">
        <x:v>Bytes 1-2 and 7 change</x:v>
      </x:c>
      <x:c r="I4" s="155"/>
      <x:c r="J4" s="155"/>
      <x:c r="K4" s="155"/>
      <x:c r="L4" s="155"/>
      <x:c r="M4" s="156"/>
    </x:row>
    <x:row r="5">
      <x:c r="A5" s="154"/>
      <x:c r="B5" s="155" t="n">
        <x:v>35</x:v>
      </x:c>
      <x:c r="C5" s="155" t="str">
        <x:v>23</x:v>
      </x:c>
      <x:c r="D5" s="155" t="str">
        <x:v>SECONDARY_STEER_ANGLE</x:v>
      </x:c>
      <x:c r="E5" s="155"/>
      <x:c r="F5" s="155"/>
      <x:c r="G5" s="155"/>
      <x:c r="H5" s="155" t="str">
        <x:v>SG_ ZORRO_STEER : 7|24@0- (0.004901594652,0) [-500|500] "" XXX</x:v>
      </x:c>
      <x:c r="I5" s="155"/>
      <x:c r="J5" s="155"/>
      <x:c r="K5" s="155"/>
      <x:c r="L5" s="155"/>
      <x:c r="M5" s="156"/>
    </x:row>
    <x:row r="6">
      <x:c r="A6" s="154"/>
      <x:c r="B6" s="155" t="n">
        <x:v>36</x:v>
      </x:c>
      <x:c r="C6" s="155" t="str">
        <x:v>24</x:v>
      </x:c>
      <x:c r="D6" s="155" t="str">
        <x:v>KINEMATICS</x:v>
      </x:c>
      <x:c r="E6" s="155"/>
      <x:c r="F6" s="155"/>
      <x:c r="G6" s="155"/>
      <x:c r="H6" s="155" t="str">
        <x:v>SG_ ACCEL_Y : 33|10@0+ (0.03589,-18.375) [0|65535] "m/s^2" XXX</x:v>
      </x:c>
      <x:c r="I6" s="155" t="str">
        <x:v>SG_ YAW_RATE : 1|10@0+ (0.244,-125) [0|65535] "deg/sec" XXX</x:v>
      </x:c>
      <x:c r="J6" s="155" t="str">
        <x:v>SG_ STEERING_TORQUE : 17|10@0+ (1,-512) [0|65535] "" XXX</x:v>
      </x:c>
      <x:c r="K6" s="155"/>
      <x:c r="L6" s="155"/>
      <x:c r="M6" s="156"/>
    </x:row>
    <x:row r="7">
      <x:c r="A7" s="154"/>
      <x:c r="B7" s="155" t="str">
        <x:v>36</x:v>
      </x:c>
      <x:c r="C7" s="155" t="str">
        <x:v>24</x:v>
      </x:c>
      <x:c r="D7" s="155" t="str">
        <x:v>ACCEL_Y "unit is tbd";</x:v>
      </x:c>
      <x:c r="E7" s="155"/>
      <x:c r="F7" s="155"/>
      <x:c r="G7" s="155"/>
      <x:c r="H7" s="155"/>
      <x:c r="I7" s="155"/>
      <x:c r="J7" s="155"/>
      <x:c r="K7" s="155"/>
      <x:c r="L7" s="155"/>
      <x:c r="M7" s="156"/>
    </x:row>
    <x:row r="8">
      <x:c r="A8" s="154"/>
      <x:c r="B8" s="155" t="str">
        <x:v>36</x:v>
      </x:c>
      <x:c r="C8" s="155" t="str">
        <x:v>24</x:v>
      </x:c>
      <x:c r="D8" s="155" t="str">
        <x:v>STEERING_TORQUE "does not seem the steer torque, tbd";</x:v>
      </x:c>
      <x:c r="E8" s="155"/>
      <x:c r="F8" s="155"/>
      <x:c r="G8" s="155"/>
      <x:c r="H8" s="155"/>
      <x:c r="I8" s="155"/>
      <x:c r="J8" s="155"/>
      <x:c r="K8" s="155"/>
      <x:c r="L8" s="155"/>
      <x:c r="M8" s="156"/>
    </x:row>
    <x:row r="9">
      <x:c r="A9" s="154"/>
      <x:c r="B9" s="155" t="str">
        <x:v>36</x:v>
      </x:c>
      <x:c r="C9" s="155" t="str">
        <x:v>24</x:v>
      </x:c>
      <x:c r="D9" s="155" t="str">
        <x:v>YAW_RATE "verify";</x:v>
      </x:c>
      <x:c r="E9" s="155"/>
      <x:c r="F9" s="155"/>
      <x:c r="G9" s="155"/>
      <x:c r="H9" s="155"/>
      <x:c r="I9" s="155"/>
      <x:c r="J9" s="155"/>
      <x:c r="K9" s="155"/>
      <x:c r="L9" s="155"/>
      <x:c r="M9" s="156"/>
    </x:row>
    <x:row r="10">
      <x:c r="A10" s="154"/>
      <x:c r="B10" s="155" t="n">
        <x:v>37</x:v>
      </x:c>
      <x:c r="C10" s="155" t="str">
        <x:v>25</x:v>
      </x:c>
      <x:c r="D10" s="155" t="str">
        <x:v>SteeringAngle</x:v>
      </x:c>
      <x:c r="E10" s="155"/>
      <x:c r="F10" s="155"/>
      <x:c r="G10" s="155"/>
      <x:c r="H10" s="155"/>
      <x:c r="I10" s="155"/>
      <x:c r="J10" s="155"/>
      <x:c r="K10" s="155"/>
      <x:c r="L10" s="155"/>
      <x:c r="M10" s="156"/>
    </x:row>
    <x:row r="11">
      <x:c r="A11" s="154"/>
      <x:c r="B11" s="155" t="n">
        <x:v>37</x:v>
      </x:c>
      <x:c r="C11" s="155" t="str">
        <x:v>25</x:v>
      </x:c>
      <x:c r="D11" s="155" t="str">
        <x:v>Steering Data</x:v>
      </x:c>
      <x:c r="E11" s="155"/>
      <x:c r="F11" s="155" t="n">
        <x:v>8</x:v>
      </x:c>
      <x:c r="G11" s="155" t="str">
        <x:v>0.01</x:v>
      </x:c>
      <x:c r="H11" s="155" t="str">
        <x:v>Signed data</x:v>
      </x:c>
      <x:c r="I11" s="155"/>
      <x:c r="J11" s="155"/>
      <x:c r="K11" s="155"/>
      <x:c r="L11" s="155"/>
      <x:c r="M11" s="156"/>
    </x:row>
    <x:row r="12">
      <x:c r="A12" s="154"/>
      <x:c r="B12" s="155" t="n">
        <x:v>37</x:v>
      </x:c>
      <x:c r="C12" s="155" t="str">
        <x:v>25</x:v>
      </x:c>
      <x:c r="D12" s="155" t="str">
        <x:v>STEER_ANGLE_SENSOR</x:v>
      </x:c>
      <x:c r="E12" s="155"/>
      <x:c r="F12" s="155"/>
      <x:c r="G12" s="155"/>
      <x:c r="H12" s="155" t="str">
        <x:v>SG_ STEER_ANGLE : 3|12@0- (1.5,0) [-500|500] "deg" XXX</x:v>
      </x:c>
      <x:c r="I12" s="155" t="str">
        <x:v>SG_ STEER_FRACTION : 39|4@0- (0.1,0) [-0.7|0.7] "deg" XXX</x:v>
      </x:c>
      <x:c r="J12" s="155" t="str">
        <x:v>SG_ STEER_RATE : 35|12@0- (1,0) [-2000|2000] "deg/s" XXX</x:v>
      </x:c>
      <x:c r="K12" s="155"/>
      <x:c r="L12" s="155"/>
      <x:c r="M12" s="156"/>
    </x:row>
    <x:row r="13">
      <x:c r="A13" s="154"/>
      <x:c r="B13" s="155" t="str">
        <x:v>37</x:v>
      </x:c>
      <x:c r="C13" s="155" t="str">
        <x:v>25</x:v>
      </x:c>
      <x:c r="D13" s="155" t="str">
        <x:v>STEER_FRACTION "1/15th of the signal STEER_ANGLE, which is 1.5 deg; note that 0x8 is never set";</x:v>
      </x:c>
      <x:c r="E13" s="155"/>
      <x:c r="F13" s="155"/>
      <x:c r="G13" s="155"/>
      <x:c r="H13" s="155"/>
      <x:c r="I13" s="155"/>
      <x:c r="J13" s="155"/>
      <x:c r="K13" s="155"/>
      <x:c r="L13" s="155"/>
      <x:c r="M13" s="156"/>
    </x:row>
    <x:row r="14">
      <x:c r="A14" s="154"/>
      <x:c r="B14" s="155" t="str">
        <x:v>37</x:v>
      </x:c>
      <x:c r="C14" s="155" t="str">
        <x:v>25</x:v>
      </x:c>
      <x:c r="D14" s="155" t="str">
        <x:v>STEER_RATE "factor is tbd";</x:v>
      </x:c>
      <x:c r="E14" s="155"/>
      <x:c r="F14" s="155"/>
      <x:c r="G14" s="155"/>
      <x:c r="H14" s="155"/>
      <x:c r="I14" s="155"/>
      <x:c r="J14" s="155"/>
      <x:c r="K14" s="155"/>
      <x:c r="L14" s="155"/>
      <x:c r="M14" s="156"/>
    </x:row>
    <x:row r="15">
      <x:c r="A15" s="154"/>
      <x:c r="B15" s="155" t="n">
        <x:v>166</x:v>
      </x:c>
      <x:c r="C15" s="155" t="str">
        <x:v>A6</x:v>
      </x:c>
      <x:c r="D15" s="155" t="str">
        <x:v>BRAKE</x:v>
      </x:c>
      <x:c r="E15" s="155"/>
      <x:c r="F15" s="155"/>
      <x:c r="G15" s="155"/>
      <x:c r="H15" s="155" t="str">
        <x:v>SG_ BRAKE_AMOUNT : 7|8@0+ (1,0) [0|255] "" XXX</x:v>
      </x:c>
      <x:c r="I15" s="155" t="str">
        <x:v>SG_ BRAKE_PEDAL : 23|8@0+ (1,0) [0|255] "" XXX</x:v>
      </x:c>
      <x:c r="J15" s="155"/>
      <x:c r="K15" s="155"/>
      <x:c r="L15" s="155"/>
      <x:c r="M15" s="156"/>
    </x:row>
    <x:row r="16">
      <x:c r="A16" s="154"/>
      <x:c r="B16" s="155" t="n">
        <x:v>170</x:v>
      </x:c>
      <x:c r="C16" s="155" t="str">
        <x:v>AA</x:v>
      </x:c>
      <x:c r="D16" s="155" t="str">
        <x:v>WHEEL_SPEEDS</x:v>
      </x:c>
      <x:c r="E16" s="155"/>
      <x:c r="F16" s="155"/>
      <x:c r="G16" s="155"/>
      <x:c r="H16" s="155" t="str">
        <x:v>SG_ WHEEL_SPEED_FR : 7|16@0+ (0.01,-67.67) [0|250] "kph" XXX</x:v>
      </x:c>
      <x:c r="I16" s="155" t="str">
        <x:v>SG_ WHEEL_SPEED_FL : 23|16@0+ (0.01,-67.67) [0|250] "kph" XXX</x:v>
      </x:c>
      <x:c r="J16" s="155" t="str">
        <x:v>SG_ WHEEL_SPEED_RR : 39|16@0+ (0.01,-67.67) [0|250] "kph" XXX</x:v>
      </x:c>
      <x:c r="K16" s="155" t="str">
        <x:v>SG_ WHEEL_SPEED_RL : 55|16@0+ (0.01,-67.67) [0|250] "kph" XXX</x:v>
      </x:c>
      <x:c r="L16" s="155"/>
      <x:c r="M16" s="156"/>
    </x:row>
    <x:row r="17">
      <x:c r="A17" s="154"/>
      <x:c r="B17" s="155" t="n">
        <x:v>176</x:v>
      </x:c>
      <x:c r="C17" s="155" t="str">
        <x:v>B0</x:v>
      </x:c>
      <x:c r="D17" s="155" t="str">
        <x:v>WSPD_2</x:v>
      </x:c>
      <x:c r="E17" s="155"/>
      <x:c r="F17" s="155"/>
      <x:c r="G17" s="155"/>
      <x:c r="H17" s="155"/>
      <x:c r="I17" s="155"/>
      <x:c r="J17" s="155"/>
      <x:c r="K17" s="155"/>
      <x:c r="L17" s="155"/>
      <x:c r="M17" s="156"/>
    </x:row>
    <x:row r="18">
      <x:c r="A18" s="154"/>
      <x:c r="B18" s="155" t="n">
        <x:v>176</x:v>
      </x:c>
      <x:c r="C18" s="155" t="str">
        <x:v>B0</x:v>
      </x:c>
      <x:c r="D18" s="155" t="str">
        <x:v>WSPD_1</x:v>
      </x:c>
      <x:c r="E18" s="155"/>
      <x:c r="F18" s="155"/>
      <x:c r="G18" s="155"/>
      <x:c r="H18" s="155"/>
      <x:c r="I18" s="155"/>
      <x:c r="J18" s="155"/>
      <x:c r="K18" s="155"/>
      <x:c r="L18" s="155"/>
      <x:c r="M18" s="156"/>
    </x:row>
    <x:row r="19">
      <x:c r="A19" s="154"/>
      <x:c r="B19" s="155" t="n">
        <x:v>176</x:v>
      </x:c>
      <x:c r="C19" s="155" t="str">
        <x:v>B0</x:v>
      </x:c>
      <x:c r="D19" s="155" t="str">
        <x:v>Wheel Based Speed 1 &amp;2</x:v>
      </x:c>
      <x:c r="E19" s="155"/>
      <x:c r="F19" s="155" t="n">
        <x:v>6</x:v>
      </x:c>
      <x:c r="G19" s="155" t="str">
        <x:v>0.01</x:v>
      </x:c>
      <x:c r="H19" s="155" t="str">
        <x:v>Bytes 1 and 2 give a wheel speed</x:v>
      </x:c>
      <x:c r="I19" s="155"/>
      <x:c r="J19" s="155"/>
      <x:c r="K19" s="155"/>
      <x:c r="L19" s="155"/>
      <x:c r="M19" s="156"/>
    </x:row>
    <x:row r="20">
      <x:c r="A20" s="154"/>
      <x:c r="B20" s="155" t="n">
        <x:v>176</x:v>
      </x:c>
      <x:c r="C20" s="155" t="str">
        <x:v>B0</x:v>
      </x:c>
      <x:c r="D20" s="155" t="str">
        <x:v>Wheel Based Speed 1 &amp;2</x:v>
      </x:c>
      <x:c r="E20" s="155"/>
      <x:c r="F20" s="155" t="n">
        <x:v>6</x:v>
      </x:c>
      <x:c r="G20" s="155" t="str">
        <x:v>0.01</x:v>
      </x:c>
      <x:c r="H20" s="155" t="str">
        <x:v>Bytes 3 and 4 give a wheel speed</x:v>
      </x:c>
      <x:c r="I20" s="155"/>
      <x:c r="J20" s="155"/>
      <x:c r="K20" s="155"/>
      <x:c r="L20" s="155"/>
      <x:c r="M20" s="156"/>
    </x:row>
    <x:row r="21">
      <x:c r="A21" s="154"/>
      <x:c r="B21" s="155" t="n">
        <x:v>176</x:v>
      </x:c>
      <x:c r="C21" s="155" t="str">
        <x:v>B0</x:v>
      </x:c>
      <x:c r="D21" s="155" t="str">
        <x:v>wheel-front-left</x:v>
      </x:c>
      <x:c r="E21" s="155" t="n">
        <x:v>0</x:v>
      </x:c>
      <x:c r="F21" s="155" t="n">
        <x:v>16</x:v>
      </x:c>
      <x:c r="G21" s="155"/>
      <x:c r="H21" s="155"/>
      <x:c r="I21" s="155"/>
      <x:c r="J21" s="155"/>
      <x:c r="K21" s="155"/>
      <x:c r="L21" s="155"/>
      <x:c r="M21" s="156"/>
    </x:row>
    <x:row r="22">
      <x:c r="A22" s="154"/>
      <x:c r="B22" s="155" t="n">
        <x:v>176</x:v>
      </x:c>
      <x:c r="C22" s="155" t="str">
        <x:v>B0</x:v>
      </x:c>
      <x:c r="D22" s="155" t="str">
        <x:v>wheel-front-right</x:v>
      </x:c>
      <x:c r="E22" s="155" t="n">
        <x:v>16</x:v>
      </x:c>
      <x:c r="F22" s="155" t="n">
        <x:v>16</x:v>
      </x:c>
      <x:c r="G22" s="155"/>
      <x:c r="H22" s="155"/>
      <x:c r="I22" s="155"/>
      <x:c r="J22" s="155"/>
      <x:c r="K22" s="155"/>
      <x:c r="L22" s="155"/>
      <x:c r="M22" s="156"/>
    </x:row>
    <x:row r="23">
      <x:c r="A23" s="154"/>
      <x:c r="B23" s="155" t="n">
        <x:v>178</x:v>
      </x:c>
      <x:c r="C23" s="155" t="str">
        <x:v>B2</x:v>
      </x:c>
      <x:c r="D23" s="155" t="str">
        <x:v>WSPD_4</x:v>
      </x:c>
      <x:c r="E23" s="155"/>
      <x:c r="F23" s="155"/>
      <x:c r="G23" s="155"/>
      <x:c r="H23" s="155"/>
      <x:c r="I23" s="155"/>
      <x:c r="J23" s="155"/>
      <x:c r="K23" s="155"/>
      <x:c r="L23" s="155"/>
      <x:c r="M23" s="156"/>
    </x:row>
    <x:row r="24">
      <x:c r="A24" s="154"/>
      <x:c r="B24" s="155" t="n">
        <x:v>178</x:v>
      </x:c>
      <x:c r="C24" s="155" t="str">
        <x:v>B2</x:v>
      </x:c>
      <x:c r="D24" s="155" t="str">
        <x:v>WSPD_3</x:v>
      </x:c>
      <x:c r="E24" s="155"/>
      <x:c r="F24" s="155"/>
      <x:c r="G24" s="155"/>
      <x:c r="H24" s="155"/>
      <x:c r="I24" s="155"/>
      <x:c r="J24" s="155"/>
      <x:c r="K24" s="155"/>
      <x:c r="L24" s="155"/>
      <x:c r="M24" s="156"/>
    </x:row>
    <x:row r="25">
      <x:c r="A25" s="154"/>
      <x:c r="B25" s="155" t="n">
        <x:v>178</x:v>
      </x:c>
      <x:c r="C25" s="155" t="str">
        <x:v>B2</x:v>
      </x:c>
      <x:c r="D25" s="155" t="str">
        <x:v>Wheel Based Speed 1 &amp;2</x:v>
      </x:c>
      <x:c r="E25" s="155"/>
      <x:c r="F25" s="155" t="n">
        <x:v>6</x:v>
      </x:c>
      <x:c r="G25" s="155" t="str">
        <x:v>0.01</x:v>
      </x:c>
      <x:c r="H25" s="155" t="str">
        <x:v>Bytes 1 and 2 give a wheel speed</x:v>
      </x:c>
      <x:c r="I25" s="155"/>
      <x:c r="J25" s="155"/>
      <x:c r="K25" s="155"/>
      <x:c r="L25" s="155"/>
      <x:c r="M25" s="156"/>
    </x:row>
    <x:row r="26">
      <x:c r="A26" s="154"/>
      <x:c r="B26" s="155" t="n">
        <x:v>178</x:v>
      </x:c>
      <x:c r="C26" s="155" t="str">
        <x:v>B2</x:v>
      </x:c>
      <x:c r="D26" s="155" t="str">
        <x:v>Wheel Based Speed 1 &amp;2</x:v>
      </x:c>
      <x:c r="E26" s="155"/>
      <x:c r="F26" s="155" t="n">
        <x:v>6</x:v>
      </x:c>
      <x:c r="G26" s="155" t="str">
        <x:v>0.01</x:v>
      </x:c>
      <x:c r="H26" s="155" t="str">
        <x:v>Bytes 3 and 4 give a wheel speed</x:v>
      </x:c>
      <x:c r="I26" s="155"/>
      <x:c r="J26" s="155"/>
      <x:c r="K26" s="155"/>
      <x:c r="L26" s="155"/>
      <x:c r="M26" s="156"/>
    </x:row>
    <x:row r="27">
      <x:c r="A27" s="154"/>
      <x:c r="B27" s="155" t="n">
        <x:v>178</x:v>
      </x:c>
      <x:c r="C27" s="155" t="str">
        <x:v>B2</x:v>
      </x:c>
      <x:c r="D27" s="155" t="str">
        <x:v>wheel-back-left</x:v>
      </x:c>
      <x:c r="E27" s="155" t="n">
        <x:v>0</x:v>
      </x:c>
      <x:c r="F27" s="155" t="n">
        <x:v>16</x:v>
      </x:c>
      <x:c r="G27" s="155"/>
      <x:c r="H27" s="155"/>
      <x:c r="I27" s="155"/>
      <x:c r="J27" s="155"/>
      <x:c r="K27" s="155"/>
      <x:c r="L27" s="155"/>
      <x:c r="M27" s="156"/>
    </x:row>
    <x:row r="28">
      <x:c r="A28" s="154"/>
      <x:c r="B28" s="155" t="n">
        <x:v>178</x:v>
      </x:c>
      <x:c r="C28" s="155" t="str">
        <x:v>B2</x:v>
      </x:c>
      <x:c r="D28" s="155" t="str">
        <x:v>wheel-back-right</x:v>
      </x:c>
      <x:c r="E28" s="155" t="n">
        <x:v>16</x:v>
      </x:c>
      <x:c r="F28" s="155" t="n">
        <x:v>16</x:v>
      </x:c>
      <x:c r="G28" s="155"/>
      <x:c r="H28" s="155"/>
      <x:c r="I28" s="155"/>
      <x:c r="J28" s="155"/>
      <x:c r="K28" s="155"/>
      <x:c r="L28" s="155"/>
      <x:c r="M28" s="156"/>
    </x:row>
    <x:row r="29">
      <x:c r="A29" s="154"/>
      <x:c r="B29" s="155" t="n">
        <x:v>180</x:v>
      </x:c>
      <x:c r="C29" s="155" t="str">
        <x:v>B4</x:v>
      </x:c>
      <x:c r="D29" s="155" t="str">
        <x:v>speed (high refresh)</x:v>
      </x:c>
      <x:c r="E29" s="155" t="n">
        <x:v>40</x:v>
      </x:c>
      <x:c r="F29" s="155" t="n">
        <x:v>16</x:v>
      </x:c>
      <x:c r="G29" s="155"/>
      <x:c r="H29" s="155"/>
      <x:c r="I29" s="155"/>
      <x:c r="J29" s="155"/>
      <x:c r="K29" s="155"/>
      <x:c r="L29" s="155"/>
      <x:c r="M29" s="156"/>
    </x:row>
    <x:row r="30">
      <x:c r="A30" s="154"/>
      <x:c r="B30" s="155" t="n">
        <x:v>180</x:v>
      </x:c>
      <x:c r="C30" s="155" t="str">
        <x:v>B4</x:v>
      </x:c>
      <x:c r="D30" s="155" t="str">
        <x:v>SPEED</x:v>
      </x:c>
      <x:c r="E30" s="155"/>
      <x:c r="F30" s="155"/>
      <x:c r="G30" s="155"/>
      <x:c r="H30" s="155" t="str">
        <x:v>SG_ ENCODER : 39|8@0+ (1,0) [0|255] "" XXX</x:v>
      </x:c>
      <x:c r="I30" s="155" t="str">
        <x:v>SG_ SPEED : 47|16@0+ (0.01,0) [0|250] "kph" XXX</x:v>
      </x:c>
      <x:c r="J30" s="155" t="str">
        <x:v>SG_ CHECKSUM : 63|8@0+ (1,0) [0|255] "" XXX</x:v>
      </x:c>
      <x:c r="K30" s="155"/>
      <x:c r="L30" s="155"/>
      <x:c r="M30" s="156"/>
    </x:row>
    <x:row r="31">
      <x:c r="A31" s="154"/>
      <x:c r="B31" s="155" t="n">
        <x:v>295</x:v>
      </x:c>
      <x:c r="C31" s="155" t="str">
        <x:v>127</x:v>
      </x:c>
      <x:c r="D31" s="155" t="str">
        <x:v>GEAR_PACKET</x:v>
      </x:c>
      <x:c r="E31" s="155"/>
      <x:c r="F31" s="155"/>
      <x:c r="G31" s="155"/>
      <x:c r="H31" s="155" t="str">
        <x:v>SG_ CAR_MOVEMENT : 39|8@0- (1,0) [0|255] "" XXX</x:v>
      </x:c>
      <x:c r="I31" s="155" t="str">
        <x:v>SG_ COUNTER : 55|8@0+ (1,0) [0|255] "" XXX</x:v>
      </x:c>
      <x:c r="J31" s="155" t="str">
        <x:v>SG_ CHECKSUM : 63|8@0+ (1,0) [0|255] "" XXX</x:v>
      </x:c>
      <x:c r="K31" s="155" t="str">
        <x:v>SG_ GEAR : 47|4@0+ (1,0) [0|15] "" XXX</x:v>
      </x:c>
      <x:c r="L31" s="155"/>
      <x:c r="M31" s="156"/>
    </x:row>
    <x:row r="32">
      <x:c r="A32" s="154"/>
      <x:c r="B32" s="155" t="str">
        <x:v>295</x:v>
      </x:c>
      <x:c r="C32" s="155" t="str">
        <x:v>127</x:v>
      </x:c>
      <x:c r="D32" s="155" t="str">
        <x:v>GEAR 0 "P" 1 "R" 2 "N" 3 "D" 4 "B";</x:v>
      </x:c>
      <x:c r="E32" s="155"/>
      <x:c r="F32" s="155"/>
      <x:c r="G32" s="155"/>
      <x:c r="H32" s="155"/>
      <x:c r="I32" s="155"/>
      <x:c r="J32" s="155"/>
      <x:c r="K32" s="155"/>
      <x:c r="L32" s="155"/>
      <x:c r="M32" s="156"/>
    </x:row>
    <x:row r="33">
      <x:c r="A33" s="154"/>
      <x:c r="B33" s="155" t="n">
        <x:v>353</x:v>
      </x:c>
      <x:c r="C33" s="155" t="str">
        <x:v>161</x:v>
      </x:c>
      <x:c r="D33" s="155" t="str">
        <x:v>DSU_SPEED</x:v>
      </x:c>
      <x:c r="E33" s="155"/>
      <x:c r="F33" s="155"/>
      <x:c r="G33" s="155"/>
      <x:c r="H33" s="155" t="str">
        <x:v>SG_ FORWARD_SPEED : 15|16@0- (0.00390625,-30) [0|255] "kph" XXX</x:v>
      </x:c>
      <x:c r="I33" s="155"/>
      <x:c r="J33" s="155"/>
      <x:c r="K33" s="155"/>
      <x:c r="L33" s="155"/>
      <x:c r="M33" s="156"/>
    </x:row>
    <x:row r="34">
      <x:c r="A34" s="154"/>
      <x:c r="B34" s="155" t="n">
        <x:v>359</x:v>
      </x:c>
      <x:c r="C34" s="155" t="str">
        <x:v>167</x:v>
      </x:c>
      <x:c r="D34" s="155" t="str">
        <x:v>STEERING_IPAS_COMMA</x:v>
      </x:c>
      <x:c r="E34" s="155"/>
      <x:c r="F34" s="155"/>
      <x:c r="G34" s="155"/>
      <x:c r="H34" s="155" t="str">
        <x:v>SG_ STATE : 7|4@0+ (1,0) [0|15] "" XXX</x:v>
      </x:c>
      <x:c r="I34" s="155" t="str">
        <x:v>SG_ ANGLE : 3|12@0- (1.5,0) [-510|510] "deg" XXX</x:v>
      </x:c>
      <x:c r="J34" s="155" t="str">
        <x:v>SG_ SET_ME_X10 : 23|8@0+ (1,0) [0|255] "" XXX</x:v>
      </x:c>
      <x:c r="K34" s="155" t="str">
        <x:v>SG_ SET_ME_X00 : 31|8@0+ (1,0) [0|255] "" XXX</x:v>
      </x:c>
      <x:c r="L34" s="155" t="str">
        <x:v>SG_ DIRECTION_CMD : 38|2@0+ (1,0) [0|3] "" XXX</x:v>
      </x:c>
      <x:c r="M34" s="156" t="str">
        <x:v>SG_ SET_ME_X40 : 47|8@0+ (1,0) [0|255] "" XXX</x:v>
      </x:c>
    </x:row>
    <x:row r="35">
      <x:c r="A35" s="154"/>
      <x:c r="B35" s="155" t="n">
        <x:v>452</x:v>
      </x:c>
      <x:c r="C35" s="155" t="str">
        <x:v>1C4</x:v>
      </x:c>
      <x:c r="D35" s="155" t="str">
        <x:v>ENGINE_RPM</x:v>
      </x:c>
      <x:c r="E35" s="155"/>
      <x:c r="F35" s="155"/>
      <x:c r="G35" s="155"/>
      <x:c r="H35" s="155" t="str">
        <x:v>SG_ RPM : 7|16@0- (0.78125,0) [0|0] "rpm" SCS</x:v>
      </x:c>
      <x:c r="I35" s="155"/>
      <x:c r="J35" s="155"/>
      <x:c r="K35" s="155"/>
      <x:c r="L35" s="155"/>
      <x:c r="M35" s="156"/>
    </x:row>
    <x:row r="36">
      <x:c r="A36" s="154"/>
      <x:c r="B36" s="155" t="n">
        <x:v>464</x:v>
      </x:c>
      <x:c r="C36" s="155" t="str">
        <x:v>1D0</x:v>
      </x:c>
      <x:c r="D36" s="155" t="str">
        <x:v>CurrentGear</x:v>
      </x:c>
      <x:c r="E36" s="155"/>
      <x:c r="F36" s="155"/>
      <x:c r="G36" s="155"/>
      <x:c r="H36" s="155"/>
      <x:c r="I36" s="155"/>
      <x:c r="J36" s="155"/>
      <x:c r="K36" s="155"/>
      <x:c r="L36" s="155"/>
      <x:c r="M36" s="156"/>
    </x:row>
    <x:row r="37">
      <x:c r="A37" s="154"/>
      <x:c r="B37" s="155" t="n">
        <x:v>466</x:v>
      </x:c>
      <x:c r="C37" s="155" t="str">
        <x:v>1D2</x:v>
      </x:c>
      <x:c r="D37" s="155" t="str">
        <x:v>PCM_CRUISE</x:v>
      </x:c>
      <x:c r="E37" s="155"/>
      <x:c r="F37" s="155"/>
      <x:c r="G37" s="155"/>
      <x:c r="H37" s="155" t="str">
        <x:v>SG_ GAS_RELEASED : 4|1@0+ (1,0) [0|1] "" XXX</x:v>
      </x:c>
      <x:c r="I37" s="155" t="str">
        <x:v>SG_ CRUISE_ACTIVE : 5|1@0+ (1,0) [0|1] "" XXX</x:v>
      </x:c>
      <x:c r="J37" s="155" t="str">
        <x:v>SG_ STANDSTILL_ON : 12|1@0+ (1,0) [0|1] "" XXX</x:v>
      </x:c>
      <x:c r="K37" s="155" t="str">
        <x:v>SG_ ACCEL_NET : 23|16@0- (0.001,0) [-20|20] "m/s2" XXX</x:v>
      </x:c>
      <x:c r="L37" s="155" t="str">
        <x:v>SG_ CRUISE_STATE : 55|4@0+ (1,0) [0|15] "" XXX</x:v>
      </x:c>
      <x:c r="M37" s="156" t="str">
        <x:v>SG_ CANCEL_REQ : 49|1@1+ (1,0) [0|1] "" XXX</x:v>
      </x:c>
    </x:row>
    <x:row r="38">
      <x:c r="A38" s="154"/>
      <x:c r="B38" s="155" t="str">
        <x:v>466</x:v>
      </x:c>
      <x:c r="C38" s="155" t="str">
        <x:v>1D2</x:v>
      </x:c>
      <x:c r="D38" s="155" t="str">
        <x:v>ACCEL_NET "net acceleration produced by the system, given ACCEL_CMD, road grade and other factors";</x:v>
      </x:c>
      <x:c r="E38" s="155"/>
      <x:c r="F38" s="155"/>
      <x:c r="G38" s="155"/>
      <x:c r="H38" s="155"/>
      <x:c r="I38" s="155"/>
      <x:c r="J38" s="155"/>
      <x:c r="K38" s="155"/>
      <x:c r="L38" s="155"/>
      <x:c r="M38" s="156"/>
    </x:row>
    <x:row r="39">
      <x:c r="A39" s="154"/>
      <x:c r="B39" s="155" t="str">
        <x:v>466</x:v>
      </x:c>
      <x:c r="C39" s="155" t="str">
        <x:v>1D2</x:v>
      </x:c>
      <x:c r="D39" s="155" t="str">
        <x:v>CRUISE_STATE "Active state is 8, if standstill is requested will switch to state 11(3 sec timer), after timer is elapsed will switch into state 7(standstill). If plus button was pressed - status 9, minus button pressed - status 10";</x:v>
      </x:c>
      <x:c r="E39" s="155"/>
      <x:c r="F39" s="155"/>
      <x:c r="G39" s="155"/>
      <x:c r="H39" s="155"/>
      <x:c r="I39" s="155"/>
      <x:c r="J39" s="155"/>
      <x:c r="K39" s="155"/>
      <x:c r="L39" s="155"/>
      <x:c r="M39" s="156"/>
    </x:row>
    <x:row r="40">
      <x:c r="A40" s="154"/>
      <x:c r="B40" s="155" t="str">
        <x:v>466</x:v>
      </x:c>
      <x:c r="C40" s="155" t="str">
        <x:v>1D2</x:v>
      </x:c>
      <x:c r="D40" s="155" t="str">
        <x:v>CRUISE_STATE 11 "timer_3sec" 10 "adaptive click down" 9 "adaptive click up" 8 "adaptive engaged" 7 "standstill" 6 "non-adaptive click up" 5 "non-adaptive click down" 4 "non-adaptive hold down" 3 "non-adaptive hold up" 2 "non-adaptive being engaged" 1 "non-adaptive engaged" 0 "off";</x:v>
      </x:c>
      <x:c r="E40" s="155"/>
      <x:c r="F40" s="155"/>
      <x:c r="G40" s="155"/>
      <x:c r="H40" s="155"/>
      <x:c r="I40" s="155"/>
      <x:c r="J40" s="155"/>
      <x:c r="K40" s="155"/>
      <x:c r="L40" s="155"/>
      <x:c r="M40" s="156"/>
    </x:row>
    <x:row r="41">
      <x:c r="A41" s="154"/>
      <x:c r="B41" s="155" t="n">
        <x:v>467</x:v>
      </x:c>
      <x:c r="C41" s="155" t="str">
        <x:v>1D3</x:v>
      </x:c>
      <x:c r="D41" s="155" t="str">
        <x:v>PCM_CRUISE_2</x:v>
      </x:c>
      <x:c r="E41" s="155"/>
      <x:c r="F41" s="155"/>
      <x:c r="G41" s="155"/>
      <x:c r="H41" s="155" t="str">
        <x:v>SG_ MAIN_ON : 15|1@0+ (1,0) [0|1] "" XXX</x:v>
      </x:c>
      <x:c r="I41" s="155" t="str">
        <x:v>SG_ LOW_SPEED_LOCKOUT : 14|2@0+ (1,0) [0|3] "kph" XXX</x:v>
      </x:c>
      <x:c r="J41" s="155" t="str">
        <x:v>SG_ SET_SPEED : 23|8@0+ (1,0) [0|255] "kph" XXX</x:v>
      </x:c>
      <x:c r="K41" s="155" t="str">
        <x:v>SG_ CHECKSUM : 63|8@0+ (1,0) [0|255] "" XXX</x:v>
      </x:c>
      <x:c r="L41" s="155"/>
      <x:c r="M41" s="156"/>
    </x:row>
    <x:row r="42">
      <x:c r="A42" s="154"/>
      <x:c r="B42" s="155" t="str">
        <x:v>467</x:v>
      </x:c>
      <x:c r="C42" s="155" t="str">
        <x:v>1D3</x:v>
      </x:c>
      <x:c r="D42" s="155" t="str">
        <x:v>LOW_SPEED_LOCKOUT "in low speed lockout, system would always disengage below 28mph";</x:v>
      </x:c>
      <x:c r="E42" s="155"/>
      <x:c r="F42" s="155"/>
      <x:c r="G42" s="155"/>
      <x:c r="H42" s="155"/>
      <x:c r="I42" s="155"/>
      <x:c r="J42" s="155"/>
      <x:c r="K42" s="155"/>
      <x:c r="L42" s="155"/>
      <x:c r="M42" s="156"/>
    </x:row>
    <x:row r="43">
      <x:c r="A43" s="154"/>
      <x:c r="B43" s="155" t="str">
        <x:v>467</x:v>
      </x:c>
      <x:c r="C43" s="155" t="str">
        <x:v>1D3</x:v>
      </x:c>
      <x:c r="D43" s="155" t="str">
        <x:v>SET_SPEED "43 kph are shown as 28mph, so conversion isn't perfect";</x:v>
      </x:c>
      <x:c r="E43" s="155"/>
      <x:c r="F43" s="155"/>
      <x:c r="G43" s="155"/>
      <x:c r="H43" s="155"/>
      <x:c r="I43" s="155"/>
      <x:c r="J43" s="155"/>
      <x:c r="K43" s="155"/>
      <x:c r="L43" s="155"/>
      <x:c r="M43" s="156"/>
    </x:row>
    <x:row r="44">
      <x:c r="A44" s="154"/>
      <x:c r="B44" s="155" t="str">
        <x:v>467</x:v>
      </x:c>
      <x:c r="C44" s="155" t="str">
        <x:v>1D3</x:v>
      </x:c>
      <x:c r="D44" s="155" t="str">
        <x:v>LOW_SPEED_LOCKOUT 2 "low speed locked" 1 "ok";</x:v>
      </x:c>
      <x:c r="E44" s="155"/>
      <x:c r="F44" s="155"/>
      <x:c r="G44" s="155"/>
      <x:c r="H44" s="155"/>
      <x:c r="I44" s="155"/>
      <x:c r="J44" s="155"/>
      <x:c r="K44" s="155"/>
      <x:c r="L44" s="155"/>
      <x:c r="M44" s="156"/>
    </x:row>
    <x:row r="45">
      <x:c r="A45" s="154"/>
      <x:c r="B45" s="155" t="n">
        <x:v>547</x:v>
      </x:c>
      <x:c r="C45" s="155" t="str">
        <x:v>223</x:v>
      </x:c>
      <x:c r="D45" s="155" t="str">
        <x:v>Unknown</x:v>
      </x:c>
      <x:c r="E45" s="155"/>
      <x:c r="F45" s="155" t="n">
        <x:v>8</x:v>
      </x:c>
      <x:c r="G45" s="155" t="str">
        <x:v>0.03</x:v>
      </x:c>
      <x:c r="H45" s="155" t="str">
        <x:v>Little data changes</x:v>
      </x:c>
      <x:c r="I45" s="155"/>
      <x:c r="J45" s="155"/>
      <x:c r="K45" s="155"/>
      <x:c r="L45" s="155"/>
      <x:c r="M45" s="156"/>
    </x:row>
    <x:row r="46">
      <x:c r="A46" s="154"/>
      <x:c r="B46" s="155" t="n">
        <x:v>548</x:v>
      </x:c>
      <x:c r="C46" s="155" t="str">
        <x:v>224</x:v>
      </x:c>
      <x:c r="D46" s="155" t="str">
        <x:v>Brake_Pedal</x:v>
      </x:c>
      <x:c r="E46" s="155"/>
      <x:c r="F46" s="155"/>
      <x:c r="G46" s="155"/>
      <x:c r="H46" s="155"/>
      <x:c r="I46" s="155"/>
      <x:c r="J46" s="155"/>
      <x:c r="K46" s="155"/>
      <x:c r="L46" s="155"/>
      <x:c r="M46" s="156"/>
    </x:row>
    <x:row r="47">
      <x:c r="A47" s="154"/>
      <x:c r="B47" s="155" t="n">
        <x:v>548</x:v>
      </x:c>
      <x:c r="C47" s="155" t="str">
        <x:v>224</x:v>
      </x:c>
      <x:c r="D47" s="155" t="str">
        <x:v>Brake Pressure</x:v>
      </x:c>
      <x:c r="E47" s="155"/>
      <x:c r="F47" s="155" t="n">
        <x:v>8</x:v>
      </x:c>
      <x:c r="G47" s="155" t="str">
        <x:v>0.03</x:v>
      </x:c>
      <x:c r="H47" s="155" t="str">
        <x:v>Bytes 5 and 6</x:v>
      </x:c>
      <x:c r="I47" s="155"/>
      <x:c r="J47" s="155"/>
      <x:c r="K47" s="155"/>
      <x:c r="L47" s="155"/>
      <x:c r="M47" s="156"/>
    </x:row>
    <x:row r="48">
      <x:c r="A48" s="154"/>
      <x:c r="B48" s="155" t="n">
        <x:v>548</x:v>
      </x:c>
      <x:c r="C48" s="155" t="str">
        <x:v>224</x:v>
      </x:c>
      <x:c r="D48" s="155" t="str">
        <x:v>brake-b</x:v>
      </x:c>
      <x:c r="E48" s="155" t="n">
        <x:v>2</x:v>
      </x:c>
      <x:c r="F48" s="155" t="n">
        <x:v>1</x:v>
      </x:c>
      <x:c r="G48" s="155"/>
      <x:c r="H48" s="155"/>
      <x:c r="I48" s="155"/>
      <x:c r="J48" s="155"/>
      <x:c r="K48" s="155"/>
      <x:c r="L48" s="155"/>
      <x:c r="M48" s="156"/>
    </x:row>
    <x:row r="49">
      <x:c r="A49" s="154"/>
      <x:c r="B49" s="155" t="n">
        <x:v>550</x:v>
      </x:c>
      <x:c r="C49" s="155" t="str">
        <x:v>226</x:v>
      </x:c>
      <x:c r="D49" s="155" t="str">
        <x:v>BRAKE_MODULE</x:v>
      </x:c>
      <x:c r="E49" s="155"/>
      <x:c r="F49" s="155"/>
      <x:c r="G49" s="155"/>
      <x:c r="H49" s="155" t="str">
        <x:v>SG_ BRAKE_PRESSURE : 0|9@0+ (1,0) [0|511] "" XXX</x:v>
      </x:c>
      <x:c r="I49" s="155" t="str">
        <x:v>SG_ BRAKE_POSITION : 16|9@0+ (1,0) [0|511] "" XXX</x:v>
      </x:c>
      <x:c r="J49" s="155" t="str">
        <x:v>SG_ BRAKE_PRESSED : 37|1@0+ (1,0) [0|1] "" XXX</x:v>
      </x:c>
      <x:c r="K49" s="155"/>
      <x:c r="L49" s="155"/>
      <x:c r="M49" s="156"/>
    </x:row>
    <x:row r="50">
      <x:c r="A50" s="154"/>
      <x:c r="B50" s="155" t="str">
        <x:v>550</x:v>
      </x:c>
      <x:c r="C50" s="155" t="str">
        <x:v>226</x:v>
      </x:c>
      <x:c r="D50" s="155" t="str">
        <x:v>BRAKE_POSITION "seems proportional to pedal displacement, unclear the max value of 0x1c8";</x:v>
      </x:c>
      <x:c r="E50" s="155"/>
      <x:c r="F50" s="155"/>
      <x:c r="G50" s="155"/>
      <x:c r="H50" s="155"/>
      <x:c r="I50" s="155"/>
      <x:c r="J50" s="155"/>
      <x:c r="K50" s="155"/>
      <x:c r="L50" s="155"/>
      <x:c r="M50" s="156"/>
    </x:row>
    <x:row r="51">
      <x:c r="A51" s="154"/>
      <x:c r="B51" s="155" t="str">
        <x:v>550</x:v>
      </x:c>
      <x:c r="C51" s="155" t="str">
        <x:v>226</x:v>
      </x:c>
      <x:c r="D51" s="155" t="str">
        <x:v>BRAKE_PRESSURE "seems prop to pedal force";</x:v>
      </x:c>
      <x:c r="E51" s="155"/>
      <x:c r="F51" s="155"/>
      <x:c r="G51" s="155"/>
      <x:c r="H51" s="155"/>
      <x:c r="I51" s="155"/>
      <x:c r="J51" s="155"/>
      <x:c r="K51" s="155"/>
      <x:c r="L51" s="155"/>
      <x:c r="M51" s="156"/>
    </x:row>
    <x:row r="52">
      <x:c r="A52" s="154"/>
      <x:c r="B52" s="155" t="n">
        <x:v>552</x:v>
      </x:c>
      <x:c r="C52" s="155" t="str">
        <x:v>228</x:v>
      </x:c>
      <x:c r="D52" s="155" t="str">
        <x:v>ACCELEROMETER</x:v>
      </x:c>
      <x:c r="E52" s="155"/>
      <x:c r="F52" s="155"/>
      <x:c r="G52" s="155"/>
      <x:c r="H52" s="155" t="str">
        <x:v>SG_ ACCEL_Z : 22|15@0- (1,0) [0|32767] "" XXX</x:v>
      </x:c>
      <x:c r="I52" s="155" t="str">
        <x:v>SG_ ACCEL_X : 6|15@0- (0.001,0) [-20|20] "m/s2" XXX</x:v>
      </x:c>
      <x:c r="J52" s="155"/>
      <x:c r="K52" s="155"/>
      <x:c r="L52" s="155"/>
      <x:c r="M52" s="156"/>
    </x:row>
    <x:row r="53">
      <x:c r="A53" s="154"/>
      <x:c r="B53" s="155" t="n">
        <x:v>560</x:v>
      </x:c>
      <x:c r="C53" s="155" t="str">
        <x:v>230</x:v>
      </x:c>
      <x:c r="D53" s="155" t="str">
        <x:v>ParkingBrake</x:v>
      </x:c>
      <x:c r="E53" s="155"/>
      <x:c r="F53" s="155"/>
      <x:c r="G53" s="155"/>
      <x:c r="H53" s="155"/>
      <x:c r="I53" s="155"/>
      <x:c r="J53" s="155"/>
      <x:c r="K53" s="155"/>
      <x:c r="L53" s="155"/>
      <x:c r="M53" s="156"/>
    </x:row>
    <x:row r="54">
      <x:c r="A54" s="154"/>
      <x:c r="B54" s="155" t="n">
        <x:v>560</x:v>
      </x:c>
      <x:c r="C54" s="155" t="str">
        <x:v>230</x:v>
      </x:c>
      <x:c r="D54" s="155" t="str">
        <x:v>BRAKE_MODULE2</x:v>
      </x:c>
      <x:c r="E54" s="155"/>
      <x:c r="F54" s="155"/>
      <x:c r="G54" s="155"/>
      <x:c r="H54" s="155" t="str">
        <x:v>SG_ BRAKE_PRESSED : 26|1@0+ (1,0) [0|1] "" XXX</x:v>
      </x:c>
      <x:c r="I54" s="155"/>
      <x:c r="J54" s="155"/>
      <x:c r="K54" s="155"/>
      <x:c r="L54" s="155"/>
      <x:c r="M54" s="156"/>
    </x:row>
    <x:row r="55">
      <x:c r="A55" s="154"/>
      <x:c r="B55" s="155" t="str">
        <x:v>560</x:v>
      </x:c>
      <x:c r="C55" s="155" t="str">
        <x:v>230</x:v>
      </x:c>
      <x:c r="D55" s="155" t="str">
        <x:v>BRAKE_PRESSED "another brake pressed?";</x:v>
      </x:c>
      <x:c r="E55" s="155"/>
      <x:c r="F55" s="155"/>
      <x:c r="G55" s="155"/>
      <x:c r="H55" s="155"/>
      <x:c r="I55" s="155"/>
      <x:c r="J55" s="155"/>
      <x:c r="K55" s="155"/>
      <x:c r="L55" s="155"/>
      <x:c r="M55" s="156"/>
    </x:row>
    <x:row r="56">
      <x:c r="A56" s="154"/>
      <x:c r="B56" s="155" t="n">
        <x:v>581</x:v>
      </x:c>
      <x:c r="C56" s="155" t="str">
        <x:v>245</x:v>
      </x:c>
      <x:c r="D56" s="155" t="str">
        <x:v>GAS_PEDAL</x:v>
      </x:c>
      <x:c r="E56" s="155"/>
      <x:c r="F56" s="155"/>
      <x:c r="G56" s="155"/>
      <x:c r="H56" s="155" t="str">
        <x:v>SG_ GAS_PEDAL : 23|8@0+ (0.005,0) [0|1] "" XXX</x:v>
      </x:c>
      <x:c r="I56" s="155"/>
      <x:c r="J56" s="155"/>
      <x:c r="K56" s="155"/>
      <x:c r="L56" s="155"/>
      <x:c r="M56" s="156"/>
    </x:row>
    <x:row r="57">
      <x:c r="A57" s="154"/>
      <x:c r="B57" s="155" t="str">
        <x:v>581</x:v>
      </x:c>
      <x:c r="C57" s="155" t="str">
        <x:v>245</x:v>
      </x:c>
      <x:c r="D57" s="155" t="str">
        <x:v>GAS_PEDAL "it seems slightly filtered";</x:v>
      </x:c>
      <x:c r="E57" s="155"/>
      <x:c r="F57" s="155"/>
      <x:c r="G57" s="155"/>
      <x:c r="H57" s="155"/>
      <x:c r="I57" s="155"/>
      <x:c r="J57" s="155"/>
      <x:c r="K57" s="155"/>
      <x:c r="L57" s="155"/>
      <x:c r="M57" s="156"/>
    </x:row>
    <x:row r="58">
      <x:c r="A58" s="154"/>
      <x:c r="B58" s="155" t="n">
        <x:v>608</x:v>
      </x:c>
      <x:c r="C58" s="155" t="str">
        <x:v>260</x:v>
      </x:c>
      <x:c r="D58" s="155" t="str">
        <x:v>steering</x:v>
      </x:c>
      <x:c r="E58" s="155" t="n">
        <x:v>40</x:v>
      </x:c>
      <x:c r="F58" s="155" t="n">
        <x:v>24</x:v>
      </x:c>
      <x:c r="G58" s="155"/>
      <x:c r="H58" s="155"/>
      <x:c r="I58" s="155"/>
      <x:c r="J58" s="155"/>
      <x:c r="K58" s="155"/>
      <x:c r="L58" s="155"/>
      <x:c r="M58" s="156"/>
    </x:row>
    <x:row r="59">
      <x:c r="A59" s="154"/>
      <x:c r="B59" s="155" t="n">
        <x:v>608</x:v>
      </x:c>
      <x:c r="C59" s="155" t="str">
        <x:v>260</x:v>
      </x:c>
      <x:c r="D59" s="155" t="str">
        <x:v>STEER_TORQUE_SENSOR</x:v>
      </x:c>
      <x:c r="E59" s="155"/>
      <x:c r="F59" s="155"/>
      <x:c r="G59" s="155"/>
      <x:c r="H59" s="155" t="str">
        <x:v>SG_ STEER_TORQUE_EPS : 47|16@0- (0.73,0) [-20000|20000] "" XXX</x:v>
      </x:c>
      <x:c r="I59" s="155" t="str">
        <x:v>SG_ STEER_TORQUE_DRIVER : 15|16@0- (1,0) [-32768|32767] "" XXX</x:v>
      </x:c>
      <x:c r="J59" s="155" t="str">
        <x:v>SG_ STEER_OVERRIDE : 0|1@0+ (1,0) [0|1] "" XXX</x:v>
      </x:c>
      <x:c r="K59" s="155" t="str">
        <x:v>SG_ CHECKSUM : 63|8@0+ (1,0) [0|255] "" XXX</x:v>
      </x:c>
      <x:c r="L59" s="155" t="str">
        <x:v>SG_ STEER_ANGLE : 31|16@0- (0.0573,0) [-500|500] "" XXX</x:v>
      </x:c>
      <x:c r="M59" s="156"/>
    </x:row>
    <x:row r="60">
      <x:c r="A60" s="154"/>
      <x:c r="B60" s="155" t="str">
        <x:v>608</x:v>
      </x:c>
      <x:c r="C60" s="155" t="str">
        <x:v>260</x:v>
      </x:c>
      <x:c r="D60" s="155" t="str">
        <x:v>STEER_OVERRIDE "set when driver torque exceeds a certain value";</x:v>
      </x:c>
      <x:c r="E60" s="155"/>
      <x:c r="F60" s="155"/>
      <x:c r="G60" s="155"/>
      <x:c r="H60" s="155"/>
      <x:c r="I60" s="155"/>
      <x:c r="J60" s="155"/>
      <x:c r="K60" s="155"/>
      <x:c r="L60" s="155"/>
      <x:c r="M60" s="156"/>
    </x:row>
    <x:row r="61">
      <x:c r="A61" s="154"/>
      <x:c r="B61" s="155" t="str">
        <x:v>608</x:v>
      </x:c>
      <x:c r="C61" s="155" t="str">
        <x:v>260</x:v>
      </x:c>
      <x:c r="D61" s="155" t="str">
        <x:v>STEER_TORQUE_DRIVER "driver torque";</x:v>
      </x:c>
      <x:c r="E61" s="155"/>
      <x:c r="F61" s="155"/>
      <x:c r="G61" s="155"/>
      <x:c r="H61" s="155"/>
      <x:c r="I61" s="155"/>
      <x:c r="J61" s="155"/>
      <x:c r="K61" s="155"/>
      <x:c r="L61" s="155"/>
      <x:c r="M61" s="156"/>
    </x:row>
    <x:row r="62">
      <x:c r="A62" s="154"/>
      <x:c r="B62" s="155" t="n">
        <x:v>610</x:v>
      </x:c>
      <x:c r="C62" s="155" t="str">
        <x:v>262</x:v>
      </x:c>
      <x:c r="D62" s="155" t="str">
        <x:v>EPS_STATUS</x:v>
      </x:c>
      <x:c r="E62" s="155"/>
      <x:c r="F62" s="155"/>
      <x:c r="G62" s="155"/>
      <x:c r="H62" s="155" t="str">
        <x:v>SG_ IPAS_STATE : 3|4@0+ (1,0) [0|15] "" XXX</x:v>
      </x:c>
      <x:c r="I62" s="155" t="str">
        <x:v>SG_ LKA_STATE : 31|7@0+ (1,0) [0|127] "" XXX</x:v>
      </x:c>
      <x:c r="J62" s="155" t="str">
        <x:v>SG_ TYPE : 24|1@0+ (1,0) [0|1] "" XXX</x:v>
      </x:c>
      <x:c r="K62" s="155" t="str">
        <x:v>SG_ CHECKSUM : 63|8@0+ (1,0) [0|255] "" XXX</x:v>
      </x:c>
      <x:c r="L62" s="155"/>
      <x:c r="M62" s="156"/>
    </x:row>
    <x:row r="63">
      <x:c r="A63" s="154"/>
      <x:c r="B63" s="155" t="str">
        <x:v>610</x:v>
      </x:c>
      <x:c r="C63" s="155" t="str">
        <x:v>262</x:v>
      </x:c>
      <x:c r="D63" s="155" t="str">
        <x:v>TYPE "seems 1 on Corolla, 0 on all others";</x:v>
      </x:c>
      <x:c r="E63" s="155"/>
      <x:c r="F63" s="155"/>
      <x:c r="G63" s="155"/>
      <x:c r="H63" s="155"/>
      <x:c r="I63" s="155"/>
      <x:c r="J63" s="155"/>
      <x:c r="K63" s="155"/>
      <x:c r="L63" s="155"/>
      <x:c r="M63" s="156"/>
    </x:row>
    <x:row r="64">
      <x:c r="A64" s="154"/>
      <x:c r="B64" s="155" t="str">
        <x:v>610</x:v>
      </x:c>
      <x:c r="C64" s="155" t="str">
        <x:v>262</x:v>
      </x:c>
      <x:c r="D64" s="155" t="str">
        <x:v>IPAS_STATE 5 "override" 3 "enabled" 1 "disabled";</x:v>
      </x:c>
      <x:c r="E64" s="155"/>
      <x:c r="F64" s="155"/>
      <x:c r="G64" s="155"/>
      <x:c r="H64" s="155"/>
      <x:c r="I64" s="155"/>
      <x:c r="J64" s="155"/>
      <x:c r="K64" s="155"/>
      <x:c r="L64" s="155"/>
      <x:c r="M64" s="156"/>
    </x:row>
    <x:row r="65">
      <x:c r="A65" s="154"/>
      <x:c r="B65" s="155" t="str">
        <x:v>610</x:v>
      </x:c>
      <x:c r="C65" s="155" t="str">
        <x:v>262</x:v>
      </x:c>
      <x:c r="D65" s="155" t="str">
        <x:v>LKA_STATE 25 "temporary_fault" 9 "temporary_fault2" 5 "active" 1 "standby";</x:v>
      </x:c>
      <x:c r="E65" s="155"/>
      <x:c r="F65" s="155"/>
      <x:c r="G65" s="155"/>
      <x:c r="H65" s="155"/>
      <x:c r="I65" s="155"/>
      <x:c r="J65" s="155"/>
      <x:c r="K65" s="155"/>
      <x:c r="L65" s="155"/>
      <x:c r="M65" s="156"/>
    </x:row>
    <x:row r="66">
      <x:c r="A66" s="154"/>
      <x:c r="B66" s="155" t="n">
        <x:v>614</x:v>
      </x:c>
      <x:c r="C66" s="155" t="str">
        <x:v>266</x:v>
      </x:c>
      <x:c r="D66" s="155" t="str">
        <x:v>STEERING_IPAS</x:v>
      </x:c>
      <x:c r="E66" s="155"/>
      <x:c r="F66" s="155"/>
      <x:c r="G66" s="155"/>
      <x:c r="H66" s="155" t="str">
        <x:v>SG_ STATE : 7|4@0+ (1,0) [0|15] "" XXX</x:v>
      </x:c>
      <x:c r="I66" s="155" t="str">
        <x:v>SG_ ANGLE : 3|12@0- (1.5,0) [-510|510] "deg" XXX</x:v>
      </x:c>
      <x:c r="J66" s="155" t="str">
        <x:v>SG_ SET_ME_X10 : 23|8@0+ (1,0) [0|255] "" XXX</x:v>
      </x:c>
      <x:c r="K66" s="155" t="str">
        <x:v>SG_ SET_ME_X00 : 31|8@0+ (1,0) [0|255] "" XXX</x:v>
      </x:c>
      <x:c r="L66" s="155" t="str">
        <x:v>SG_ DIRECTION_CMD : 38|2@0+ (1,0) [0|3] "" XXX</x:v>
      </x:c>
      <x:c r="M66" s="156" t="str">
        <x:v>SG_ SET_ME_X40 : 47|8@0+ (1,0) [0|255] "" XXX</x:v>
      </x:c>
    </x:row>
    <x:row r="67">
      <x:c r="A67" s="154"/>
      <x:c r="B67" s="155" t="str">
        <x:v>614</x:v>
      </x:c>
      <x:c r="C67" s="155" t="str">
        <x:v>266</x:v>
      </x:c>
      <x:c r="D67" s="155" t="str">
        <x:v>ANGLE "set to measured angle when ipas control isn't active";</x:v>
      </x:c>
      <x:c r="E67" s="155"/>
      <x:c r="F67" s="155"/>
      <x:c r="G67" s="155"/>
      <x:c r="H67" s="155"/>
      <x:c r="I67" s="155"/>
      <x:c r="J67" s="155"/>
      <x:c r="K67" s="155"/>
      <x:c r="L67" s="155"/>
      <x:c r="M67" s="156"/>
    </x:row>
    <x:row r="68">
      <x:c r="A68" s="154"/>
      <x:c r="B68" s="155" t="str">
        <x:v>614</x:v>
      </x:c>
      <x:c r="C68" s="155" t="str">
        <x:v>266</x:v>
      </x:c>
      <x:c r="D68" s="155" t="str">
        <x:v>DIRECTION_CMD 3 "right" 2 "center" 1 "left";</x:v>
      </x:c>
      <x:c r="E68" s="155"/>
      <x:c r="F68" s="155"/>
      <x:c r="G68" s="155"/>
      <x:c r="H68" s="155"/>
      <x:c r="I68" s="155"/>
      <x:c r="J68" s="155"/>
      <x:c r="K68" s="155"/>
      <x:c r="L68" s="155"/>
      <x:c r="M68" s="156"/>
    </x:row>
    <x:row r="69">
      <x:c r="A69" s="154"/>
      <x:c r="B69" s="155" t="str">
        <x:v>614</x:v>
      </x:c>
      <x:c r="C69" s="155" t="str">
        <x:v>266</x:v>
      </x:c>
      <x:c r="D69" s="155" t="str">
        <x:v>STATE 3 "enabled" 1 "disabled";</x:v>
      </x:c>
      <x:c r="E69" s="155"/>
      <x:c r="F69" s="155"/>
      <x:c r="G69" s="155"/>
      <x:c r="H69" s="155"/>
      <x:c r="I69" s="155"/>
      <x:c r="J69" s="155"/>
      <x:c r="K69" s="155"/>
      <x:c r="L69" s="155"/>
      <x:c r="M69" s="156"/>
    </x:row>
    <x:row r="70">
      <x:c r="A70" s="154"/>
      <x:c r="B70" s="155" t="n">
        <x:v>643</x:v>
      </x:c>
      <x:c r="C70" s="155" t="str">
        <x:v>283</x:v>
      </x:c>
      <x:c r="D70" s="155" t="str">
        <x:v>PRE_COLLISION</x:v>
      </x:c>
      <x:c r="E70" s="155"/>
      <x:c r="F70" s="155"/>
      <x:c r="G70" s="155"/>
      <x:c r="H70" s="155" t="str">
        <x:v>SG_ COUNTER : 7|8@0+ (1,0) [0|255] "" XXX</x:v>
      </x:c>
      <x:c r="I70" s="155" t="str">
        <x:v>SG_ SET_ME_X00 : 15|8@0+ (1,0) [0|255] "" XXX</x:v>
      </x:c>
      <x:c r="J70" s="155" t="str">
        <x:v>SG_ FORCE : 23|16@0- (2,0) [0|255] "N" XXX</x:v>
      </x:c>
      <x:c r="K70" s="155" t="str">
        <x:v>SG_ SET_ME_X002 : 33|8@0+ (1,0) [0|3] "" XXX</x:v>
      </x:c>
      <x:c r="L70" s="155" t="str">
        <x:v>SG_ BRAKE_STATUS : 39|3@0+ (1,0) [0|255] "" XXX</x:v>
      </x:c>
      <x:c r="M70" s="156" t="str">
        <x:v>SG_ STATE : 36|3@0+ (1,0) [0|255] "" XXX</x:v>
      </x:c>
    </x:row>
    <x:row r="71">
      <x:c r="A71" s="154"/>
      <x:c r="B71" s="155" t="str">
        <x:v>643</x:v>
      </x:c>
      <x:c r="C71" s="155" t="str">
        <x:v>283</x:v>
      </x:c>
      <x:c r="D71" s="155" t="str">
        <x:v>BRAKE_STATUS "only used on cars that use this msg for cruise control";</x:v>
      </x:c>
      <x:c r="E71" s="155"/>
      <x:c r="F71" s="155"/>
      <x:c r="G71" s="155"/>
      <x:c r="H71" s="155"/>
      <x:c r="I71" s="155"/>
      <x:c r="J71" s="155"/>
      <x:c r="K71" s="155"/>
      <x:c r="L71" s="155"/>
      <x:c r="M71" s="156"/>
    </x:row>
    <x:row r="72">
      <x:c r="A72" s="154"/>
      <x:c r="B72" s="155" t="str">
        <x:v>643</x:v>
      </x:c>
      <x:c r="C72" s="155" t="str">
        <x:v>283</x:v>
      </x:c>
      <x:c r="D72" s="155" t="str">
        <x:v>COUNTER "only used on cars that use this msg for cruise control";</x:v>
      </x:c>
      <x:c r="E72" s="155"/>
      <x:c r="F72" s="155"/>
      <x:c r="G72" s="155"/>
      <x:c r="H72" s="155"/>
      <x:c r="I72" s="155"/>
      <x:c r="J72" s="155"/>
      <x:c r="K72" s="155"/>
      <x:c r="L72" s="155"/>
      <x:c r="M72" s="156"/>
    </x:row>
    <x:row r="73">
      <x:c r="A73" s="154"/>
      <x:c r="B73" s="155" t="str">
        <x:v>643</x:v>
      </x:c>
      <x:c r="C73" s="155" t="str">
        <x:v>283</x:v>
      </x:c>
      <x:c r="D73" s="155" t="str">
        <x:v>PRECOLLISION_ACTIVE "set 0.5s before any braking";</x:v>
      </x:c>
      <x:c r="E73" s="155"/>
      <x:c r="F73" s="155"/>
      <x:c r="G73" s="155"/>
      <x:c r="H73" s="155"/>
      <x:c r="I73" s="155"/>
      <x:c r="J73" s="155"/>
      <x:c r="K73" s="155"/>
      <x:c r="L73" s="155"/>
      <x:c r="M73" s="156"/>
    </x:row>
    <x:row r="74">
      <x:c r="A74" s="154"/>
      <x:c r="B74" s="155" t="str">
        <x:v>643</x:v>
      </x:c>
      <x:c r="C74" s="155" t="str">
        <x:v>283</x:v>
      </x:c>
      <x:c r="D74" s="155" t="str">
        <x:v>STATE 0 "normal" 1 "adaptive_cruise_control" 3 "emergency_braking";</x:v>
      </x:c>
      <x:c r="E74" s="155"/>
      <x:c r="F74" s="155"/>
      <x:c r="G74" s="155"/>
      <x:c r="H74" s="155"/>
      <x:c r="I74" s="155"/>
      <x:c r="J74" s="155"/>
      <x:c r="K74" s="155"/>
      <x:c r="L74" s="155"/>
      <x:c r="M74" s="156"/>
    </x:row>
    <x:row r="75">
      <x:c r="A75" s="154"/>
      <x:c r="B75" s="155" t="n">
        <x:v>705</x:v>
      </x:c>
      <x:c r="C75" s="155" t="str">
        <x:v>2C1</x:v>
      </x:c>
      <x:c r="D75" s="155" t="str">
        <x:v>ThrottlePedal</x:v>
      </x:c>
      <x:c r="E75" s="155"/>
      <x:c r="F75" s="155"/>
      <x:c r="G75" s="155"/>
      <x:c r="H75" s="155"/>
      <x:c r="I75" s="155"/>
      <x:c r="J75" s="155"/>
      <x:c r="K75" s="155"/>
      <x:c r="L75" s="155"/>
      <x:c r="M75" s="156"/>
    </x:row>
    <x:row r="76">
      <x:c r="A76" s="154"/>
      <x:c r="B76" s="155" t="n">
        <x:v>705</x:v>
      </x:c>
      <x:c r="C76" s="155" t="str">
        <x:v>2C1</x:v>
      </x:c>
      <x:c r="D76" s="155" t="str">
        <x:v>ThrottlePedal2</x:v>
      </x:c>
      <x:c r="E76" s="155"/>
      <x:c r="F76" s="155"/>
      <x:c r="G76" s="155"/>
      <x:c r="H76" s="155"/>
      <x:c r="I76" s="155"/>
      <x:c r="J76" s="155"/>
      <x:c r="K76" s="155"/>
      <x:c r="L76" s="155"/>
      <x:c r="M76" s="156"/>
    </x:row>
    <x:row r="77">
      <x:c r="A77" s="154"/>
      <x:c r="B77" s="155" t="n">
        <x:v>705</x:v>
      </x:c>
      <x:c r="C77" s="155" t="str">
        <x:v>2C1</x:v>
      </x:c>
      <x:c r="D77" s="155" t="str">
        <x:v>Throttle Pedal</x:v>
      </x:c>
      <x:c r="E77" s="155"/>
      <x:c r="F77" s="155" t="n">
        <x:v>8</x:v>
      </x:c>
      <x:c r="G77" s="155" t="str">
        <x:v>0.99</x:v>
      </x:c>
      <x:c r="H77" s="155" t="str">
        <x:v>Byte 7 is throttle</x:v>
      </x:c>
      <x:c r="I77" s="155"/>
      <x:c r="J77" s="155"/>
      <x:c r="K77" s="155"/>
      <x:c r="L77" s="155"/>
      <x:c r="M77" s="156"/>
    </x:row>
    <x:row r="78">
      <x:c r="A78" s="154"/>
      <x:c r="B78" s="155" t="n">
        <x:v>708</x:v>
      </x:c>
      <x:c r="C78" s="155" t="str">
        <x:v>2C4</x:v>
      </x:c>
      <x:c r="D78" s="155" t="str">
        <x:v>Engine Speed</x:v>
      </x:c>
      <x:c r="E78" s="155"/>
      <x:c r="F78" s="155"/>
      <x:c r="G78" s="155"/>
      <x:c r="H78" s="155"/>
      <x:c r="I78" s="155"/>
      <x:c r="J78" s="155"/>
      <x:c r="K78" s="155"/>
      <x:c r="L78" s="155"/>
      <x:c r="M78" s="156"/>
    </x:row>
    <x:row r="79">
      <x:c r="A79" s="154"/>
      <x:c r="B79" s="155" t="n">
        <x:v>708</x:v>
      </x:c>
      <x:c r="C79" s="155" t="str">
        <x:v>2C4</x:v>
      </x:c>
      <x:c r="D79" s="155" t="str">
        <x:v>Engine Speed</x:v>
      </x:c>
      <x:c r="E79" s="155"/>
      <x:c r="F79" s="155" t="n">
        <x:v>8</x:v>
      </x:c>
      <x:c r="G79" s="155" t="str">
        <x:v>0.02</x:v>
      </x:c>
      <x:c r="H79" s="155" t="str">
        <x:v>Bytes 1 and 2</x:v>
      </x:c>
      <x:c r="I79" s="155"/>
      <x:c r="J79" s="155"/>
      <x:c r="K79" s="155"/>
      <x:c r="L79" s="155"/>
      <x:c r="M79" s="156"/>
    </x:row>
    <x:row r="80">
      <x:c r="A80" s="154"/>
      <x:c r="B80" s="155" t="n">
        <x:v>708</x:v>
      </x:c>
      <x:c r="C80" s="155" t="str">
        <x:v>2C4</x:v>
      </x:c>
      <x:c r="D80" s="155" t="str">
        <x:v>engine-rev (high refresh)</x:v>
      </x:c>
      <x:c r="E80" s="155" t="n">
        <x:v>0</x:v>
      </x:c>
      <x:c r="F80" s="155" t="n">
        <x:v>16</x:v>
      </x:c>
      <x:c r="G80" s="155"/>
      <x:c r="H80" s="155"/>
      <x:c r="I80" s="155"/>
      <x:c r="J80" s="155"/>
      <x:c r="K80" s="155"/>
      <x:c r="L80" s="155"/>
      <x:c r="M80" s="156"/>
    </x:row>
    <x:row r="81">
      <x:c r="A81" s="154"/>
      <x:c r="B81" s="155" t="n">
        <x:v>708</x:v>
      </x:c>
      <x:c r="C81" s="155" t="str">
        <x:v>2C4</x:v>
      </x:c>
      <x:c r="D81" s="155" t="str">
        <x:v>unknown 1</x:v>
      </x:c>
      <x:c r="E81" s="155" t="n">
        <x:v>54</x:v>
      </x:c>
      <x:c r="F81" s="155" t="n">
        <x:v>8</x:v>
      </x:c>
      <x:c r="G81" s="155"/>
      <x:c r="H81" s="155"/>
      <x:c r="I81" s="155"/>
      <x:c r="J81" s="155"/>
      <x:c r="K81" s="155"/>
      <x:c r="L81" s="155"/>
      <x:c r="M81" s="156"/>
    </x:row>
    <x:row r="82">
      <x:c r="A82" s="154"/>
      <x:c r="B82" s="155" t="n">
        <x:v>720</x:v>
      </x:c>
      <x:c r="C82" s="155" t="str">
        <x:v>2D0</x:v>
      </x:c>
      <x:c r="D82" s="155" t="str">
        <x:v>Unknown</x:v>
      </x:c>
      <x:c r="E82" s="155"/>
      <x:c r="F82" s="155" t="n">
        <x:v>8</x:v>
      </x:c>
      <x:c r="G82" s="155" t="str">
        <x:v>0.03</x:v>
      </x:c>
      <x:c r="H82" s="155" t="str">
        <x:v>No time trends</x:v>
      </x:c>
      <x:c r="I82" s="155"/>
      <x:c r="J82" s="155"/>
      <x:c r="K82" s="155"/>
      <x:c r="L82" s="155"/>
      <x:c r="M82" s="156"/>
    </x:row>
    <x:row r="83">
      <x:c r="A83" s="154"/>
      <x:c r="B83" s="155" t="n">
        <x:v>740</x:v>
      </x:c>
      <x:c r="C83" s="155" t="str">
        <x:v>2E4</x:v>
      </x:c>
      <x:c r="D83" s="155" t="str">
        <x:v>STEERING_LKA</x:v>
      </x:c>
      <x:c r="E83" s="155"/>
      <x:c r="F83" s="155"/>
      <x:c r="G83" s="155"/>
      <x:c r="H83" s="155" t="str">
        <x:v>SG_ LKA_STATE : 31|8@0+ (1,0) [0|255] "" XXX</x:v>
      </x:c>
      <x:c r="I83" s="155" t="str">
        <x:v>SG_ STEER_REQUEST : 0|1@0+ (1,0) [0|1] "" XXX</x:v>
      </x:c>
      <x:c r="J83" s="155" t="str">
        <x:v>SG_ COUNTER : 6|6@0+ (1,0) [0|63] "" XXX</x:v>
      </x:c>
      <x:c r="K83" s="155" t="str">
        <x:v>SG_ SET_ME_1 : 7|1@0+ (1,0) [0|1] "" XXX</x:v>
      </x:c>
      <x:c r="L83" s="155" t="str">
        <x:v>SG_ STEER_TORQUE_CMD : 15|16@0- (1,0) [0|65535] "" XXX</x:v>
      </x:c>
      <x:c r="M83" s="156" t="str">
        <x:v>SG_ CHECKSUM : 39|8@0+ (1,0) [0|255] "" XXX</x:v>
      </x:c>
    </x:row>
    <x:row r="84">
      <x:c r="A84" s="154"/>
      <x:c r="B84" s="155" t="n">
        <x:v>742</x:v>
      </x:c>
      <x:c r="C84" s="155" t="str">
        <x:v>2E6</x:v>
      </x:c>
      <x:c r="D84" s="155" t="str">
        <x:v>LEAD_INFO</x:v>
      </x:c>
      <x:c r="E84" s="155"/>
      <x:c r="F84" s="155"/>
      <x:c r="G84" s="155"/>
      <x:c r="H84" s="155" t="str">
        <x:v>SG_ CHECKSUM : 63|8@0+ (1,0) [0|255] "" HCU</x:v>
      </x:c>
      <x:c r="I84" s="155" t="str">
        <x:v>SG_ LEAD_REL_SPEED : 23|12@0- (0.025,0) [-100|100] "m/s" HCU</x:v>
      </x:c>
      <x:c r="J84" s="155" t="str">
        <x:v>SG_ LEAD_LONG_DIST : 7|13@0+ (0.05,0) [0|300] "m" HCU</x:v>
      </x:c>
      <x:c r="K84" s="155"/>
      <x:c r="L84" s="155"/>
      <x:c r="M84" s="156"/>
    </x:row>
    <x:row r="85">
      <x:c r="A85" s="154"/>
      <x:c r="B85" s="155" t="n">
        <x:v>767</x:v>
      </x:c>
      <x:c r="C85" s="155" t="str">
        <x:v>2FF</x:v>
      </x:c>
      <x:c r="D85" s="155" t="str">
        <x:v>SDSU</x:v>
      </x:c>
      <x:c r="E85" s="155"/>
      <x:c r="F85" s="155"/>
      <x:c r="G85" s="155"/>
      <x:c r="H85" s="155" t="str">
        <x:v>SG_ FD_BUTTON : 7|1@0+ (1,0) [0|1] "" XXX</x:v>
      </x:c>
      <x:c r="I85" s="155"/>
      <x:c r="J85" s="155"/>
      <x:c r="K85" s="155"/>
      <x:c r="L85" s="155"/>
      <x:c r="M85" s="156"/>
    </x:row>
    <x:row r="86">
      <x:c r="A86" s="154"/>
      <x:c r="B86" s="155" t="str">
        <x:v>767</x:v>
      </x:c>
      <x:c r="C86" s="155" t="str">
        <x:v>2FF</x:v>
      </x:c>
      <x:c r="D86" s="155" t="str">
        <x:v>FD_BUTTON "The follow distance button signal as forwarded by the sdsu";</x:v>
      </x:c>
      <x:c r="E86" s="155"/>
      <x:c r="F86" s="155"/>
      <x:c r="G86" s="155"/>
      <x:c r="H86" s="155"/>
      <x:c r="I86" s="155"/>
      <x:c r="J86" s="155"/>
      <x:c r="K86" s="155"/>
      <x:c r="L86" s="155"/>
      <x:c r="M86" s="156"/>
    </x:row>
    <x:row r="87">
      <x:c r="A87" s="154"/>
      <x:c r="B87" s="155" t="n">
        <x:v>835</x:v>
      </x:c>
      <x:c r="C87" s="155" t="str">
        <x:v>343</x:v>
      </x:c>
      <x:c r="D87" s="155" t="str">
        <x:v>ACC_CONTROL</x:v>
      </x:c>
      <x:c r="E87" s="155"/>
      <x:c r="F87" s="155"/>
      <x:c r="G87" s="155"/>
      <x:c r="H87" s="155" t="str">
        <x:v>SG_ ACCEL_CMD : 7|16@0- (0.001,0) [-20|20] "m/s2" HCU</x:v>
      </x:c>
      <x:c r="I87" s="155" t="str">
        <x:v>SG_ ACC_TYPE : 23|2@0+ (1,0) [0|3] "" HCU</x:v>
      </x:c>
      <x:c r="J87" s="155" t="str">
        <x:v>SG_ DISTANCE : 20|1@0+ (1,0) [0|1] "" XXX</x:v>
      </x:c>
      <x:c r="K87" s="155" t="str">
        <x:v>SG_ MINI_CAR : 21|1@0+ (1,0) [0|1] "" XXX</x:v>
      </x:c>
      <x:c r="L87" s="155" t="str">
        <x:v>SG_ SET_ME_X3 : 19|4@0+ (1,0) [0|15] "" XXX</x:v>
      </x:c>
      <x:c r="M87" s="156" t="str">
        <x:v>SG_ PERMIT_BRAKING : 30|1@0+ (1,0) [0|1] "" HCU</x:v>
      </x:c>
    </x:row>
    <x:row r="88">
      <x:c r="A88" s="154"/>
      <x:c r="B88" s="155" t="str">
        <x:v>835</x:v>
      </x:c>
      <x:c r="C88" s="155" t="str">
        <x:v>343</x:v>
      </x:c>
      <x:c r="D88" s="155" t="str">
        <x:v>ACC_TYPE "if 2, car is likely to have a permanent low speed lockout. 1 is ok";</x:v>
      </x:c>
      <x:c r="E88" s="155"/>
      <x:c r="F88" s="155"/>
      <x:c r="G88" s="155"/>
      <x:c r="H88" s="155"/>
      <x:c r="I88" s="155"/>
      <x:c r="J88" s="155"/>
      <x:c r="K88" s="155"/>
      <x:c r="L88" s="155"/>
      <x:c r="M88" s="156"/>
    </x:row>
    <x:row r="89">
      <x:c r="A89" s="154"/>
      <x:c r="B89" s="155" t="str">
        <x:v>835</x:v>
      </x:c>
      <x:c r="C89" s="155" t="str">
        <x:v>343</x:v>
      </x:c>
      <x:c r="D89" s="155" t="str">
        <x:v>ACCEL_CMD_ALT "Copy of main ACCEL_CMD, but across 8 bits instead of 16 bits like ACCEL_CMD. Unsure if only informational or has an effect. Likely informational as existing openpilot sets this to 0 and no loss of functionality observed. Originally 'AT_RAW' in leaked toyota_2017_ref_pt.dbc file.";</x:v>
      </x:c>
      <x:c r="E89" s="155"/>
      <x:c r="F89" s="155"/>
      <x:c r="G89" s="155"/>
      <x:c r="H89" s="155"/>
      <x:c r="I89" s="155"/>
      <x:c r="J89" s="155"/>
      <x:c r="K89" s="155"/>
      <x:c r="L89" s="155"/>
      <x:c r="M89" s="156"/>
    </x:row>
    <x:row r="90">
      <x:c r="A90" s="154"/>
      <x:c r="B90" s="155" t="str">
        <x:v>835</x:v>
      </x:c>
      <x:c r="C90" s="155" t="str">
        <x:v>343</x:v>
      </x:c>
      <x:c r="D90" s="155" t="str">
        <x:v>PERMIT_BRAKING "Original ACC has this going high when a car in front is detected. In openpilot and before the PERMIT_BRAKING name, this was 'SET_ME_1' and is hardcoded to be high. Unsure if only informational or has an effect though existing usage in openpilot is to always set it to 1. Originally 'PMTBRKG' in the leaked toyota_2017_ref_pt.dbc file and name expansion speculated to be PerMiT BRaKinG.";</x:v>
      </x:c>
      <x:c r="E90" s="155"/>
      <x:c r="F90" s="155"/>
      <x:c r="G90" s="155"/>
      <x:c r="H90" s="155"/>
      <x:c r="I90" s="155"/>
      <x:c r="J90" s="155"/>
      <x:c r="K90" s="155"/>
      <x:c r="L90" s="155"/>
      <x:c r="M90" s="156"/>
    </x:row>
    <x:row r="91">
      <x:c r="A91" s="154"/>
      <x:c r="B91" s="155" t="str">
        <x:v>835</x:v>
      </x:c>
      <x:c r="C91" s="155" t="str">
        <x:v>343</x:v>
      </x:c>
      <x:c r="D91" s="155" t="str">
        <x:v>ACC_TYPE 2 "permanent low speed lockout" 1 "ok";</x:v>
      </x:c>
      <x:c r="E91" s="155"/>
      <x:c r="F91" s="155"/>
      <x:c r="G91" s="155"/>
      <x:c r="H91" s="155"/>
      <x:c r="I91" s="155"/>
      <x:c r="J91" s="155"/>
      <x:c r="K91" s="155"/>
      <x:c r="L91" s="155"/>
      <x:c r="M91" s="156"/>
    </x:row>
    <x:row r="92">
      <x:c r="A92" s="154"/>
      <x:c r="B92" s="155" t="n">
        <x:v>836</x:v>
      </x:c>
      <x:c r="C92" s="155" t="str">
        <x:v>344</x:v>
      </x:c>
      <x:c r="D92" s="155" t="str">
        <x:v>PRE_COLLISION_2</x:v>
      </x:c>
      <x:c r="E92" s="155"/>
      <x:c r="F92" s="155"/>
      <x:c r="G92" s="155"/>
      <x:c r="H92" s="155" t="str">
        <x:v>SG_ CHECKSUM : 63|8@0+ (1,0) [0|0] "" XXX</x:v>
      </x:c>
      <x:c r="I92" s="155"/>
      <x:c r="J92" s="155"/>
      <x:c r="K92" s="155"/>
      <x:c r="L92" s="155"/>
      <x:c r="M92" s="156"/>
    </x:row>
    <x:row r="93">
      <x:c r="A93" s="154"/>
      <x:c r="B93" s="155" t="n">
        <x:v>869</x:v>
      </x:c>
      <x:c r="C93" s="155" t="str">
        <x:v>365</x:v>
      </x:c>
      <x:c r="D93" s="155" t="str">
        <x:v>DSU_CRUISE</x:v>
      </x:c>
      <x:c r="E93" s="155"/>
      <x:c r="F93" s="155"/>
      <x:c r="G93" s="155"/>
      <x:c r="H93" s="155" t="str">
        <x:v>SG_ RES_BTN : 3|1@0+ (1,0) [0|0] "" XXX</x:v>
      </x:c>
      <x:c r="I93" s="155" t="str">
        <x:v>SG_ SET_BTN : 2|1@0+ (1,0) [0|0] "" XXX</x:v>
      </x:c>
      <x:c r="J93" s="155" t="str">
        <x:v>SG_ CANCEL_BTN : 1|1@0+ (1,0) [0|0] "" XXX</x:v>
      </x:c>
      <x:c r="K93" s="155" t="str">
        <x:v>SG_ MAIN_ON : 0|1@0+ (1,0) [0|0] "" XXX</x:v>
      </x:c>
      <x:c r="L93" s="155" t="str">
        <x:v>SG_ SET_SPEED : 15|8@0+ (1,0) [0|0] "km/h" XXX</x:v>
      </x:c>
      <x:c r="M93" s="156" t="str">
        <x:v>SG_ CRUISE_REQUEST : 31|8@0+ (100,-12800) [0|0] "N" XXX</x:v>
      </x:c>
    </x:row>
    <x:row r="94">
      <x:c r="A94" s="154"/>
      <x:c r="B94" s="155" t="n">
        <x:v>896</x:v>
      </x:c>
      <x:c r="C94" s="155" t="str">
        <x:v>380</x:v>
      </x:c>
      <x:c r="D94" s="155" t="str">
        <x:v>AirCon</x:v>
      </x:c>
      <x:c r="E94" s="155"/>
      <x:c r="F94" s="155"/>
      <x:c r="G94" s="155"/>
      <x:c r="H94" s="155"/>
      <x:c r="I94" s="155"/>
      <x:c r="J94" s="155"/>
      <x:c r="K94" s="155"/>
      <x:c r="L94" s="155"/>
      <x:c r="M94" s="156"/>
    </x:row>
    <x:row r="95">
      <x:c r="A95" s="154"/>
      <x:c r="B95" s="155" t="n">
        <x:v>896</x:v>
      </x:c>
      <x:c r="C95" s="155" t="str">
        <x:v>380</x:v>
      </x:c>
      <x:c r="D95" s="155" t="str">
        <x:v>Unknown (Air Cond)</x:v>
      </x:c>
      <x:c r="E95" s="155"/>
      <x:c r="F95" s="155" t="n">
        <x:v>8</x:v>
      </x:c>
      <x:c r="G95" s="155" t="n">
        <x:v>1</x:v>
      </x:c>
      <x:c r="H95" s="155" t="str">
        <x:v>Little data changes</x:v>
      </x:c>
      <x:c r="I95" s="155"/>
      <x:c r="J95" s="155"/>
      <x:c r="K95" s="155"/>
      <x:c r="L95" s="155"/>
      <x:c r="M95" s="156"/>
    </x:row>
    <x:row r="96">
      <x:c r="A96" s="154"/>
      <x:c r="B96" s="155" t="n">
        <x:v>897</x:v>
      </x:c>
      <x:c r="C96" s="155" t="str">
        <x:v>381</x:v>
      </x:c>
      <x:c r="D96" s="155" t="str">
        <x:v>Unknown</x:v>
      </x:c>
      <x:c r="E96" s="155"/>
      <x:c r="F96" s="155" t="n">
        <x:v>8</x:v>
      </x:c>
      <x:c r="G96" s="155" t="n">
        <x:v>5</x:v>
      </x:c>
      <x:c r="H96" s="155" t="str">
        <x:v>Little data changes</x:v>
      </x:c>
      <x:c r="I96" s="155"/>
      <x:c r="J96" s="155"/>
      <x:c r="K96" s="155"/>
      <x:c r="L96" s="155"/>
      <x:c r="M96" s="156"/>
    </x:row>
    <x:row r="97">
      <x:c r="A97" s="154"/>
      <x:c r="B97" s="155" t="n">
        <x:v>899</x:v>
      </x:c>
      <x:c r="C97" s="155" t="str">
        <x:v>383</x:v>
      </x:c>
      <x:c r="D97" s="155" t="str">
        <x:v>Unknown</x:v>
      </x:c>
      <x:c r="E97" s="155"/>
      <x:c r="F97" s="155" t="n">
        <x:v>8</x:v>
      </x:c>
      <x:c r="G97" s="155" t="n">
        <x:v>2</x:v>
      </x:c>
      <x:c r="H97" s="155" t="str">
        <x:v>All zeros</x:v>
      </x:c>
      <x:c r="I97" s="155"/>
      <x:c r="J97" s="155"/>
      <x:c r="K97" s="155"/>
      <x:c r="L97" s="155"/>
      <x:c r="M97" s="156"/>
    </x:row>
    <x:row r="98">
      <x:c r="A98" s="154"/>
      <x:c r="B98" s="155" t="n">
        <x:v>906</x:v>
      </x:c>
      <x:c r="C98" s="155" t="str">
        <x:v>38A</x:v>
      </x:c>
      <x:c r="D98" s="155" t="str">
        <x:v>Unknown</x:v>
      </x:c>
      <x:c r="E98" s="155"/>
      <x:c r="F98" s="155" t="n">
        <x:v>5</x:v>
      </x:c>
      <x:c r="G98" s="155" t="n">
        <x:v>2</x:v>
      </x:c>
      <x:c r="H98" s="155" t="str">
        <x:v>All zeros</x:v>
      </x:c>
      <x:c r="I98" s="155"/>
      <x:c r="J98" s="155"/>
      <x:c r="K98" s="155"/>
      <x:c r="L98" s="155"/>
      <x:c r="M98" s="156"/>
    </x:row>
    <x:row r="99">
      <x:c r="A99" s="154"/>
      <x:c r="B99" s="155" t="n">
        <x:v>920</x:v>
      </x:c>
      <x:c r="C99" s="155" t="str">
        <x:v>398</x:v>
      </x:c>
      <x:c r="D99" s="155" t="str">
        <x:v>Fuel</x:v>
      </x:c>
      <x:c r="E99" s="155"/>
      <x:c r="F99" s="155"/>
      <x:c r="G99" s="155"/>
      <x:c r="H99" s="155"/>
      <x:c r="I99" s="155"/>
      <x:c r="J99" s="155"/>
      <x:c r="K99" s="155"/>
      <x:c r="L99" s="155"/>
      <x:c r="M99" s="156"/>
    </x:row>
    <x:row r="100">
      <x:c r="A100" s="154"/>
      <x:c r="B100" s="155" t="n">
        <x:v>920</x:v>
      </x:c>
      <x:c r="C100" s="155" t="str">
        <x:v>398</x:v>
      </x:c>
      <x:c r="D100" s="155" t="str">
        <x:v>Fuel</x:v>
      </x:c>
      <x:c r="E100" s="155"/>
      <x:c r="F100" s="155" t="n">
        <x:v>2</x:v>
      </x:c>
      <x:c r="G100" s="155" t="str">
        <x:v>Aperiodic</x:v>
      </x:c>
      <x:c r="H100" s="155"/>
      <x:c r="I100" s="155"/>
      <x:c r="J100" s="155"/>
      <x:c r="K100" s="155"/>
      <x:c r="L100" s="155"/>
      <x:c r="M100" s="156"/>
    </x:row>
    <x:row r="101">
      <x:c r="A101" s="154"/>
      <x:c r="B101" s="155" t="n">
        <x:v>920</x:v>
      </x:c>
      <x:c r="C101" s="155" t="str">
        <x:v>398</x:v>
      </x:c>
      <x:c r="D101" s="155" t="str">
        <x:v>throttle slow</x:v>
      </x:c>
      <x:c r="E101" s="155" t="n">
        <x:v>0</x:v>
      </x:c>
      <x:c r="F101" s="155" t="n">
        <x:v>16</x:v>
      </x:c>
      <x:c r="G101" s="155"/>
      <x:c r="H101" s="155"/>
      <x:c r="I101" s="155"/>
      <x:c r="J101" s="155"/>
      <x:c r="K101" s="155"/>
      <x:c r="L101" s="155"/>
      <x:c r="M101" s="156"/>
    </x:row>
    <x:row r="102">
      <x:c r="A102" s="154"/>
      <x:c r="B102" s="155" t="n">
        <x:v>921</x:v>
      </x:c>
      <x:c r="C102" s="155" t="str">
        <x:v>399</x:v>
      </x:c>
      <x:c r="D102" s="155" t="str">
        <x:v>Unknown</x:v>
      </x:c>
      <x:c r="E102" s="155"/>
      <x:c r="F102" s="155" t="n">
        <x:v>5</x:v>
      </x:c>
      <x:c r="G102" s="155" t="n">
        <x:v>1</x:v>
      </x:c>
      <x:c r="H102" s="155" t="str">
        <x:v>Switch like data</x:v>
      </x:c>
      <x:c r="I102" s="155"/>
      <x:c r="J102" s="155"/>
      <x:c r="K102" s="155"/>
      <x:c r="L102" s="155"/>
      <x:c r="M102" s="156"/>
    </x:row>
    <x:row r="103">
      <x:c r="A103" s="154"/>
      <x:c r="B103" s="155" t="n">
        <x:v>921</x:v>
      </x:c>
      <x:c r="C103" s="155" t="str">
        <x:v>399</x:v>
      </x:c>
      <x:c r="D103" s="155" t="str">
        <x:v>PCM_CRUISE_SM</x:v>
      </x:c>
      <x:c r="E103" s="155"/>
      <x:c r="F103" s="155"/>
      <x:c r="G103" s="155"/>
      <x:c r="H103" s="155" t="str">
        <x:v>SG_ MAIN_ON : 4|1@0+ (1,0) [0|1] "" XXX</x:v>
      </x:c>
      <x:c r="I103" s="155" t="str">
        <x:v>SG_ CRUISE_CONTROL_STATE : 11|4@0+ (1,0) [0|15] "" XXX</x:v>
      </x:c>
      <x:c r="J103" s="155" t="str">
        <x:v>SG_ DISTANCE_LINES : 14|2@0+ (1,0) [0|3] "" XXX</x:v>
      </x:c>
      <x:c r="K103" s="155" t="str">
        <x:v>SG_ UI_SET_SPEED : 31|8@0+ (1,0) [0|255] "" XXX</x:v>
      </x:c>
      <x:c r="L103" s="155"/>
      <x:c r="M103" s="156"/>
    </x:row>
    <x:row r="104">
      <x:c r="A104" s="154"/>
      <x:c r="B104" s="155" t="str">
        <x:v>921</x:v>
      </x:c>
      <x:c r="C104" s="155" t="str">
        <x:v>399</x:v>
      </x:c>
      <x:c r="D104" s="155" t="str">
        <x:v>UI_SET_SPEED "set speed shown in UI with user set unit";</x:v>
      </x:c>
      <x:c r="E104" s="155"/>
      <x:c r="F104" s="155"/>
      <x:c r="G104" s="155"/>
      <x:c r="H104" s="155"/>
      <x:c r="I104" s="155"/>
      <x:c r="J104" s="155"/>
      <x:c r="K104" s="155"/>
      <x:c r="L104" s="155"/>
      <x:c r="M104" s="156"/>
    </x:row>
    <x:row r="105">
      <x:c r="A105" s="154"/>
      <x:c r="B105" s="155" t="str">
        <x:v>921</x:v>
      </x:c>
      <x:c r="C105" s="155" t="str">
        <x:v>399</x:v>
      </x:c>
      <x:c r="D105" s="155" t="str">
        <x:v>CRUISE_CONTROL_STATE 2 "disabled" 11 "hold" 10 "hold_waiting_user_cmd" 6 "enabled" 5 "faulted";</x:v>
      </x:c>
      <x:c r="E105" s="155"/>
      <x:c r="F105" s="155"/>
      <x:c r="G105" s="155"/>
      <x:c r="H105" s="155"/>
      <x:c r="I105" s="155"/>
      <x:c r="J105" s="155"/>
      <x:c r="K105" s="155"/>
      <x:c r="L105" s="155"/>
      <x:c r="M105" s="156"/>
    </x:row>
    <x:row r="106">
      <x:c r="A106" s="154"/>
      <x:c r="B106" s="155" t="n">
        <x:v>928</x:v>
      </x:c>
      <x:c r="C106" s="155" t="str">
        <x:v>3A0</x:v>
      </x:c>
      <x:c r="D106" s="155" t="str">
        <x:v>Shifting?</x:v>
      </x:c>
      <x:c r="E106" s="155"/>
      <x:c r="F106" s="155" t="n">
        <x:v>8</x:v>
      </x:c>
      <x:c r="G106" s="155" t="str">
        <x:v>0.1</x:v>
      </x:c>
      <x:c r="H106" s="155"/>
      <x:c r="I106" s="155"/>
      <x:c r="J106" s="155"/>
      <x:c r="K106" s="155"/>
      <x:c r="L106" s="155"/>
      <x:c r="M106" s="156"/>
    </x:row>
    <x:row r="107">
      <x:c r="A107" s="154"/>
      <x:c r="B107" s="155" t="n">
        <x:v>929</x:v>
      </x:c>
      <x:c r="C107" s="155" t="str">
        <x:v>3A1</x:v>
      </x:c>
      <x:c r="D107" s="155"/>
      <x:c r="E107" s="155"/>
      <x:c r="F107" s="155" t="n">
        <x:v>8</x:v>
      </x:c>
      <x:c r="G107" s="155" t="n">
        <x:v>1</x:v>
      </x:c>
      <x:c r="H107" s="155" t="str">
        <x:v>No changing data</x:v>
      </x:c>
      <x:c r="I107" s="155"/>
      <x:c r="J107" s="155"/>
      <x:c r="K107" s="155"/>
      <x:c r="L107" s="155"/>
      <x:c r="M107" s="156"/>
    </x:row>
    <x:row r="108">
      <x:c r="A108" s="154"/>
      <x:c r="B108" s="155" t="n">
        <x:v>944</x:v>
      </x:c>
      <x:c r="C108" s="155" t="str">
        <x:v>3B0</x:v>
      </x:c>
      <x:c r="D108" s="155"/>
      <x:c r="E108" s="155"/>
      <x:c r="F108" s="155" t="n">
        <x:v>6</x:v>
      </x:c>
      <x:c r="G108" s="155" t="n">
        <x:v>1</x:v>
      </x:c>
      <x:c r="H108" s="155" t="str">
        <x:v>No changing data</x:v>
      </x:c>
      <x:c r="I108" s="155"/>
      <x:c r="J108" s="155"/>
      <x:c r="K108" s="155"/>
      <x:c r="L108" s="155"/>
      <x:c r="M108" s="156"/>
    </x:row>
    <x:row r="109">
      <x:c r="A109" s="154"/>
      <x:c r="B109" s="155" t="n">
        <x:v>945</x:v>
      </x:c>
      <x:c r="C109" s="155" t="str">
        <x:v>3B1</x:v>
      </x:c>
      <x:c r="D109" s="155"/>
      <x:c r="E109" s="155"/>
      <x:c r="F109" s="155" t="n">
        <x:v>8</x:v>
      </x:c>
      <x:c r="G109" s="155" t="n">
        <x:v>1</x:v>
      </x:c>
      <x:c r="H109" s="155" t="str">
        <x:v>No changing data</x:v>
      </x:c>
      <x:c r="I109" s="155"/>
      <x:c r="J109" s="155"/>
      <x:c r="K109" s="155"/>
      <x:c r="L109" s="155"/>
      <x:c r="M109" s="156"/>
    </x:row>
    <x:row r="110">
      <x:c r="A110" s="154"/>
      <x:c r="B110" s="155" t="n">
        <x:v>947</x:v>
      </x:c>
      <x:c r="C110" s="155" t="str">
        <x:v>3B3</x:v>
      </x:c>
      <x:c r="D110" s="155" t="str">
        <x:v>Throttle 2</x:v>
      </x:c>
      <x:c r="E110" s="155"/>
      <x:c r="F110" s="155" t="n">
        <x:v>3</x:v>
      </x:c>
      <x:c r="G110" s="155" t="str">
        <x:v>0.5</x:v>
      </x:c>
      <x:c r="H110" s="155"/>
      <x:c r="I110" s="155"/>
      <x:c r="J110" s="155"/>
      <x:c r="K110" s="155"/>
      <x:c r="L110" s="155"/>
      <x:c r="M110" s="156"/>
    </x:row>
    <x:row r="111">
      <x:c r="A111" s="154"/>
      <x:c r="B111" s="155" t="n">
        <x:v>947</x:v>
      </x:c>
      <x:c r="C111" s="155" t="str">
        <x:v>3B3</x:v>
      </x:c>
      <x:c r="D111" s="155" t="str">
        <x:v>engine-rev (low refresh)</x:v>
      </x:c>
      <x:c r="E111" s="155" t="n">
        <x:v>0</x:v>
      </x:c>
      <x:c r="F111" s="155" t="n">
        <x:v>16</x:v>
      </x:c>
      <x:c r="G111" s="155"/>
      <x:c r="H111" s="155"/>
      <x:c r="I111" s="155"/>
      <x:c r="J111" s="155"/>
      <x:c r="K111" s="155"/>
      <x:c r="L111" s="155"/>
      <x:c r="M111" s="156"/>
    </x:row>
    <x:row r="112">
      <x:c r="A112" s="154"/>
      <x:c r="B112" s="155" t="n">
        <x:v>948</x:v>
      </x:c>
      <x:c r="C112" s="155" t="str">
        <x:v>3B4</x:v>
      </x:c>
      <x:c r="D112" s="155" t="str">
        <x:v>PRND</x:v>
      </x:c>
      <x:c r="E112" s="155"/>
      <x:c r="F112" s="155"/>
      <x:c r="G112" s="155"/>
      <x:c r="H112" s="155"/>
      <x:c r="I112" s="155"/>
      <x:c r="J112" s="155"/>
      <x:c r="K112" s="155"/>
      <x:c r="L112" s="155"/>
      <x:c r="M112" s="156"/>
    </x:row>
    <x:row r="113">
      <x:c r="A113" s="154"/>
      <x:c r="B113" s="155" t="n">
        <x:v>948</x:v>
      </x:c>
      <x:c r="C113" s="155" t="str">
        <x:v>3B4</x:v>
      </x:c>
      <x:c r="D113" s="155" t="str">
        <x:v>Unknown</x:v>
      </x:c>
      <x:c r="E113" s="155"/>
      <x:c r="F113" s="155" t="n">
        <x:v>8</x:v>
      </x:c>
      <x:c r="G113" s="155" t="str">
        <x:v>Aperiodic</x:v>
      </x:c>
      <x:c r="H113" s="155"/>
      <x:c r="I113" s="155"/>
      <x:c r="J113" s="155"/>
      <x:c r="K113" s="155"/>
      <x:c r="L113" s="155"/>
      <x:c r="M113" s="156"/>
    </x:row>
    <x:row r="114">
      <x:c r="A114" s="154"/>
      <x:c r="B114" s="155" t="n">
        <x:v>948</x:v>
      </x:c>
      <x:c r="C114" s="155" t="str">
        <x:v>3B4</x:v>
      </x:c>
      <x:c r="D114" s="155" t="str">
        <x:v>brake-a</x:v>
      </x:c>
      <x:c r="E114" s="155" t="n">
        <x:v>39</x:v>
      </x:c>
      <x:c r="F114" s="155" t="n">
        <x:v>1</x:v>
      </x:c>
      <x:c r="G114" s="155"/>
      <x:c r="H114" s="155"/>
      <x:c r="I114" s="155"/>
      <x:c r="J114" s="155"/>
      <x:c r="K114" s="155"/>
      <x:c r="L114" s="155"/>
      <x:c r="M114" s="156"/>
    </x:row>
    <x:row r="115">
      <x:c r="A115" s="154"/>
      <x:c r="B115" s="155" t="n">
        <x:v>951</x:v>
      </x:c>
      <x:c r="C115" s="155" t="str">
        <x:v>3B7</x:v>
      </x:c>
      <x:c r="D115" s="155" t="str">
        <x:v>PRND</x:v>
      </x:c>
      <x:c r="E115" s="155"/>
      <x:c r="F115" s="155" t="n">
        <x:v>8</x:v>
      </x:c>
      <x:c r="G115" s="155" t="str">
        <x:v>Aperiodic</x:v>
      </x:c>
      <x:c r="H115" s="155" t="str">
        <x:v>All zeros (Car was in drive the whole time)</x:v>
      </x:c>
      <x:c r="I115" s="155"/>
      <x:c r="J115" s="155"/>
      <x:c r="K115" s="155"/>
      <x:c r="L115" s="155"/>
      <x:c r="M115" s="156"/>
    </x:row>
    <x:row r="116">
      <x:c r="A116" s="154"/>
      <x:c r="B116" s="155" t="n">
        <x:v>951</x:v>
      </x:c>
      <x:c r="C116" s="155" t="str">
        <x:v>3B7</x:v>
      </x:c>
      <x:c r="D116" s="155" t="str">
        <x:v>ESP_CONTROL</x:v>
      </x:c>
      <x:c r="E116" s="155"/>
      <x:c r="F116" s="155"/>
      <x:c r="G116" s="155"/>
      <x:c r="H116" s="155" t="str">
        <x:v>SG_ TC_DISABLED : 13|1@0+ (1,0) [0|1] "" XXX</x:v>
      </x:c>
      <x:c r="I116" s="155" t="str">
        <x:v>SG_ VSC_DISABLED : 12|2@0+ (1,0) [0|1] "" XXX</x:v>
      </x:c>
      <x:c r="J116" s="155" t="str">
        <x:v>SG_ BRAKE_LIGHTS_ACC : 18|1@0+ (1,0) [0|1] "" XXX</x:v>
      </x:c>
      <x:c r="K116" s="155"/>
      <x:c r="L116" s="155"/>
      <x:c r="M116" s="156"/>
    </x:row>
    <x:row r="117">
      <x:c r="A117" s="154"/>
      <x:c r="B117" s="155" t="str">
        <x:v>951</x:v>
      </x:c>
      <x:c r="C117" s="155" t="str">
        <x:v>3B7</x:v>
      </x:c>
      <x:c r="D117" s="155" t="str">
        <x:v>BRAKE_LIGHTS_ACC "brake lights when ACC commands decel";</x:v>
      </x:c>
      <x:c r="E117" s="155"/>
      <x:c r="F117" s="155"/>
      <x:c r="G117" s="155"/>
      <x:c r="H117" s="155"/>
      <x:c r="I117" s="155"/>
      <x:c r="J117" s="155"/>
      <x:c r="K117" s="155"/>
      <x:c r="L117" s="155"/>
      <x:c r="M117" s="156"/>
    </x:row>
    <x:row r="118">
      <x:c r="A118" s="154"/>
      <x:c r="B118" s="155" t="n">
        <x:v>1020</x:v>
      </x:c>
      <x:c r="C118" s="155" t="str">
        <x:v>3FC</x:v>
      </x:c>
      <x:c r="D118" s="155" t="str">
        <x:v>SOLAR_SENSOR</x:v>
      </x:c>
      <x:c r="E118" s="155"/>
      <x:c r="F118" s="155"/>
      <x:c r="G118" s="155"/>
      <x:c r="H118" s="155" t="str">
        <x:v>SG_ LUX_SENSOR : 55|13@0+ (1,0) [0|0] "" XXX</x:v>
      </x:c>
      <x:c r="I118" s="155"/>
      <x:c r="J118" s="155"/>
      <x:c r="K118" s="155"/>
      <x:c r="L118" s="155"/>
      <x:c r="M118" s="156"/>
    </x:row>
    <x:row r="119">
      <x:c r="A119" s="154"/>
      <x:c r="B119" s="155" t="n">
        <x:v>1041</x:v>
      </x:c>
      <x:c r="C119" s="155" t="str">
        <x:v>411</x:v>
      </x:c>
      <x:c r="D119" s="155" t="str">
        <x:v>ACC_HUD</x:v>
      </x:c>
      <x:c r="E119" s="155"/>
      <x:c r="F119" s="155"/>
      <x:c r="G119" s="155"/>
      <x:c r="H119" s="155" t="str">
        <x:v>SG_ PCS_INDICATOR : 7|2@0+ (1,0) [0|3] "" XXX</x:v>
      </x:c>
      <x:c r="I119" s="155" t="str">
        <x:v>SG_ FCW : 4|1@0+ (1,0) [0|1] "" XXX</x:v>
      </x:c>
      <x:c r="J119" s="155" t="str">
        <x:v>SG_ SET_ME_X20 : 15|8@0+ (1,0) [0|1] "" XXX</x:v>
      </x:c>
      <x:c r="K119" s="155" t="str">
        <x:v>SG_ SET_ME_X10 : 39|8@0+ (1,0) [0|1] "" XXX</x:v>
      </x:c>
      <x:c r="L119" s="155" t="str">
        <x:v>SG_ PCS_OFF : 40|1@0+ (1,0) [0|0] "" XXX</x:v>
      </x:c>
      <x:c r="M119" s="156" t="str">
        <x:v>SG_ PCS_SENSITIVITY : 55|8@0+ (1,0) [0|1] "" XXX</x:v>
      </x:c>
    </x:row>
    <x:row r="120">
      <x:c r="A120" s="154"/>
      <x:c r="B120" s="155" t="str">
        <x:v>1041</x:v>
      </x:c>
      <x:c r="C120" s="155" t="str">
        <x:v>411</x:v>
      </x:c>
      <x:c r="D120" s="155" t="str">
        <x:v>PCS_INDICATOR "Pre-Collision System Indicator";</x:v>
      </x:c>
      <x:c r="E120" s="155"/>
      <x:c r="F120" s="155"/>
      <x:c r="G120" s="155"/>
      <x:c r="H120" s="155"/>
      <x:c r="I120" s="155"/>
      <x:c r="J120" s="155"/>
      <x:c r="K120" s="155"/>
      <x:c r="L120" s="155"/>
      <x:c r="M120" s="156"/>
    </x:row>
    <x:row r="121">
      <x:c r="A121" s="154"/>
      <x:c r="B121" s="155" t="str">
        <x:v>1041</x:v>
      </x:c>
      <x:c r="C121" s="155" t="str">
        <x:v>411</x:v>
      </x:c>
      <x:c r="D121" s="155" t="str">
        <x:v>PCS_SENSITIVITY "Pre-Collision System Sensitivity";</x:v>
      </x:c>
      <x:c r="E121" s="155"/>
      <x:c r="F121" s="155"/>
      <x:c r="G121" s="155"/>
      <x:c r="H121" s="155"/>
      <x:c r="I121" s="155"/>
      <x:c r="J121" s="155"/>
      <x:c r="K121" s="155"/>
      <x:c r="L121" s="155"/>
      <x:c r="M121" s="156"/>
    </x:row>
    <x:row r="122">
      <x:c r="A122" s="154"/>
      <x:c r="B122" s="155" t="str">
        <x:v>1041</x:v>
      </x:c>
      <x:c r="C122" s="155" t="str">
        <x:v>411</x:v>
      </x:c>
      <x:c r="D122" s="155" t="str">
        <x:v>PCS_INDICATOR 2 "PCS Faulted" 1 "PCS Turned Off By User" 0 "PCS Enabled";</x:v>
      </x:c>
      <x:c r="E122" s="155"/>
      <x:c r="F122" s="155"/>
      <x:c r="G122" s="155"/>
      <x:c r="H122" s="155"/>
      <x:c r="I122" s="155"/>
      <x:c r="J122" s="155"/>
      <x:c r="K122" s="155"/>
      <x:c r="L122" s="155"/>
      <x:c r="M122" s="156"/>
    </x:row>
    <x:row r="123">
      <x:c r="A123" s="154"/>
      <x:c r="B123" s="155" t="str">
        <x:v>1041</x:v>
      </x:c>
      <x:c r="C123" s="155" t="str">
        <x:v>411</x:v>
      </x:c>
      <x:c r="D123" s="155" t="str">
        <x:v>PCS_SENSITIVITY 64 "high sensitivity"  128 "mid sensitivity" 192 "low sensitivity" 0 "off";</x:v>
      </x:c>
      <x:c r="E123" s="155"/>
      <x:c r="F123" s="155"/>
      <x:c r="G123" s="155"/>
      <x:c r="H123" s="155"/>
      <x:c r="I123" s="155"/>
      <x:c r="J123" s="155"/>
      <x:c r="K123" s="155"/>
      <x:c r="L123" s="155"/>
      <x:c r="M123" s="156"/>
    </x:row>
    <x:row r="124">
      <x:c r="A124" s="154"/>
      <x:c r="B124" s="155" t="n">
        <x:v>1042</x:v>
      </x:c>
      <x:c r="C124" s="155" t="str">
        <x:v>412</x:v>
      </x:c>
      <x:c r="D124" s="155" t="str">
        <x:v>LKAS_HUD</x:v>
      </x:c>
      <x:c r="E124" s="155"/>
      <x:c r="F124" s="155"/>
      <x:c r="G124" s="155"/>
      <x:c r="H124" s="155" t="str">
        <x:v>SG_ BARRIERS : 1|2@0+ (1,0) [0|3] "" XXX</x:v>
      </x:c>
      <x:c r="I124" s="155" t="str">
        <x:v>SG_ RIGHT_LINE : 3|2@0+ (1,0) [0|3] "" XXX</x:v>
      </x:c>
      <x:c r="J124" s="155" t="str">
        <x:v>SG_ LEFT_LINE : 5|2@0+ (1,0) [0|3] "" XXX</x:v>
      </x:c>
      <x:c r="K124" s="155" t="str">
        <x:v>SG_ SET_ME_X01 : 7|2@0+ (1,0) [0|3] "" XXX</x:v>
      </x:c>
      <x:c r="L124" s="155" t="str">
        <x:v>SG_ SET_ME_X01_2 : 11|2@0+ (1,0) [0|3] "" XXX</x:v>
      </x:c>
      <x:c r="M124" s="156" t="str">
        <x:v>SG_ LDA_ALERT : 9|2@0+ (1,0) [0|3] "" XXX</x:v>
      </x:c>
    </x:row>
    <x:row r="125">
      <x:c r="A125" s="154"/>
      <x:c r="B125" s="155" t="str">
        <x:v>1042</x:v>
      </x:c>
      <x:c r="C125" s="155" t="str">
        <x:v>412</x:v>
      </x:c>
      <x:c r="D125" s="155" t="str">
        <x:v>REPEATED_BEEPS "recommended for fcw and other important alerts";</x:v>
      </x:c>
      <x:c r="E125" s="155"/>
      <x:c r="F125" s="155"/>
      <x:c r="G125" s="155"/>
      <x:c r="H125" s="155"/>
      <x:c r="I125" s="155"/>
      <x:c r="J125" s="155"/>
      <x:c r="K125" s="155"/>
      <x:c r="L125" s="155"/>
      <x:c r="M125" s="156"/>
    </x:row>
    <x:row r="126">
      <x:c r="A126" s="154"/>
      <x:c r="B126" s="155" t="str">
        <x:v>1042</x:v>
      </x:c>
      <x:c r="C126" s="155" t="str">
        <x:v>412</x:v>
      </x:c>
      <x:c r="D126" s="155" t="str">
        <x:v>SET_ME_1 "unclear what this is, but it's always 1 in drive traces";</x:v>
      </x:c>
      <x:c r="E126" s="155"/>
      <x:c r="F126" s="155"/>
      <x:c r="G126" s="155"/>
      <x:c r="H126" s="155"/>
      <x:c r="I126" s="155"/>
      <x:c r="J126" s="155"/>
      <x:c r="K126" s="155"/>
      <x:c r="L126" s="155"/>
      <x:c r="M126" s="156"/>
    </x:row>
    <x:row r="127">
      <x:c r="A127" s="154"/>
      <x:c r="B127" s="155" t="str">
        <x:v>1042</x:v>
      </x:c>
      <x:c r="C127" s="155" t="str">
        <x:v>412</x:v>
      </x:c>
      <x:c r="D127" s="155" t="str">
        <x:v>BARRIERS 3 "both" 2 "right" 1 "left" 0 "none";</x:v>
      </x:c>
      <x:c r="E127" s="155"/>
      <x:c r="F127" s="155"/>
      <x:c r="G127" s="155"/>
      <x:c r="H127" s="155"/>
      <x:c r="I127" s="155"/>
      <x:c r="J127" s="155"/>
      <x:c r="K127" s="155"/>
      <x:c r="L127" s="155"/>
      <x:c r="M127" s="156"/>
    </x:row>
    <x:row r="128">
      <x:c r="A128" s="154"/>
      <x:c r="B128" s="155" t="str">
        <x:v>1042</x:v>
      </x:c>
      <x:c r="C128" s="155" t="str">
        <x:v>412</x:v>
      </x:c>
      <x:c r="D128" s="155" t="str">
        <x:v>LDA_ALERT 3 "hold with continuous beep" 2 "LDA unavailable" 1 "hold" 0 "none";</x:v>
      </x:c>
      <x:c r="E128" s="155"/>
      <x:c r="F128" s="155"/>
      <x:c r="G128" s="155"/>
      <x:c r="H128" s="155"/>
      <x:c r="I128" s="155"/>
      <x:c r="J128" s="155"/>
      <x:c r="K128" s="155"/>
      <x:c r="L128" s="155"/>
      <x:c r="M128" s="156"/>
    </x:row>
    <x:row r="129">
      <x:c r="A129" s="154"/>
      <x:c r="B129" s="155" t="str">
        <x:v>1042</x:v>
      </x:c>
      <x:c r="C129" s="155" t="str">
        <x:v>412</x:v>
      </x:c>
      <x:c r="D129" s="155" t="str">
        <x:v>LEFT_LINE 3 "orange" 2 "faded" 1 "solid" 0 "none";</x:v>
      </x:c>
      <x:c r="E129" s="155"/>
      <x:c r="F129" s="155"/>
      <x:c r="G129" s="155"/>
      <x:c r="H129" s="155"/>
      <x:c r="I129" s="155"/>
      <x:c r="J129" s="155"/>
      <x:c r="K129" s="155"/>
      <x:c r="L129" s="155"/>
      <x:c r="M129" s="156"/>
    </x:row>
    <x:row r="130">
      <x:c r="A130" s="154"/>
      <x:c r="B130" s="155" t="str">
        <x:v>1042</x:v>
      </x:c>
      <x:c r="C130" s="155" t="str">
        <x:v>412</x:v>
      </x:c>
      <x:c r="D130" s="155" t="str">
        <x:v>RIGHT_LINE 3 "orange" 2 "faded" 1 "solid" 0 "none";</x:v>
      </x:c>
      <x:c r="E130" s="155"/>
      <x:c r="F130" s="155"/>
      <x:c r="G130" s="155"/>
      <x:c r="H130" s="155"/>
      <x:c r="I130" s="155"/>
      <x:c r="J130" s="155"/>
      <x:c r="K130" s="155"/>
      <x:c r="L130" s="155"/>
      <x:c r="M130" s="156"/>
    </x:row>
    <x:row r="131">
      <x:c r="A131" s="154"/>
      <x:c r="B131" s="155" t="n">
        <x:v>1043</x:v>
      </x:c>
      <x:c r="C131" s="155" t="str">
        <x:v>413</x:v>
      </x:c>
      <x:c r="D131" s="155" t="str">
        <x:v>TIME</x:v>
      </x:c>
      <x:c r="E131" s="155"/>
      <x:c r="F131" s="155"/>
      <x:c r="G131" s="155"/>
      <x:c r="H131" s="155" t="str">
        <x:v>SG_ YEAR : 7|8@0+ (1,0) [0|0] "year" XXX</x:v>
      </x:c>
      <x:c r="I131" s="155" t="str">
        <x:v>SG_ MONTH : 15|8@0+ (1,0) [0|0] "month" XXX</x:v>
      </x:c>
      <x:c r="J131" s="155" t="str">
        <x:v>SG_ DAY : 23|8@0+ (1,0) [0|0] "day" XXX</x:v>
      </x:c>
      <x:c r="K131" s="155" t="str">
        <x:v>SG_ HOUR : 31|8@0+ (1,0) [0|0] "hour" XXX</x:v>
      </x:c>
      <x:c r="L131" s="155" t="str">
        <x:v>SG_ MINUTE : 39|8@0+ (1,0) [0|0] "minute" XXX</x:v>
      </x:c>
      <x:c r="M131" s="156" t="str">
        <x:v>SG_ GMT_DIFF : 55|1@0+ (1,0) [0|0] "" XXX</x:v>
      </x:c>
    </x:row>
    <x:row r="132">
      <x:c r="A132" s="154"/>
      <x:c r="B132" s="155" t="n">
        <x:v>1059</x:v>
      </x:c>
      <x:c r="C132" s="155" t="str">
        <x:v>423</x:v>
      </x:c>
      <x:c r="D132" s="155"/>
      <x:c r="E132" s="155"/>
      <x:c r="F132" s="155" t="n">
        <x:v>1</x:v>
      </x:c>
      <x:c r="G132" s="155" t="str">
        <x:v>1 sec</x:v>
      </x:c>
      <x:c r="H132" s="155" t="str">
        <x:v>All zeros</x:v>
      </x:c>
      <x:c r="I132" s="155"/>
      <x:c r="J132" s="155"/>
      <x:c r="K132" s="155"/>
      <x:c r="L132" s="155"/>
      <x:c r="M132" s="156"/>
    </x:row>
    <x:row r="133">
      <x:c r="A133" s="154"/>
      <x:c r="B133" s="155" t="n">
        <x:v>1088</x:v>
      </x:c>
      <x:c r="C133" s="155" t="str">
        <x:v>440</x:v>
      </x:c>
      <x:c r="D133" s="155"/>
      <x:c r="E133" s="155"/>
      <x:c r="F133" s="155" t="n">
        <x:v>8</x:v>
      </x:c>
      <x:c r="G133" s="155" t="str">
        <x:v>0.2</x:v>
      </x:c>
      <x:c r="H133" s="155" t="str">
        <x:v>All zeros</x:v>
      </x:c>
      <x:c r="I133" s="155"/>
      <x:c r="J133" s="155"/>
      <x:c r="K133" s="155"/>
      <x:c r="L133" s="155"/>
      <x:c r="M133" s="156"/>
    </x:row>
    <x:row r="134">
      <x:c r="A134" s="154"/>
      <x:c r="B134" s="155" t="n">
        <x:v>1090</x:v>
      </x:c>
      <x:c r="C134" s="155" t="str">
        <x:v>442</x:v>
      </x:c>
      <x:c r="D134" s="155"/>
      <x:c r="E134" s="155"/>
      <x:c r="F134" s="155" t="n">
        <x:v>8</x:v>
      </x:c>
      <x:c r="G134" s="155" t="str">
        <x:v>0.2</x:v>
      </x:c>
      <x:c r="H134" s="155" t="str">
        <x:v>No changes</x:v>
      </x:c>
      <x:c r="I134" s="155"/>
      <x:c r="J134" s="155"/>
      <x:c r="K134" s="155"/>
      <x:c r="L134" s="155"/>
      <x:c r="M134" s="156"/>
    </x:row>
    <x:row r="135">
      <x:c r="A135" s="154"/>
      <x:c r="B135" s="155" t="n">
        <x:v>1161</x:v>
      </x:c>
      <x:c r="C135" s="155" t="str">
        <x:v>489</x:v>
      </x:c>
      <x:c r="D135" s="155" t="str">
        <x:v>RSA1</x:v>
      </x:c>
      <x:c r="E135" s="155"/>
      <x:c r="F135" s="155"/>
      <x:c r="G135" s="155"/>
      <x:c r="H135" s="155" t="str">
        <x:v>SG_ TSGN1 : 7|8@0+ (1,0) [0|0] "" XXX</x:v>
      </x:c>
      <x:c r="I135" s="155" t="str">
        <x:v>SG_ TSGNGRY1 : 12|3@0+ (1,0) [0|0] "" XXX</x:v>
      </x:c>
      <x:c r="J135" s="155" t="str">
        <x:v>SG_ TSGNHLT1 : 9|2@0+ (1,0) [0|0] "" XXX</x:v>
      </x:c>
      <x:c r="K135" s="155" t="str">
        <x:v>SG_ SPDVAL1 : 23|8@0+ (1,0) [0|0] "kph" XXX</x:v>
      </x:c>
      <x:c r="L135" s="155" t="str">
        <x:v>SG_ SPLSGN1 : 31|4@0+ (1,0) [0|0] "" XXX</x:v>
      </x:c>
      <x:c r="M135" s="156" t="str">
        <x:v>SG_ SPLSGN2 : 27|4@0+ (1,0) [0|0] "" XXX</x:v>
      </x:c>
    </x:row>
    <x:row r="136">
      <x:c r="A136" s="154"/>
      <x:c r="B136" s="155" t="str">
        <x:v>1161</x:v>
      </x:c>
      <x:c r="C136" s="155" t="str">
        <x:v>489</x:v>
      </x:c>
      <x:c r="D136" s="155" t="str">
        <x:v>SPDVAL1 "Numbers 0-199 is displayed, 200-254 displays circle without number and 255 is for no limit.";</x:v>
      </x:c>
      <x:c r="E136" s="155"/>
      <x:c r="F136" s="155"/>
      <x:c r="G136" s="155"/>
      <x:c r="H136" s="155"/>
      <x:c r="I136" s="155"/>
      <x:c r="J136" s="155"/>
      <x:c r="K136" s="155"/>
      <x:c r="L136" s="155"/>
      <x:c r="M136" s="156"/>
    </x:row>
    <x:row r="137">
      <x:c r="A137" s="154"/>
      <x:c r="B137" s="155" t="str">
        <x:v>1161</x:v>
      </x:c>
      <x:c r="C137" s="155" t="str">
        <x:v>489</x:v>
      </x:c>
      <x:c r="D137" s="155" t="str">
        <x:v>SPDVAL2 "conditional speed value 70";</x:v>
      </x:c>
      <x:c r="E137" s="155"/>
      <x:c r="F137" s="155"/>
      <x:c r="G137" s="155"/>
      <x:c r="H137" s="155"/>
      <x:c r="I137" s="155"/>
      <x:c r="J137" s="155"/>
      <x:c r="K137" s="155"/>
      <x:c r="L137" s="155"/>
      <x:c r="M137" s="156"/>
    </x:row>
    <x:row r="138">
      <x:c r="A138" s="154"/>
      <x:c r="B138" s="155" t="str">
        <x:v>1161</x:v>
      </x:c>
      <x:c r="C138" s="155" t="str">
        <x:v>489</x:v>
      </x:c>
      <x:c r="D138" s="155" t="str">
        <x:v>SYNCID1 "counter from 1 to f at 1 Hz";</x:v>
      </x:c>
      <x:c r="E138" s="155"/>
      <x:c r="F138" s="155"/>
      <x:c r="G138" s="155"/>
      <x:c r="H138" s="155"/>
      <x:c r="I138" s="155"/>
      <x:c r="J138" s="155"/>
      <x:c r="K138" s="155"/>
      <x:c r="L138" s="155"/>
      <x:c r="M138" s="156"/>
    </x:row>
    <x:row r="139">
      <x:c r="A139" s="154"/>
      <x:c r="B139" s="155" t="str">
        <x:v>1161</x:v>
      </x:c>
      <x:c r="C139" s="155" t="str">
        <x:v>489</x:v>
      </x:c>
      <x:c r="D139" s="155" t="str">
        <x:v>SPLSGN2 15 "conditional blank" 4 "wet road" 5 "rain" 0 "none";</x:v>
      </x:c>
      <x:c r="E139" s="155"/>
      <x:c r="F139" s="155"/>
      <x:c r="G139" s="155"/>
      <x:c r="H139" s="155"/>
      <x:c r="I139" s="155"/>
      <x:c r="J139" s="155"/>
      <x:c r="K139" s="155"/>
      <x:c r="L139" s="155"/>
      <x:c r="M139" s="156"/>
    </x:row>
    <x:row r="140">
      <x:c r="A140" s="154"/>
      <x:c r="B140" s="155" t="str">
        <x:v>1161</x:v>
      </x:c>
      <x:c r="C140" s="155" t="str">
        <x:v>489</x:v>
      </x:c>
      <x:c r="D140" s="155" t="str">
        <x:v>TSGN1 1 "speed sign" 0 "none";</x:v>
      </x:c>
      <x:c r="E140" s="155"/>
      <x:c r="F140" s="155"/>
      <x:c r="G140" s="155"/>
      <x:c r="H140" s="155"/>
      <x:c r="I140" s="155"/>
      <x:c r="J140" s="155"/>
      <x:c r="K140" s="155"/>
      <x:c r="L140" s="155"/>
      <x:c r="M140" s="156"/>
    </x:row>
    <x:row r="141">
      <x:c r="A141" s="154"/>
      <x:c r="B141" s="155" t="str">
        <x:v>1161</x:v>
      </x:c>
      <x:c r="C141" s="155" t="str">
        <x:v>489</x:v>
      </x:c>
      <x:c r="D141" s="155" t="str">
        <x:v>TSGN2 1 "speed sign" 0 "none";</x:v>
      </x:c>
      <x:c r="E141" s="155"/>
      <x:c r="F141" s="155"/>
      <x:c r="G141" s="155"/>
      <x:c r="H141" s="155"/>
      <x:c r="I141" s="155"/>
      <x:c r="J141" s="155"/>
      <x:c r="K141" s="155"/>
      <x:c r="L141" s="155"/>
      <x:c r="M141" s="156"/>
    </x:row>
    <x:row r="142">
      <x:c r="A142" s="154"/>
      <x:c r="B142" s="155" t="n">
        <x:v>1162</x:v>
      </x:c>
      <x:c r="C142" s="155" t="str">
        <x:v>48A</x:v>
      </x:c>
      <x:c r="D142" s="155" t="str">
        <x:v>RSA2</x:v>
      </x:c>
      <x:c r="E142" s="155"/>
      <x:c r="F142" s="155"/>
      <x:c r="G142" s="155"/>
      <x:c r="H142" s="155" t="str">
        <x:v>SG_ TSGN3 : 7|8@0+ (1,0) [0|0] "" XXX</x:v>
      </x:c>
      <x:c r="I142" s="155" t="str">
        <x:v>SG_ TSGNGRY3 : 12|3@0+ (1,0) [0|0] "" XXX</x:v>
      </x:c>
      <x:c r="J142" s="155" t="str">
        <x:v>SG_ TSGNHLT3 : 9|2@0+ (1,0) [0|0] "" XXX</x:v>
      </x:c>
      <x:c r="K142" s="155" t="str">
        <x:v>SG_ SPLSGN3 : 31|4@0+ (1,0) [0|0] "" XXX</x:v>
      </x:c>
      <x:c r="L142" s="155" t="str">
        <x:v>SG_ SPLSGN4 : 27|4@0+ (1,0) [0|0] "" XXX</x:v>
      </x:c>
      <x:c r="M142" s="156" t="str">
        <x:v>SG_ TSGN4 : 39|8@0+ (1,0) [0|0] "" XXX</x:v>
      </x:c>
    </x:row>
    <x:row r="143">
      <x:c r="A143" s="154"/>
      <x:c r="B143" s="155" t="str">
        <x:v>1162</x:v>
      </x:c>
      <x:c r="C143" s="155" t="str">
        <x:v>48A</x:v>
      </x:c>
      <x:c r="D143" s="155" t="str">
        <x:v>SGNNUMP "1 if SPDVAL1 is set, otherwise 0";</x:v>
      </x:c>
      <x:c r="E143" s="155"/>
      <x:c r="F143" s="155"/>
      <x:c r="G143" s="155"/>
      <x:c r="H143" s="155"/>
      <x:c r="I143" s="155"/>
      <x:c r="J143" s="155"/>
      <x:c r="K143" s="155"/>
      <x:c r="L143" s="155"/>
      <x:c r="M143" s="156"/>
    </x:row>
    <x:row r="144">
      <x:c r="A144" s="154"/>
      <x:c r="B144" s="155" t="str">
        <x:v>1162</x:v>
      </x:c>
      <x:c r="C144" s="155" t="str">
        <x:v>48A</x:v>
      </x:c>
      <x:c r="D144" s="155" t="str">
        <x:v>SYNCID2 "counter from 1 to f at 1 Hz";</x:v>
      </x:c>
      <x:c r="E144" s="155"/>
      <x:c r="F144" s="155"/>
      <x:c r="G144" s="155"/>
      <x:c r="H144" s="155"/>
      <x:c r="I144" s="155"/>
      <x:c r="J144" s="155"/>
      <x:c r="K144" s="155"/>
      <x:c r="L144" s="155"/>
      <x:c r="M144" s="156"/>
    </x:row>
    <x:row r="145">
      <x:c r="A145" s="154"/>
      <x:c r="B145" s="155" t="str">
        <x:v>1162</x:v>
      </x:c>
      <x:c r="C145" s="155" t="str">
        <x:v>48A</x:v>
      </x:c>
      <x:c r="D145" s="155" t="str">
        <x:v>SPLSGN3 15 "conditional blank" 4 "wet road" 5 "rain" 0 "none";</x:v>
      </x:c>
      <x:c r="E145" s="155"/>
      <x:c r="F145" s="155"/>
      <x:c r="G145" s="155"/>
      <x:c r="H145" s="155"/>
      <x:c r="I145" s="155"/>
      <x:c r="J145" s="155"/>
      <x:c r="K145" s="155"/>
      <x:c r="L145" s="155"/>
      <x:c r="M145" s="156"/>
    </x:row>
    <x:row r="146">
      <x:c r="A146" s="154"/>
      <x:c r="B146" s="155" t="str">
        <x:v>1162</x:v>
      </x:c>
      <x:c r="C146" s="155" t="str">
        <x:v>48A</x:v>
      </x:c>
      <x:c r="D146" s="155" t="str">
        <x:v>TSGN3 0 "none" 1 "speed sign" 2 "0 unlimited" 7 "unlimited" 16 "highway" 17 "no highway" 18 "motorway" 19 "no motorway" 20 "in city" 21 "outside city" 22 "pedestrian area" 23 "no pedestrian area" 65 "no overtaking left" 66 "no overtaking right" 67 "overtaking allowed again" 81 "no right turn" 97 "stop" 105 "yield" 113 "stop" 114 "yield us" 129 "no entry" 138 "no entry tss2" 145 "do not enter";</x:v>
      </x:c>
      <x:c r="E146" s="155"/>
      <x:c r="F146" s="155"/>
      <x:c r="G146" s="155"/>
      <x:c r="H146" s="155"/>
      <x:c r="I146" s="155"/>
      <x:c r="J146" s="155"/>
      <x:c r="K146" s="155"/>
      <x:c r="L146" s="155"/>
      <x:c r="M146" s="156"/>
    </x:row>
    <x:row r="147">
      <x:c r="A147" s="154"/>
      <x:c r="B147" s="155" t="n">
        <x:v>1163</x:v>
      </x:c>
      <x:c r="C147" s="155" t="str">
        <x:v>48B</x:v>
      </x:c>
      <x:c r="D147" s="155" t="str">
        <x:v>RSA3</x:v>
      </x:c>
      <x:c r="E147" s="155"/>
      <x:c r="F147" s="155"/>
      <x:c r="G147" s="155"/>
      <x:c r="H147" s="155" t="str">
        <x:v>SG_ TSREQPD : 7|1@0+ (1,0) [0|0] "" XXX</x:v>
      </x:c>
      <x:c r="I147" s="155" t="str">
        <x:v>SG_ TSRMSW : 6|1@0+ (1,0) [0|0] "" XXX</x:v>
      </x:c>
      <x:c r="J147" s="155" t="str">
        <x:v>SG_ OTSGNNTM : 5|2@0+ (1,0) [0|0] "" XXX</x:v>
      </x:c>
      <x:c r="K147" s="155" t="str">
        <x:v>SG_ NTLVLSPD : 3|2@0+ (1,0) [0|0] "" XXX</x:v>
      </x:c>
      <x:c r="L147" s="155" t="str">
        <x:v>SG_ OVSPNTM : 1|2@0+ (1,0) [0|0] "" XXX</x:v>
      </x:c>
      <x:c r="M147" s="156" t="str">
        <x:v>SG_ OVSPVALL : 11|4@0+ (1,-5) [0|0] "" XXX</x:v>
      </x:c>
    </x:row>
    <x:row r="148">
      <x:c r="A148" s="154"/>
      <x:c r="B148" s="155" t="str">
        <x:v>1163</x:v>
      </x:c>
      <x:c r="C148" s="155" t="str">
        <x:v>48B</x:v>
      </x:c>
      <x:c r="D148" s="155" t="str">
        <x:v>NTLVLSPD "always 3";</x:v>
      </x:c>
      <x:c r="E148" s="155"/>
      <x:c r="F148" s="155"/>
      <x:c r="G148" s="155"/>
      <x:c r="H148" s="155"/>
      <x:c r="I148" s="155"/>
      <x:c r="J148" s="155"/>
      <x:c r="K148" s="155"/>
      <x:c r="L148" s="155"/>
      <x:c r="M148" s="156"/>
    </x:row>
    <x:row r="149">
      <x:c r="A149" s="154"/>
      <x:c r="B149" s="155" t="str">
        <x:v>1163</x:v>
      </x:c>
      <x:c r="C149" s="155" t="str">
        <x:v>48B</x:v>
      </x:c>
      <x:c r="D149" s="155" t="str">
        <x:v>OTSGNNTM "always 3";</x:v>
      </x:c>
      <x:c r="E149" s="155"/>
      <x:c r="F149" s="155"/>
      <x:c r="G149" s="155"/>
      <x:c r="H149" s="155"/>
      <x:c r="I149" s="155"/>
      <x:c r="J149" s="155"/>
      <x:c r="K149" s="155"/>
      <x:c r="L149" s="155"/>
      <x:c r="M149" s="156"/>
    </x:row>
    <x:row r="150">
      <x:c r="A150" s="154"/>
      <x:c r="B150" s="155" t="str">
        <x:v>1163</x:v>
      </x:c>
      <x:c r="C150" s="155" t="str">
        <x:v>48B</x:v>
      </x:c>
      <x:c r="D150" s="155" t="str">
        <x:v>OVSPNTM "always 3";</x:v>
      </x:c>
      <x:c r="E150" s="155"/>
      <x:c r="F150" s="155"/>
      <x:c r="G150" s="155"/>
      <x:c r="H150" s="155"/>
      <x:c r="I150" s="155"/>
      <x:c r="J150" s="155"/>
      <x:c r="K150" s="155"/>
      <x:c r="L150" s="155"/>
      <x:c r="M150" s="156"/>
    </x:row>
    <x:row r="151">
      <x:c r="A151" s="154"/>
      <x:c r="B151" s="155" t="str">
        <x:v>1163</x:v>
      </x:c>
      <x:c r="C151" s="155" t="str">
        <x:v>48B</x:v>
      </x:c>
      <x:c r="D151" s="155" t="str">
        <x:v>OVSPVALH "-5 at start then 10 after 2 seconds";</x:v>
      </x:c>
      <x:c r="E151" s="155"/>
      <x:c r="F151" s="155"/>
      <x:c r="G151" s="155"/>
      <x:c r="H151" s="155"/>
      <x:c r="I151" s="155"/>
      <x:c r="J151" s="155"/>
      <x:c r="K151" s="155"/>
      <x:c r="L151" s="155"/>
      <x:c r="M151" s="156"/>
    </x:row>
    <x:row r="152">
      <x:c r="A152" s="154"/>
      <x:c r="B152" s="155" t="str">
        <x:v>1163</x:v>
      </x:c>
      <x:c r="C152" s="155" t="str">
        <x:v>48B</x:v>
      </x:c>
      <x:c r="D152" s="155" t="str">
        <x:v>OVSPVALL "-5 at start then 2 after 2 seconds";</x:v>
      </x:c>
      <x:c r="E152" s="155"/>
      <x:c r="F152" s="155"/>
      <x:c r="G152" s="155"/>
      <x:c r="H152" s="155"/>
      <x:c r="I152" s="155"/>
      <x:c r="J152" s="155"/>
      <x:c r="K152" s="155"/>
      <x:c r="L152" s="155"/>
      <x:c r="M152" s="156"/>
    </x:row>
    <x:row r="153">
      <x:c r="A153" s="154"/>
      <x:c r="B153" s="155" t="str">
        <x:v>1163</x:v>
      </x:c>
      <x:c r="C153" s="155" t="str">
        <x:v>48B</x:v>
      </x:c>
      <x:c r="D153" s="155" t="str">
        <x:v>OVSPVALM "-5 at start then 5 after 2 seconds";</x:v>
      </x:c>
      <x:c r="E153" s="155"/>
      <x:c r="F153" s="155"/>
      <x:c r="G153" s="155"/>
      <x:c r="H153" s="155"/>
      <x:c r="I153" s="155"/>
      <x:c r="J153" s="155"/>
      <x:c r="K153" s="155"/>
      <x:c r="L153" s="155"/>
      <x:c r="M153" s="156"/>
    </x:row>
    <x:row r="154">
      <x:c r="A154" s="154"/>
      <x:c r="B154" s="155" t="str">
        <x:v>1163</x:v>
      </x:c>
      <x:c r="C154" s="155" t="str">
        <x:v>48B</x:v>
      </x:c>
      <x:c r="D154" s="155" t="str">
        <x:v>TSREQPD "always 1";</x:v>
      </x:c>
      <x:c r="E154" s="155"/>
      <x:c r="F154" s="155"/>
      <x:c r="G154" s="155"/>
      <x:c r="H154" s="155"/>
      <x:c r="I154" s="155"/>
      <x:c r="J154" s="155"/>
      <x:c r="K154" s="155"/>
      <x:c r="L154" s="155"/>
      <x:c r="M154" s="156"/>
    </x:row>
    <x:row r="155">
      <x:c r="A155" s="154"/>
      <x:c r="B155" s="155" t="str">
        <x:v>1163</x:v>
      </x:c>
      <x:c r="C155" s="155" t="str">
        <x:v>48B</x:v>
      </x:c>
      <x:c r="D155" s="155" t="str">
        <x:v>TSRMSW "always 1";</x:v>
      </x:c>
      <x:c r="E155" s="155"/>
      <x:c r="F155" s="155"/>
      <x:c r="G155" s="155"/>
      <x:c r="H155" s="155"/>
      <x:c r="I155" s="155"/>
      <x:c r="J155" s="155"/>
      <x:c r="K155" s="155"/>
      <x:c r="L155" s="155"/>
      <x:c r="M155" s="156"/>
    </x:row>
    <x:row r="156">
      <x:c r="A156" s="154"/>
      <x:c r="B156" s="155" t="str">
        <x:v>1163</x:v>
      </x:c>
      <x:c r="C156" s="155" t="str">
        <x:v>48B</x:v>
      </x:c>
      <x:c r="D156" s="155" t="str">
        <x:v>TSRSPU "always 1";</x:v>
      </x:c>
      <x:c r="E156" s="155"/>
      <x:c r="F156" s="155"/>
      <x:c r="G156" s="155"/>
      <x:c r="H156" s="155"/>
      <x:c r="I156" s="155"/>
      <x:c r="J156" s="155"/>
      <x:c r="K156" s="155"/>
      <x:c r="L156" s="155"/>
      <x:c r="M156" s="156"/>
    </x:row>
    <x:row r="157">
      <x:c r="A157" s="154"/>
      <x:c r="B157" s="155" t="n">
        <x:v>1217</x:v>
      </x:c>
      <x:c r="C157" s="155" t="str">
        <x:v>4C1</x:v>
      </x:c>
      <x:c r="D157" s="155"/>
      <x:c r="E157" s="155"/>
      <x:c r="F157" s="155" t="n">
        <x:v>8</x:v>
      </x:c>
      <x:c r="G157" s="155" t="n">
        <x:v>1</x:v>
      </x:c>
      <x:c r="H157" s="155" t="str">
        <x:v>No changes</x:v>
      </x:c>
      <x:c r="I157" s="155"/>
      <x:c r="J157" s="155"/>
      <x:c r="K157" s="155"/>
      <x:c r="L157" s="155"/>
      <x:c r="M157" s="156"/>
    </x:row>
    <x:row r="158">
      <x:c r="A158" s="154"/>
      <x:c r="B158" s="155" t="n">
        <x:v>1219</x:v>
      </x:c>
      <x:c r="C158" s="155" t="str">
        <x:v>4C3</x:v>
      </x:c>
      <x:c r="D158" s="155"/>
      <x:c r="E158" s="155"/>
      <x:c r="F158" s="155" t="n">
        <x:v>8</x:v>
      </x:c>
      <x:c r="G158" s="155" t="n">
        <x:v>1</x:v>
      </x:c>
      <x:c r="H158" s="155" t="str">
        <x:v>No changes</x:v>
      </x:c>
      <x:c r="I158" s="155"/>
      <x:c r="J158" s="155"/>
      <x:c r="K158" s="155"/>
      <x:c r="L158" s="155"/>
      <x:c r="M158" s="156"/>
    </x:row>
    <x:row r="159">
      <x:c r="A159" s="154"/>
      <x:c r="B159" s="155" t="n">
        <x:v>1222</x:v>
      </x:c>
      <x:c r="C159" s="155" t="str">
        <x:v>4C6</x:v>
      </x:c>
      <x:c r="D159" s="155"/>
      <x:c r="E159" s="155"/>
      <x:c r="F159" s="155" t="n">
        <x:v>8</x:v>
      </x:c>
      <x:c r="G159" s="155" t="n">
        <x:v>1</x:v>
      </x:c>
      <x:c r="H159" s="155" t="str">
        <x:v>No changes</x:v>
      </x:c>
      <x:c r="I159" s="155"/>
      <x:c r="J159" s="155"/>
      <x:c r="K159" s="155"/>
      <x:c r="L159" s="155"/>
      <x:c r="M159" s="156"/>
    </x:row>
    <x:row r="160">
      <x:c r="A160" s="154"/>
      <x:c r="B160" s="155" t="n">
        <x:v>1223</x:v>
      </x:c>
      <x:c r="C160" s="155" t="str">
        <x:v>4C7</x:v>
      </x:c>
      <x:c r="D160" s="155"/>
      <x:c r="E160" s="155"/>
      <x:c r="F160" s="155" t="n">
        <x:v>8</x:v>
      </x:c>
      <x:c r="G160" s="155" t="n">
        <x:v>1</x:v>
      </x:c>
      <x:c r="H160" s="155" t="str">
        <x:v>No changes</x:v>
      </x:c>
      <x:c r="I160" s="155"/>
      <x:c r="J160" s="155"/>
      <x:c r="K160" s="155"/>
      <x:c r="L160" s="155"/>
      <x:c r="M160" s="156"/>
    </x:row>
    <x:row r="161">
      <x:c r="A161" s="154"/>
      <x:c r="B161" s="155" t="n">
        <x:v>1244</x:v>
      </x:c>
      <x:c r="C161" s="155" t="str">
        <x:v>4DC</x:v>
      </x:c>
      <x:c r="D161" s="155"/>
      <x:c r="E161" s="155"/>
      <x:c r="F161" s="155" t="n">
        <x:v>8</x:v>
      </x:c>
      <x:c r="G161" s="155" t="n">
        <x:v>1</x:v>
      </x:c>
      <x:c r="H161" s="155" t="str">
        <x:v>No changes</x:v>
      </x:c>
      <x:c r="I161" s="155"/>
      <x:c r="J161" s="155"/>
      <x:c r="K161" s="155"/>
      <x:c r="L161" s="155"/>
      <x:c r="M161" s="156"/>
    </x:row>
    <x:row r="162">
      <x:c r="A162" s="154"/>
      <x:c r="B162" s="155" t="n">
        <x:v>1245</x:v>
      </x:c>
      <x:c r="C162" s="155" t="str">
        <x:v>4DD</x:v>
      </x:c>
      <x:c r="D162" s="155"/>
      <x:c r="E162" s="155"/>
      <x:c r="F162" s="155" t="n">
        <x:v>8</x:v>
      </x:c>
      <x:c r="G162" s="155" t="n">
        <x:v>1</x:v>
      </x:c>
      <x:c r="H162" s="155" t="str">
        <x:v>No changes</x:v>
      </x:c>
      <x:c r="I162" s="155"/>
      <x:c r="J162" s="155"/>
      <x:c r="K162" s="155"/>
      <x:c r="L162" s="155"/>
      <x:c r="M162" s="156"/>
    </x:row>
    <x:row r="163">
      <x:c r="A163" s="154"/>
      <x:c r="B163" s="155" t="n">
        <x:v>1408</x:v>
      </x:c>
      <x:c r="C163" s="155" t="str">
        <x:v>580</x:v>
      </x:c>
      <x:c r="D163" s="155" t="str">
        <x:v>VIN_PART_1</x:v>
      </x:c>
      <x:c r="E163" s="155"/>
      <x:c r="F163" s="155"/>
      <x:c r="G163" s="155"/>
      <x:c r="H163" s="155" t="str">
        <x:v>SG_ VIN_1 : 7|8@0+ (1,0) [0|0] "" XXX</x:v>
      </x:c>
      <x:c r="I163" s="155" t="str">
        <x:v>SG_ VIN_2 : 15|8@0+ (1,0) [0|0] "" XXX</x:v>
      </x:c>
      <x:c r="J163" s="155" t="str">
        <x:v>SG_ VIN_3 : 23|8@0+ (1,0) [0|0] "" XXX</x:v>
      </x:c>
      <x:c r="K163" s="155" t="str">
        <x:v>SG_ VIN_4 : 31|8@0+ (1,0) [0|0] "" XXX</x:v>
      </x:c>
      <x:c r="L163" s="155" t="str">
        <x:v>SG_ VIN_5 : 39|8@0+ (1,0) [0|0] "" XXX</x:v>
      </x:c>
      <x:c r="M163" s="156" t="str">
        <x:v>SG_ VIN_6 : 47|8@0+ (1,0) [0|0] "" XXX</x:v>
      </x:c>
    </x:row>
    <x:row r="164">
      <x:c r="A164" s="154"/>
      <x:c r="B164" s="155" t="n">
        <x:v>1409</x:v>
      </x:c>
      <x:c r="C164" s="155" t="str">
        <x:v>581</x:v>
      </x:c>
      <x:c r="D164" s="155" t="str">
        <x:v>VIN_PART_2</x:v>
      </x:c>
      <x:c r="E164" s="155"/>
      <x:c r="F164" s="155"/>
      <x:c r="G164" s="155"/>
      <x:c r="H164" s="155" t="str">
        <x:v>SG_ VIN_9 : 7|8@0+ (1,0) [0|0] "" XXX</x:v>
      </x:c>
      <x:c r="I164" s="155" t="str">
        <x:v>SG_ VIN_10 : 15|8@0+ (1,0) [0|0] "" XXX</x:v>
      </x:c>
      <x:c r="J164" s="155" t="str">
        <x:v>SG_ VIN_11 : 23|8@0+ (1,0) [0|0] "" XXX</x:v>
      </x:c>
      <x:c r="K164" s="155" t="str">
        <x:v>SG_ VIN_12 : 31|8@0+ (1,0) [0|0] "" XXX</x:v>
      </x:c>
      <x:c r="L164" s="155" t="str">
        <x:v>SG_ VIN_13 : 39|8@0+ (1,0) [0|0] "" XXX</x:v>
      </x:c>
      <x:c r="M164" s="156" t="str">
        <x:v>SG_ VIN_14 : 47|8@0+ (1,0) [0|0] "" XXX</x:v>
      </x:c>
    </x:row>
    <x:row r="165">
      <x:c r="A165" s="154"/>
      <x:c r="B165" s="155" t="n">
        <x:v>1410</x:v>
      </x:c>
      <x:c r="C165" s="155" t="str">
        <x:v>582</x:v>
      </x:c>
      <x:c r="D165" s="155" t="str">
        <x:v>VIN_PART_3</x:v>
      </x:c>
      <x:c r="E165" s="155"/>
      <x:c r="F165" s="155"/>
      <x:c r="G165" s="155"/>
      <x:c r="H165" s="155" t="str">
        <x:v>SG_ VIN_17 : 7|8@0+ (1,0) [0|0] "" XXX</x:v>
      </x:c>
      <x:c r="I165" s="155"/>
      <x:c r="J165" s="155"/>
      <x:c r="K165" s="155"/>
      <x:c r="L165" s="155"/>
      <x:c r="M165" s="156"/>
    </x:row>
    <x:row r="166">
      <x:c r="A166" s="154"/>
      <x:c r="B166" s="155" t="n">
        <x:v>1552</x:v>
      </x:c>
      <x:c r="C166" s="155" t="str">
        <x:v>610</x:v>
      </x:c>
      <x:c r="D166" s="155" t="str">
        <x:v>Vehicle speed</x:v>
      </x:c>
      <x:c r="E166" s="155"/>
      <x:c r="F166" s="155" t="n">
        <x:v>8</x:v>
      </x:c>
      <x:c r="G166" s="155" t="str">
        <x:v>0.5</x:v>
      </x:c>
      <x:c r="H166" s="155" t="str">
        <x:v>Byte 3 is vehicle speed (raw kph). Static bits on bytes 4 and 5</x:v>
      </x:c>
      <x:c r="I166" s="155"/>
      <x:c r="J166" s="155"/>
      <x:c r="K166" s="155"/>
      <x:c r="L166" s="155"/>
      <x:c r="M166" s="156"/>
    </x:row>
    <x:row r="167">
      <x:c r="A167" s="154"/>
      <x:c r="B167" s="155" t="n">
        <x:v>1552</x:v>
      </x:c>
      <x:c r="C167" s="155" t="str">
        <x:v>610</x:v>
      </x:c>
      <x:c r="D167" s="155" t="str">
        <x:v>speed (low refresh)</x:v>
      </x:c>
      <x:c r="E167" s="155" t="n">
        <x:v>8</x:v>
      </x:c>
      <x:c r="F167" s="155" t="n">
        <x:v>16</x:v>
      </x:c>
      <x:c r="G167" s="155"/>
      <x:c r="H167" s="155"/>
      <x:c r="I167" s="155"/>
      <x:c r="J167" s="155"/>
      <x:c r="K167" s="155"/>
      <x:c r="L167" s="155"/>
      <x:c r="M167" s="156"/>
    </x:row>
    <x:row r="168">
      <x:c r="A168" s="154"/>
      <x:c r="B168" s="155" t="n">
        <x:v>1553</x:v>
      </x:c>
      <x:c r="C168" s="155" t="str">
        <x:v>611</x:v>
      </x:c>
      <x:c r="D168" s="155" t="str">
        <x:v>Odometer</x:v>
      </x:c>
      <x:c r="E168" s="155"/>
      <x:c r="F168" s="155"/>
      <x:c r="G168" s="155"/>
      <x:c r="H168" s="155"/>
      <x:c r="I168" s="155"/>
      <x:c r="J168" s="155"/>
      <x:c r="K168" s="155"/>
      <x:c r="L168" s="155"/>
      <x:c r="M168" s="156"/>
    </x:row>
    <x:row r="169">
      <x:c r="A169" s="154"/>
      <x:c r="B169" s="155" t="n">
        <x:v>1553</x:v>
      </x:c>
      <x:c r="C169" s="155" t="str">
        <x:v>611</x:v>
      </x:c>
      <x:c r="D169" s="155"/>
      <x:c r="E169" s="155"/>
      <x:c r="F169" s="155" t="n">
        <x:v>8</x:v>
      </x:c>
      <x:c r="G169" s="155" t="n">
        <x:v>1</x:v>
      </x:c>
      <x:c r="H169" s="155" t="str">
        <x:v>Switch bit on Byte 2 only. All others static</x:v>
      </x:c>
      <x:c r="I169" s="155"/>
      <x:c r="J169" s="155"/>
      <x:c r="K169" s="155"/>
      <x:c r="L169" s="155"/>
      <x:c r="M169" s="156"/>
    </x:row>
    <x:row r="170">
      <x:c r="A170" s="154"/>
      <x:c r="B170" s="155" t="n">
        <x:v>1553</x:v>
      </x:c>
      <x:c r="C170" s="155" t="str">
        <x:v>611</x:v>
      </x:c>
      <x:c r="D170" s="155" t="str">
        <x:v>UI_SETTING</x:v>
      </x:c>
      <x:c r="E170" s="155"/>
      <x:c r="F170" s="155"/>
      <x:c r="G170" s="155"/>
      <x:c r="H170" s="155" t="str">
        <x:v>SG_ UNITS : 26|2@0+ (1,0) [0|3] "" XXX</x:v>
      </x:c>
      <x:c r="I170" s="155" t="str">
        <x:v>SG_ ODOMETER : 43|20@0+ (1,0) [0|1048575] "" XXX</x:v>
      </x:c>
      <x:c r="J170" s="155"/>
      <x:c r="K170" s="155"/>
      <x:c r="L170" s="155"/>
      <x:c r="M170" s="156"/>
    </x:row>
    <x:row r="171">
      <x:c r="A171" s="154"/>
      <x:c r="B171" s="155" t="str">
        <x:v>1553</x:v>
      </x:c>
      <x:c r="C171" s="155" t="str">
        <x:v>611</x:v>
      </x:c>
      <x:c r="D171" s="155" t="str">
        <x:v>ODOMETER "Unit is dependent upon units signal";</x:v>
      </x:c>
      <x:c r="E171" s="155"/>
      <x:c r="F171" s="155"/>
      <x:c r="G171" s="155"/>
      <x:c r="H171" s="155"/>
      <x:c r="I171" s="155"/>
      <x:c r="J171" s="155"/>
      <x:c r="K171" s="155"/>
      <x:c r="L171" s="155"/>
      <x:c r="M171" s="156"/>
    </x:row>
    <x:row r="172">
      <x:c r="A172" s="154"/>
      <x:c r="B172" s="155" t="str">
        <x:v>1553</x:v>
      </x:c>
      <x:c r="C172" s="155" t="str">
        <x:v>611</x:v>
      </x:c>
      <x:c r="D172" s="155" t="str">
        <x:v>UNITS 1 "km" 2 "miles";</x:v>
      </x:c>
      <x:c r="E172" s="155"/>
      <x:c r="F172" s="155"/>
      <x:c r="G172" s="155"/>
      <x:c r="H172" s="155"/>
      <x:c r="I172" s="155"/>
      <x:c r="J172" s="155"/>
      <x:c r="K172" s="155"/>
      <x:c r="L172" s="155"/>
      <x:c r="M172" s="156"/>
    </x:row>
    <x:row r="173">
      <x:c r="A173" s="154"/>
      <x:c r="B173" s="155" t="n">
        <x:v>1556</x:v>
      </x:c>
      <x:c r="C173" s="155" t="str">
        <x:v>614</x:v>
      </x:c>
      <x:c r="D173" s="155" t="str">
        <x:v>STEERING_LEVERS</x:v>
      </x:c>
      <x:c r="E173" s="155"/>
      <x:c r="F173" s="155"/>
      <x:c r="G173" s="155"/>
      <x:c r="H173" s="155" t="str">
        <x:v>SG_ TURN_SIGNALS : 29|2@0+ (1,0) [0|3] "" XXX</x:v>
      </x:c>
      <x:c r="I173" s="155" t="str">
        <x:v>SG_ HAZARD_LIGHT : 27|1@0+ (1,0) [0|1] "" XXX</x:v>
      </x:c>
      <x:c r="J173" s="155"/>
      <x:c r="K173" s="155"/>
      <x:c r="L173" s="155"/>
      <x:c r="M173" s="156"/>
    </x:row>
    <x:row r="174">
      <x:c r="A174" s="154"/>
      <x:c r="B174" s="155" t="str">
        <x:v>1556</x:v>
      </x:c>
      <x:c r="C174" s="155" t="str">
        <x:v>614</x:v>
      </x:c>
      <x:c r="D174" s="155" t="str">
        <x:v>TURN_SIGNALS 3 "none" 2 "right" 1 "left";</x:v>
      </x:c>
      <x:c r="E174" s="155"/>
      <x:c r="F174" s="155"/>
      <x:c r="G174" s="155"/>
      <x:c r="H174" s="155"/>
      <x:c r="I174" s="155"/>
      <x:c r="J174" s="155"/>
      <x:c r="K174" s="155"/>
      <x:c r="L174" s="155"/>
      <x:c r="M174" s="156"/>
    </x:row>
    <x:row r="175">
      <x:c r="A175" s="154"/>
      <x:c r="B175" s="155" t="n">
        <x:v>1568</x:v>
      </x:c>
      <x:c r="C175" s="155" t="str">
        <x:v>620</x:v>
      </x:c>
      <x:c r="D175" s="155" t="str">
        <x:v>Switch data</x:v>
      </x:c>
      <x:c r="E175" s="155"/>
      <x:c r="F175" s="155" t="n">
        <x:v>8</x:v>
      </x:c>
      <x:c r="G175" s="155" t="str">
        <x:v>0.3</x:v>
      </x:c>
      <x:c r="H175" s="155" t="str">
        <x:v>Switched while moving. Byte 4 changes from 55 to 56.</x:v>
      </x:c>
      <x:c r="I175" s="155"/>
      <x:c r="J175" s="155"/>
      <x:c r="K175" s="155"/>
      <x:c r="L175" s="155"/>
      <x:c r="M175" s="156"/>
    </x:row>
    <x:row r="176">
      <x:c r="A176" s="154"/>
      <x:c r="B176" s="155" t="n">
        <x:v>1568</x:v>
      </x:c>
      <x:c r="C176" s="155" t="str">
        <x:v>620</x:v>
      </x:c>
      <x:c r="D176" s="155" t="str">
        <x:v>parking-brake</x:v>
      </x:c>
      <x:c r="E176" s="155" t="n">
        <x:v>59</x:v>
      </x:c>
      <x:c r="F176" s="155" t="n">
        <x:v>1</x:v>
      </x:c>
      <x:c r="G176" s="155"/>
      <x:c r="H176" s="155"/>
      <x:c r="I176" s="155"/>
      <x:c r="J176" s="155"/>
      <x:c r="K176" s="155"/>
      <x:c r="L176" s="155"/>
      <x:c r="M176" s="156"/>
    </x:row>
    <x:row r="177">
      <x:c r="A177" s="154"/>
      <x:c r="B177" s="155" t="n">
        <x:v>1568</x:v>
      </x:c>
      <x:c r="C177" s="155" t="str">
        <x:v>620</x:v>
      </x:c>
      <x:c r="D177" s="155" t="str">
        <x:v>km-count</x:v>
      </x:c>
      <x:c r="E177" s="155" t="n">
        <x:v>40</x:v>
      </x:c>
      <x:c r="F177" s="155" t="n">
        <x:v>24</x:v>
      </x:c>
      <x:c r="G177" s="155"/>
      <x:c r="H177" s="155"/>
      <x:c r="I177" s="155"/>
      <x:c r="J177" s="155"/>
      <x:c r="K177" s="155"/>
      <x:c r="L177" s="155"/>
      <x:c r="M177" s="156"/>
    </x:row>
    <x:row r="178">
      <x:c r="A178" s="154"/>
      <x:c r="B178" s="155" t="n">
        <x:v>1568</x:v>
      </x:c>
      <x:c r="C178" s="155" t="str">
        <x:v>620</x:v>
      </x:c>
      <x:c r="D178" s="155" t="str">
        <x:v>door-rear-open</x:v>
      </x:c>
      <x:c r="E178" s="155" t="n">
        <x:v>44</x:v>
      </x:c>
      <x:c r="F178" s="155" t="n">
        <x:v>2</x:v>
      </x:c>
      <x:c r="G178" s="155"/>
      <x:c r="H178" s="155"/>
      <x:c r="I178" s="155"/>
      <x:c r="J178" s="155"/>
      <x:c r="K178" s="155"/>
      <x:c r="L178" s="155"/>
      <x:c r="M178" s="156"/>
    </x:row>
    <x:row r="179">
      <x:c r="A179" s="154"/>
      <x:c r="B179" s="155" t="n">
        <x:v>1568</x:v>
      </x:c>
      <x:c r="C179" s="155" t="str">
        <x:v>620</x:v>
      </x:c>
      <x:c r="D179" s="155" t="str">
        <x:v>door-front-left-open</x:v>
      </x:c>
      <x:c r="E179" s="155" t="n">
        <x:v>43</x:v>
      </x:c>
      <x:c r="F179" s="155" t="n">
        <x:v>1</x:v>
      </x:c>
      <x:c r="G179" s="155"/>
      <x:c r="H179" s="155"/>
      <x:c r="I179" s="155"/>
      <x:c r="J179" s="155"/>
      <x:c r="K179" s="155"/>
      <x:c r="L179" s="155"/>
      <x:c r="M179" s="156"/>
    </x:row>
    <x:row r="180">
      <x:c r="A180" s="154"/>
      <x:c r="B180" s="155" t="n">
        <x:v>1568</x:v>
      </x:c>
      <x:c r="C180" s="155" t="str">
        <x:v>620</x:v>
      </x:c>
      <x:c r="D180" s="155" t="str">
        <x:v>door-front-right-open</x:v>
      </x:c>
      <x:c r="E180" s="155" t="n">
        <x:v>42</x:v>
      </x:c>
      <x:c r="F180" s="155" t="n">
        <x:v>1</x:v>
      </x:c>
      <x:c r="G180" s="155"/>
      <x:c r="H180" s="155"/>
      <x:c r="I180" s="155"/>
      <x:c r="J180" s="155"/>
      <x:c r="K180" s="155"/>
      <x:c r="L180" s="155"/>
      <x:c r="M180" s="156"/>
    </x:row>
    <x:row r="181">
      <x:c r="A181" s="154"/>
      <x:c r="B181" s="155" t="n">
        <x:v>1568</x:v>
      </x:c>
      <x:c r="C181" s="155" t="str">
        <x:v>620</x:v>
      </x:c>
      <x:c r="D181" s="155" t="str">
        <x:v>door-trunk</x:v>
      </x:c>
      <x:c r="E181" s="155" t="n">
        <x:v>46</x:v>
      </x:c>
      <x:c r="F181" s="155" t="n">
        <x:v>1</x:v>
      </x:c>
      <x:c r="G181" s="155"/>
      <x:c r="H181" s="155"/>
      <x:c r="I181" s="155"/>
      <x:c r="J181" s="155"/>
      <x:c r="K181" s="155"/>
      <x:c r="L181" s="155"/>
      <x:c r="M181" s="156"/>
    </x:row>
    <x:row r="182">
      <x:c r="A182" s="154"/>
      <x:c r="B182" s="155" t="n">
        <x:v>1568</x:v>
      </x:c>
      <x:c r="C182" s="155" t="str">
        <x:v>620</x:v>
      </x:c>
      <x:c r="D182" s="155" t="str">
        <x:v>SEATS_DOORS</x:v>
      </x:c>
      <x:c r="E182" s="155"/>
      <x:c r="F182" s="155"/>
      <x:c r="G182" s="155"/>
      <x:c r="H182" s="155" t="str">
        <x:v>SG_ METER_DIMMED : 38|1@0+ (1,0) [0|1] "" XXX</x:v>
      </x:c>
      <x:c r="I182" s="155" t="str">
        <x:v>SG_ PARKING_BRAKE : 60|1@0+ (1,0) [0|1] "" XXX</x:v>
      </x:c>
      <x:c r="J182" s="155" t="str">
        <x:v>SG_ SEATBELT_DRIVER_UNLATCHED : 62|1@0+ (1,0) [0|1] "" XXX</x:v>
      </x:c>
      <x:c r="K182" s="155" t="str">
        <x:v>SG_ DOOR_OPEN_FL : 45|1@0+ (1,0) [0|1] "" XXX</x:v>
      </x:c>
      <x:c r="L182" s="155" t="str">
        <x:v>SG_ DOOR_OPEN_RL : 42|1@0+ (1,0) [0|1] "" XXX</x:v>
      </x:c>
      <x:c r="M182" s="156" t="str">
        <x:v>SG_ DOOR_OPEN_RR : 43|1@0+ (1,0) [0|1] "" XXX</x:v>
      </x:c>
    </x:row>
    <x:row r="183">
      <x:c r="A183" s="154"/>
      <x:c r="B183" s="155" t="n">
        <x:v>1569</x:v>
      </x:c>
      <x:c r="C183" s="155" t="str">
        <x:v>621</x:v>
      </x:c>
      <x:c r="D183" s="155"/>
      <x:c r="E183" s="155"/>
      <x:c r="F183" s="155" t="n">
        <x:v>8</x:v>
      </x:c>
      <x:c r="G183" s="155" t="n">
        <x:v>1</x:v>
      </x:c>
      <x:c r="H183" s="155" t="str">
        <x:v>No changing data (mostly zeros)</x:v>
      </x:c>
      <x:c r="I183" s="155"/>
      <x:c r="J183" s="155"/>
      <x:c r="K183" s="155"/>
      <x:c r="L183" s="155"/>
      <x:c r="M183" s="156"/>
    </x:row>
    <x:row r="184">
      <x:c r="A184" s="154"/>
      <x:c r="B184" s="155" t="n">
        <x:v>1569</x:v>
      </x:c>
      <x:c r="C184" s="155" t="str">
        <x:v>621</x:v>
      </x:c>
      <x:c r="D184" s="155" t="str">
        <x:v>lock-trigger</x:v>
      </x:c>
      <x:c r="E184" s="155" t="n">
        <x:v>8</x:v>
      </x:c>
      <x:c r="F184" s="155" t="n">
        <x:v>1</x:v>
      </x:c>
      <x:c r="G184" s="155"/>
      <x:c r="H184" s="155"/>
      <x:c r="I184" s="155"/>
      <x:c r="J184" s="155"/>
      <x:c r="K184" s="155"/>
      <x:c r="L184" s="155"/>
      <x:c r="M184" s="156"/>
    </x:row>
    <x:row r="185">
      <x:c r="A185" s="154"/>
      <x:c r="B185" s="155" t="n">
        <x:v>1569</x:v>
      </x:c>
      <x:c r="C185" s="155" t="str">
        <x:v>621</x:v>
      </x:c>
      <x:c r="D185" s="155" t="str">
        <x:v>lock-error</x:v>
      </x:c>
      <x:c r="E185" s="155" t="n">
        <x:v>16</x:v>
      </x:c>
      <x:c r="F185" s="155" t="n">
        <x:v>1</x:v>
      </x:c>
      <x:c r="G185" s="155"/>
      <x:c r="H185" s="155"/>
      <x:c r="I185" s="155"/>
      <x:c r="J185" s="155"/>
      <x:c r="K185" s="155"/>
      <x:c r="L185" s="155"/>
      <x:c r="M185" s="156"/>
    </x:row>
    <x:row r="186">
      <x:c r="A186" s="154"/>
      <x:c r="B186" s="155" t="n">
        <x:v>1570</x:v>
      </x:c>
      <x:c r="C186" s="155" t="str">
        <x:v>622</x:v>
      </x:c>
      <x:c r="D186" s="155"/>
      <x:c r="E186" s="155"/>
      <x:c r="F186" s="155" t="n">
        <x:v>8</x:v>
      </x:c>
      <x:c r="G186" s="155" t="n">
        <x:v>1</x:v>
      </x:c>
      <x:c r="H186" s="155" t="str">
        <x:v>No changes</x:v>
      </x:c>
      <x:c r="I186" s="155"/>
      <x:c r="J186" s="155"/>
      <x:c r="K186" s="155"/>
      <x:c r="L186" s="155"/>
      <x:c r="M186" s="156"/>
    </x:row>
    <x:row r="187">
      <x:c r="A187" s="154"/>
      <x:c r="B187" s="155" t="n">
        <x:v>1570</x:v>
      </x:c>
      <x:c r="C187" s="155" t="str">
        <x:v>622</x:v>
      </x:c>
      <x:c r="D187" s="155" t="str">
        <x:v>LIGHT_STALK</x:v>
      </x:c>
      <x:c r="E187" s="155"/>
      <x:c r="F187" s="155"/>
      <x:c r="G187" s="155"/>
      <x:c r="H187" s="155" t="str">
        <x:v>SG_ AUTO_HIGH_BEAM : 37|1@0+ (1,0) [0|1] "" XXX</x:v>
      </x:c>
      <x:c r="I187" s="155" t="str">
        <x:v>SG_ FRONT_FOG : 27|1@0+ (1,0) [0|1] "" XXX</x:v>
      </x:c>
      <x:c r="J187" s="155" t="str">
        <x:v>SG_ PARKING_LIGHT : 28|1@0+ (1,0) [0|1] "" XXX</x:v>
      </x:c>
      <x:c r="K187" s="155" t="str">
        <x:v>SG_ LOW_BEAM : 29|1@0+ (1,0) [0|1] "" XXX</x:v>
      </x:c>
      <x:c r="L187" s="155" t="str">
        <x:v>SG_ HIGH_BEAM : 30|1@0+ (1,0) [0|1] "" XXX</x:v>
      </x:c>
      <x:c r="M187" s="156" t="str">
        <x:v>SG_ DAYTIME_RUNNING_LIGHT : 31|1@0+ (1,0) [0|1] "" XXX</x:v>
      </x:c>
    </x:row>
    <x:row r="188">
      <x:c r="A188" s="154"/>
      <x:c r="B188" s="155" t="n">
        <x:v>1571</x:v>
      </x:c>
      <x:c r="C188" s="155" t="str">
        <x:v>623</x:v>
      </x:c>
      <x:c r="D188" s="155" t="str">
        <x:v>CENTRAL_GATEWAY_UNIT</x:v>
      </x:c>
      <x:c r="E188" s="155"/>
      <x:c r="F188" s="155"/>
      <x:c r="G188" s="155"/>
      <x:c r="H188" s="155" t="str">
        <x:v>SG_ DOOR_LOCK_FEEDBACK_LIGHT : 15|1@0+ (1,0) [0|0] "" XXX</x:v>
      </x:c>
      <x:c r="I188" s="155" t="str">
        <x:v>SG_ KEYFOB_LOCKING_FEEDBACK_LIGHT : 61|1@0+ (1,0) [0|0] "" XXX</x:v>
      </x:c>
      <x:c r="J188" s="155" t="str">
        <x:v>SG_ KEYFOB_UNLOCKING_FEEDBACK_LIGHT : 62|1@0+ (1,0) [0|0] "" XXX</x:v>
      </x:c>
      <x:c r="K188" s="155"/>
      <x:c r="L188" s="155"/>
      <x:c r="M188" s="156"/>
    </x:row>
    <x:row r="189">
      <x:c r="A189" s="154"/>
      <x:c r="B189" s="155" t="n">
        <x:v>1572</x:v>
      </x:c>
      <x:c r="C189" s="155" t="str">
        <x:v>624</x:v>
      </x:c>
      <x:c r="D189" s="155"/>
      <x:c r="E189" s="155"/>
      <x:c r="F189" s="155" t="n">
        <x:v>8</x:v>
      </x:c>
      <x:c r="G189" s="155" t="n">
        <x:v>1</x:v>
      </x:c>
      <x:c r="H189" s="155" t="str">
        <x:v>No changes</x:v>
      </x:c>
      <x:c r="I189" s="155"/>
      <x:c r="J189" s="155"/>
      <x:c r="K189" s="155"/>
      <x:c r="L189" s="155"/>
      <x:c r="M189" s="156"/>
    </x:row>
    <x:row r="190">
      <x:c r="A190" s="154"/>
      <x:c r="B190" s="155" t="n">
        <x:v>1584</x:v>
      </x:c>
      <x:c r="C190" s="155" t="str">
        <x:v>630</x:v>
      </x:c>
      <x:c r="D190" s="155"/>
      <x:c r="E190" s="155"/>
      <x:c r="F190" s="155" t="n">
        <x:v>8</x:v>
      </x:c>
      <x:c r="G190" s="155" t="n">
        <x:v>1</x:v>
      </x:c>
      <x:c r="H190" s="155" t="str">
        <x:v>All zeros</x:v>
      </x:c>
      <x:c r="I190" s="155"/>
      <x:c r="J190" s="155"/>
      <x:c r="K190" s="155"/>
      <x:c r="L190" s="155"/>
      <x:c r="M190" s="156"/>
    </x:row>
    <x:row r="191">
      <x:c r="A191" s="154"/>
      <x:c r="B191" s="155" t="n">
        <x:v>1592</x:v>
      </x:c>
      <x:c r="C191" s="155" t="str">
        <x:v>638</x:v>
      </x:c>
      <x:c r="D191" s="155"/>
      <x:c r="E191" s="155"/>
      <x:c r="F191" s="155" t="n">
        <x:v>8</x:v>
      </x:c>
      <x:c r="G191" s="155" t="n">
        <x:v>1</x:v>
      </x:c>
      <x:c r="H191" s="155" t="str">
        <x:v>All zeros</x:v>
      </x:c>
      <x:c r="I191" s="155"/>
      <x:c r="J191" s="155"/>
      <x:c r="K191" s="155"/>
      <x:c r="L191" s="155"/>
      <x:c r="M191" s="156"/>
    </x:row>
    <x:row r="192">
      <x:c r="A192" s="157"/>
      <x:c r="B192" s="158" t="n">
        <x:v>1592</x:v>
      </x:c>
      <x:c r="C192" s="158" t="str">
        <x:v>638</x:v>
      </x:c>
      <x:c r="D192" s="158" t="str">
        <x:v>door-unlocked</x:v>
      </x:c>
      <x:c r="E192" s="158" t="n">
        <x:v>19</x:v>
      </x:c>
      <x:c r="F192" s="158" t="n">
        <x:v>1</x:v>
      </x:c>
      <x:c r="G192" s="158"/>
      <x:c r="H192" s="158"/>
      <x:c r="I192" s="158"/>
      <x:c r="J192" s="158"/>
      <x:c r="K192" s="158"/>
      <x:c r="L192" s="158"/>
      <x:c r="M192" s="159"/>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34" hidden="0" customWidth="1"/>
    <x:col min="4" max="4" width="27" hidden="0" customWidth="1"/>
    <x:col min="5" max="5" width="29" hidden="0" customWidth="1"/>
    <x:col min="6" max="6" width="30" hidden="0" customWidth="1"/>
    <x:col min="7" max="7" width="16" hidden="0" customWidth="1"/>
    <x:col min="8" max="8" width="46" hidden="0" customWidth="1"/>
    <x:col min="9" max="9" width="78" hidden="0" customWidth="1"/>
  </x:cols>
  <x:sheetData>
    <x:row r="1" ht="34" customHeight="1">
      <x:c r="A1" s="118" t="str">
        <x:v>Source Rows</x:v>
      </x:c>
      <x:c r="B1" s="119" t="str">
        <x:v>CAN ID</x:v>
      </x:c>
      <x:c r="C1" s="119" t="str">
        <x:v>Source Description / Group</x:v>
      </x:c>
      <x:c r="D1" s="119" t="str">
        <x:v>Assigned Profile</x:v>
      </x:c>
      <x:c r="E1" s="119" t="str">
        <x:v>Decision</x:v>
      </x:c>
      <x:c r="F1" s="119" t="str">
        <x:v>Safety Class</x:v>
      </x:c>
      <x:c r="G1" s="119" t="str">
        <x:v>Evidence Class</x:v>
      </x:c>
      <x:c r="H1" s="119" t="str">
        <x:v>Database / Firmware Use</x:v>
      </x:c>
      <x:c r="I1" s="120" t="str">
        <x:v>Rationale</x:v>
      </x:c>
    </x:row>
    <x:row r="2">
      <x:c r="A2" s="163" t="str">
        <x:v>10-14</x:v>
      </x:c>
      <x:c r="B2" s="124" t="str">
        <x:v>0x025</x:v>
      </x:c>
      <x:c r="C2" s="124" t="str">
        <x:v>Steering angle / rate</x:v>
      </x:c>
      <x:c r="D2" s="124" t="str">
        <x:v>CAMRY_HYBRID_GEN1 only</x:v>
      </x:c>
      <x:c r="E2" s="124" t="str">
        <x:v>CORROBORATE AHV40 ONLY</x:v>
      </x:c>
      <x:c r="F2" s="124" t="str">
        <x:v>PASSIVE_BROADCAST</x:v>
      </x:c>
      <x:c r="G2" s="124" t="str">
        <x:v>PROBABLE</x:v>
      </x:c>
      <x:c r="H2" s="124" t="str">
        <x:v>Retain signed 12-bit angle and 1.5 deg/count as profile-specific</x:v>
      </x:c>
      <x:c r="I2" s="125" t="str">
        <x:v>Matches AHV40 capture structure; source vehicle is not identified, so it is corroboration rather than an independent profile proof</x:v>
      </x:c>
    </x:row>
    <x:row r="3">
      <x:c r="A3" s="163" t="str">
        <x:v>17-22</x:v>
      </x:c>
      <x:c r="B3" s="124" t="str">
        <x:v>0x0B0</x:v>
      </x:c>
      <x:c r="C3" s="124" t="str">
        <x:v>Front wheel-speed pair candidate</x:v>
      </x:c>
      <x:c r="D3" s="124" t="str">
        <x:v>CAMRY_HYBRID_GEN1 only</x:v>
      </x:c>
      <x:c r="E3" s="124" t="str">
        <x:v>CORROBORATE AHV40 ONLY</x:v>
      </x:c>
      <x:c r="F3" s="124" t="str">
        <x:v>PASSIVE_BROADCAST</x:v>
      </x:c>
      <x:c r="G3" s="124" t="str">
        <x:v>PROBABLE</x:v>
      </x:c>
      <x:c r="H3" s="124" t="str">
        <x:v>Retain big-endian 16-bit pair at bytes 0-1 and 2-3</x:v>
      </x:c>
      <x:c r="I3" s="125" t="str">
        <x:v>Agrees with captured 0.01 km/h/count pairs; corner naming remains provisional</x:v>
      </x:c>
    </x:row>
    <x:row r="4">
      <x:c r="A4" s="163" t="str">
        <x:v>23-28</x:v>
      </x:c>
      <x:c r="B4" s="124" t="str">
        <x:v>0x0B2</x:v>
      </x:c>
      <x:c r="C4" s="124" t="str">
        <x:v>Rear wheel-speed pair candidate</x:v>
      </x:c>
      <x:c r="D4" s="124" t="str">
        <x:v>CAMRY_HYBRID_GEN1 only</x:v>
      </x:c>
      <x:c r="E4" s="124" t="str">
        <x:v>CORROBORATE AHV40 ONLY</x:v>
      </x:c>
      <x:c r="F4" s="124" t="str">
        <x:v>PASSIVE_BROADCAST</x:v>
      </x:c>
      <x:c r="G4" s="124" t="str">
        <x:v>PROBABLE</x:v>
      </x:c>
      <x:c r="H4" s="124" t="str">
        <x:v>Retain big-endian 16-bit pair at bytes 0-1 and 2-3</x:v>
      </x:c>
      <x:c r="I4" s="125" t="str">
        <x:v>Agrees with captured 0.01 km/h/count pairs; corner naming remains provisional</x:v>
      </x:c>
    </x:row>
    <x:row r="5">
      <x:c r="A5" s="163" t="str">
        <x:v>53-55</x:v>
      </x:c>
      <x:c r="B5" s="124" t="str">
        <x:v>0x230</x:v>
      </x:c>
      <x:c r="C5" s="124" t="str">
        <x:v>Brake / parking brake</x:v>
      </x:c>
      <x:c r="D5" s="124" t="str">
        <x:v>CAMRY_HYBRID_GEN1 only</x:v>
      </x:c>
      <x:c r="E5" s="124" t="str">
        <x:v>CORROBORATE AHV40 ONLY</x:v>
      </x:c>
      <x:c r="F5" s="124" t="str">
        <x:v>PASSIVE_BROADCAST</x:v>
      </x:c>
      <x:c r="G5" s="124" t="str">
        <x:v>PROBABLE</x:v>
      </x:c>
      <x:c r="H5" s="124" t="str">
        <x:v>Keep captured service-brake and parking-brake bits</x:v>
      </x:c>
      <x:c r="I5" s="125" t="str">
        <x:v>Source contains matching brake semantics, but has no vehicle provenance</x:v>
      </x:c>
    </x:row>
    <x:row r="6">
      <x:c r="A6" s="163" t="str">
        <x:v>78-81</x:v>
      </x:c>
      <x:c r="B6" s="124" t="str">
        <x:v>0x2C4</x:v>
      </x:c>
      <x:c r="C6" s="124" t="str">
        <x:v>Engine speed</x:v>
      </x:c>
      <x:c r="D6" s="124" t="str">
        <x:v>CAMRY_HYBRID_GEN1 only</x:v>
      </x:c>
      <x:c r="E6" s="124" t="str">
        <x:v>PROMOTE TO PROFILE DECODER</x:v>
      </x:c>
      <x:c r="F6" s="124" t="str">
        <x:v>PASSIVE_BROADCAST</x:v>
      </x:c>
      <x:c r="G6" s="124" t="str">
        <x:v>PROBABLE</x:v>
      </x:c>
      <x:c r="H6" s="124" t="str">
        <x:v>Bytes 0-1 big-endian, 1 rpm/count</x:v>
      </x:c>
      <x:c r="I6" s="125" t="str">
        <x:v>Camry warmup data spans 0-1886 raw and source independently places engine speed in the first 16 bits</x:v>
      </x:c>
    </x:row>
    <x:row r="7">
      <x:c r="A7" s="163" t="str">
        <x:v>82</x:v>
      </x:c>
      <x:c r="B7" s="124" t="str">
        <x:v>0x2D0</x:v>
      </x:c>
      <x:c r="C7" s="124" t="str">
        <x:v>Unidentified source frame</x:v>
      </x:c>
      <x:c r="D7" s="124" t="str">
        <x:v>CAMRY_HYBRID_GEN1 only</x:v>
      </x:c>
      <x:c r="E7" s="124" t="str">
        <x:v>NO SOURCE DECODE; USE CAPTURE EVIDENCE</x:v>
      </x:c>
      <x:c r="F7" s="124" t="str">
        <x:v>PASSIVE_BROADCAST</x:v>
      </x:c>
      <x:c r="G7" s="124" t="str">
        <x:v>PROBABLE</x:v>
      </x:c>
      <x:c r="H7" s="124" t="str">
        <x:v>Byte 2 redundant gear: 0x01=P, 0x02=R, 0x04=N, 0x10=D</x:v>
      </x:c>
      <x:c r="I7" s="125" t="str">
        <x:v>The workbook adds no decode; the mapping comes from labeled S0020 transitions</x:v>
      </x:c>
    </x:row>
    <x:row r="8">
      <x:c r="A8" s="163" t="str">
        <x:v>94-95</x:v>
      </x:c>
      <x:c r="B8" s="124" t="str">
        <x:v>0x380</x:v>
      </x:c>
      <x:c r="C8" s="124" t="str">
        <x:v>Air-conditioning state</x:v>
      </x:c>
      <x:c r="D8" s="124" t="str">
        <x:v>CAMRY_HYBRID_GEN1 only</x:v>
      </x:c>
      <x:c r="E8" s="124" t="str">
        <x:v>CORROBORATE AHV40 ONLY</x:v>
      </x:c>
      <x:c r="F8" s="124" t="str">
        <x:v>PASSIVE_BROADCAST</x:v>
      </x:c>
      <x:c r="G8" s="124" t="str">
        <x:v>PROBABLE</x:v>
      </x:c>
      <x:c r="H8" s="124" t="str">
        <x:v>Retain HVAC bitfield as incomplete</x:v>
      </x:c>
      <x:c r="I8" s="125" t="str">
        <x:v>Description agrees with the captured HVAC response; individual bits remain unresolved</x:v>
      </x:c>
    </x:row>
    <x:row r="9">
      <x:c r="A9" s="163" t="str">
        <x:v>96</x:v>
      </x:c>
      <x:c r="B9" s="124" t="str">
        <x:v>0x381</x:v>
      </x:c>
      <x:c r="C9" s="124" t="str">
        <x:v>Unknown slow HVAC-adjacent frame</x:v>
      </x:c>
      <x:c r="D9" s="124" t="str">
        <x:v>CAMRY_HYBRID_GEN1 only</x:v>
      </x:c>
      <x:c r="E9" s="124" t="str">
        <x:v>CORROBORATE AHV40 ONLY</x:v>
      </x:c>
      <x:c r="F9" s="124" t="str">
        <x:v>PASSIVE_BROADCAST</x:v>
      </x:c>
      <x:c r="G9" s="124" t="str">
        <x:v>PROBABLE</x:v>
      </x:c>
      <x:c r="H9" s="124" t="str">
        <x:v>Retain captured blower-level byte 2 mapping</x:v>
      </x:c>
      <x:c r="I9" s="125" t="str">
        <x:v>The source does not decode it, but its neighboring HVAC context is consistent</x:v>
      </x:c>
    </x:row>
    <x:row r="10">
      <x:c r="A10" s="164" t="str">
        <x:v>112-114</x:v>
      </x:c>
      <x:c r="B10" s="165" t="str">
        <x:v>0x3B4</x:v>
      </x:c>
      <x:c r="C10" s="165" t="str">
        <x:v>PRND / brake-a</x:v>
      </x:c>
      <x:c r="D10" s="165" t="str">
        <x:v>CAMRY_HYBRID_GEN1 only</x:v>
      </x:c>
      <x:c r="E10" s="165" t="str">
        <x:v>CORROBORATE AHV40 ONLY</x:v>
      </x:c>
      <x:c r="F10" s="165" t="str">
        <x:v>PASSIVE_BROADCAST</x:v>
      </x:c>
      <x:c r="G10" s="165" t="str">
        <x:v>CANDIDATE</x:v>
      </x:c>
      <x:c r="H10" s="165" t="str">
        <x:v>Keep as secondary gear/brake candidate only</x:v>
      </x:c>
      <x:c r="I10" s="166" t="str">
        <x:v>Source is consistent with the captured association but not sufficient to finalize the bit layout</x:v>
      </x:c>
    </x:row>
    <x:row r="11">
      <x:c r="A11" s="163" t="str">
        <x:v>166-167</x:v>
      </x:c>
      <x:c r="B11" s="124" t="str">
        <x:v>0x610</x:v>
      </x:c>
      <x:c r="C11" s="124" t="str">
        <x:v>Vehicle speed</x:v>
      </x:c>
      <x:c r="D11" s="124" t="str">
        <x:v>CAMRY_HYBRID_GEN1 only</x:v>
      </x:c>
      <x:c r="E11" s="124" t="str">
        <x:v>CORROBORATE AHV40 ONLY</x:v>
      </x:c>
      <x:c r="F11" s="124" t="str">
        <x:v>PASSIVE_BROADCAST</x:v>
      </x:c>
      <x:c r="G11" s="124" t="str">
        <x:v>PROBABLE</x:v>
      </x:c>
      <x:c r="H11" s="124" t="str">
        <x:v>Byte 2, 1 km/h/count</x:v>
      </x:c>
      <x:c r="I11" s="125" t="str">
        <x:v>Exact byte and unit agree with the 2007 AHV40 capture</x:v>
      </x:c>
    </x:row>
    <x:row r="12">
      <x:c r="A12" s="164" t="str">
        <x:v>31-32</x:v>
      </x:c>
      <x:c r="B12" s="165" t="str">
        <x:v>0x127</x:v>
      </x:c>
      <x:c r="C12" s="165" t="str">
        <x:v>Gear packet 0=P,1=R,2=N,3=D,4=B</x:v>
      </x:c>
      <x:c r="D12" s="165" t="str">
        <x:v>TOYOTA_UNASSIGNED</x:v>
      </x:c>
      <x:c r="E12" s="165" t="str">
        <x:v>HOLD - PROFILE UNKNOWN</x:v>
      </x:c>
      <x:c r="F12" s="165" t="str">
        <x:v>PASSIVE_BROADCAST</x:v>
      </x:c>
      <x:c r="G12" s="165" t="str">
        <x:v>CANDIDATE</x:v>
      </x:c>
      <x:c r="H12" s="165" t="str">
        <x:v>Audit only</x:v>
      </x:c>
      <x:c r="I12" s="166" t="str">
        <x:v>Different from captured AHV40 0x120 and 0x2D0 gear IDs; likely another platform</x:v>
      </x:c>
    </x:row>
    <x:row r="13">
      <x:c r="A13" s="164" t="str">
        <x:v>35</x:v>
      </x:c>
      <x:c r="B13" s="165" t="str">
        <x:v>0x1C4</x:v>
      </x:c>
      <x:c r="C13" s="165" t="str">
        <x:v>Engine RPM, factor 0.78125</x:v>
      </x:c>
      <x:c r="D13" s="165" t="str">
        <x:v>TOYOTA_UNASSIGNED</x:v>
      </x:c>
      <x:c r="E13" s="165" t="str">
        <x:v>HOLD - PROFILE UNKNOWN</x:v>
      </x:c>
      <x:c r="F13" s="165" t="str">
        <x:v>PASSIVE_BROADCAST</x:v>
      </x:c>
      <x:c r="G13" s="165" t="str">
        <x:v>CANDIDATE</x:v>
      </x:c>
      <x:c r="H13" s="165" t="str">
        <x:v>Do not apply to Prius Gen 2 or Camry</x:v>
      </x:c>
      <x:c r="I13" s="166" t="str">
        <x:v>Conflicts with AHV40 0x2C4 and lacks an attributable model/year</x:v>
      </x:c>
    </x:row>
    <x:row r="14">
      <x:c r="A14" s="164" t="str">
        <x:v>15-16</x:v>
      </x:c>
      <x:c r="B14" s="165" t="str">
        <x:v>0x0A6/0x0AA</x:v>
      </x:c>
      <x:c r="C14" s="165" t="str">
        <x:v>Brake and four wheel speeds</x:v>
      </x:c>
      <x:c r="D14" s="165" t="str">
        <x:v>TOYOTA_UNASSIGNED</x:v>
      </x:c>
      <x:c r="E14" s="165" t="str">
        <x:v>HOLD - PROFILE UNKNOWN</x:v>
      </x:c>
      <x:c r="F14" s="165" t="str">
        <x:v>PASSIVE_BROADCAST</x:v>
      </x:c>
      <x:c r="G14" s="165" t="str">
        <x:v>CANDIDATE</x:v>
      </x:c>
      <x:c r="H14" s="165" t="str">
        <x:v>Audit only</x:v>
      </x:c>
      <x:c r="I14" s="166" t="str">
        <x:v>Likely later Toyota/OpenDBC family; not observed as the normalized AHV40 wheel-speed source</x:v>
      </x:c>
    </x:row>
    <x:row r="15">
      <x:c r="A15" s="164" t="str">
        <x:v>46-51</x:v>
      </x:c>
      <x:c r="B15" s="165" t="str">
        <x:v>0x224/0x226</x:v>
      </x:c>
      <x:c r="C15" s="165" t="str">
        <x:v>Brake pressure / pedal</x:v>
      </x:c>
      <x:c r="D15" s="165" t="str">
        <x:v>TOYOTA_UNASSIGNED</x:v>
      </x:c>
      <x:c r="E15" s="165" t="str">
        <x:v>HOLD - PROFILE UNKNOWN</x:v>
      </x:c>
      <x:c r="F15" s="165" t="str">
        <x:v>PASSIVE_BROADCAST</x:v>
      </x:c>
      <x:c r="G15" s="165" t="str">
        <x:v>CANDIDATE</x:v>
      </x:c>
      <x:c r="H15" s="165" t="str">
        <x:v>Audit only</x:v>
      </x:c>
      <x:c r="I15" s="166" t="str">
        <x:v>Useful future capture targets, but no target vehicle attribution</x:v>
      </x:c>
    </x:row>
    <x:row r="16">
      <x:c r="A16" s="164" t="str">
        <x:v>56-61</x:v>
      </x:c>
      <x:c r="B16" s="165" t="str">
        <x:v>0x245/0x260</x:v>
      </x:c>
      <x:c r="C16" s="165" t="str">
        <x:v>Gas pedal and steering torque feedback</x:v>
      </x:c>
      <x:c r="D16" s="165" t="str">
        <x:v>TOYOTA_UNASSIGNED</x:v>
      </x:c>
      <x:c r="E16" s="165" t="str">
        <x:v>HOLD - PROFILE UNKNOWN</x:v>
      </x:c>
      <x:c r="F16" s="165" t="str">
        <x:v>PASSIVE_BROADCAST</x:v>
      </x:c>
      <x:c r="G16" s="165" t="str">
        <x:v>CANDIDATE</x:v>
      </x:c>
      <x:c r="H16" s="165" t="str">
        <x:v>Audit only</x:v>
      </x:c>
      <x:c r="I16" s="166" t="str">
        <x:v>Plausible read-only telemetry but not validated on any supported profile</x:v>
      </x:c>
    </x:row>
    <x:row r="17">
      <x:c r="A17" s="164" t="str">
        <x:v>62-65</x:v>
      </x:c>
      <x:c r="B17" s="165" t="str">
        <x:v>0x262</x:v>
      </x:c>
      <x:c r="C17" s="165" t="str">
        <x:v>EPS/IPAS/LKA status</x:v>
      </x:c>
      <x:c r="D17" s="165" t="str">
        <x:v>TOYOTA_UNASSIGNED</x:v>
      </x:c>
      <x:c r="E17" s="165" t="str">
        <x:v>HOLD - PROFILE UNKNOWN</x:v>
      </x:c>
      <x:c r="F17" s="165" t="str">
        <x:v>PASSIVE_BROADCAST</x:v>
      </x:c>
      <x:c r="G17" s="165" t="str">
        <x:v>CANDIDATE</x:v>
      </x:c>
      <x:c r="H17" s="165" t="str">
        <x:v>Audit only; never infer command permission</x:v>
      </x:c>
      <x:c r="I17" s="166" t="str">
        <x:v>Status semantics may be useful after a labeled capture</x:v>
      </x:c>
    </x:row>
    <x:row r="18">
      <x:c r="A18" s="168" t="str">
        <x:v>66-69</x:v>
      </x:c>
      <x:c r="B18" s="130" t="str">
        <x:v>0x266</x:v>
      </x:c>
      <x:c r="C18" s="130" t="str">
        <x:v>IPAS direction/control state</x:v>
      </x:c>
      <x:c r="D18" s="130" t="str">
        <x:v>TOYOTA_UNASSIGNED</x:v>
      </x:c>
      <x:c r="E18" s="130" t="str">
        <x:v>QUARANTINE</x:v>
      </x:c>
      <x:c r="F18" s="130" t="str">
        <x:v>CONTROL_WRITE_QUARANTINED</x:v>
      </x:c>
      <x:c r="G18" s="130" t="str">
        <x:v>REJECTED</x:v>
      </x:c>
      <x:c r="H18" s="130" t="str">
        <x:v>Never transmit or whitelist</x:v>
      </x:c>
      <x:c r="I18" s="131" t="str">
        <x:v>Contains direction command semantics and lacks a safe read-only use case</x:v>
      </x:c>
    </x:row>
    <x:row r="19">
      <x:c r="A19" s="168" t="str">
        <x:v>70-74</x:v>
      </x:c>
      <x:c r="B19" s="130" t="str">
        <x:v>0x283</x:v>
      </x:c>
      <x:c r="C19" s="130" t="str">
        <x:v>Pre-collision / emergency braking state</x:v>
      </x:c>
      <x:c r="D19" s="130" t="str">
        <x:v>TOYOTA_UNASSIGNED</x:v>
      </x:c>
      <x:c r="E19" s="130" t="str">
        <x:v>QUARANTINE</x:v>
      </x:c>
      <x:c r="F19" s="130" t="str">
        <x:v>CONTROL_WRITE_QUARANTINED</x:v>
      </x:c>
      <x:c r="G19" s="130" t="str">
        <x:v>REJECTED</x:v>
      </x:c>
      <x:c r="H19" s="130" t="str">
        <x:v>Never transmit or whitelist</x:v>
      </x:c>
      <x:c r="I19" s="131" t="str">
        <x:v>Safety-critical braking context; preserve only for offline audit</x:v>
      </x:c>
    </x:row>
    <x:row r="20">
      <x:c r="A20" s="168" t="str">
        <x:v>83</x:v>
      </x:c>
      <x:c r="B20" s="130" t="str">
        <x:v>0x2E4</x:v>
      </x:c>
      <x:c r="C20" s="130" t="str">
        <x:v>LKA steering state</x:v>
      </x:c>
      <x:c r="D20" s="130" t="str">
        <x:v>TOYOTA_UNASSIGNED</x:v>
      </x:c>
      <x:c r="E20" s="130" t="str">
        <x:v>QUARANTINE</x:v>
      </x:c>
      <x:c r="F20" s="130" t="str">
        <x:v>CONTROL_WRITE_QUARANTINED</x:v>
      </x:c>
      <x:c r="G20" s="130" t="str">
        <x:v>REJECTED</x:v>
      </x:c>
      <x:c r="H20" s="130" t="str">
        <x:v>Never transmit or whitelist</x:v>
      </x:c>
      <x:c r="I20" s="131" t="str">
        <x:v>Steering-assist message family is outside logger scope</x:v>
      </x:c>
    </x:row>
    <x:row r="21">
      <x:c r="A21" s="168" t="str">
        <x:v>87-91</x:v>
      </x:c>
      <x:c r="B21" s="130" t="str">
        <x:v>0x343</x:v>
      </x:c>
      <x:c r="C21" s="130" t="str">
        <x:v>Adaptive-cruise acceleration/braking commands</x:v>
      </x:c>
      <x:c r="D21" s="130" t="str">
        <x:v>TOYOTA_UNASSIGNED</x:v>
      </x:c>
      <x:c r="E21" s="130" t="str">
        <x:v>QUARANTINE</x:v>
      </x:c>
      <x:c r="F21" s="130" t="str">
        <x:v>CONTROL_WRITE_QUARANTINED</x:v>
      </x:c>
      <x:c r="G21" s="130" t="str">
        <x:v>REJECTED</x:v>
      </x:c>
      <x:c r="H21" s="130" t="str">
        <x:v>Never transmit or whitelist</x:v>
      </x:c>
      <x:c r="I21" s="131" t="str">
        <x:v>Contains ACCEL_CMD and PERMIT_BRAKING semantics</x:v>
      </x:c>
    </x:row>
    <x:row r="22">
      <x:c r="A22" s="168" t="str">
        <x:v>119-130</x:v>
      </x:c>
      <x:c r="B22" s="130" t="str">
        <x:v>0x411/0x412</x:v>
      </x:c>
      <x:c r="C22" s="130" t="str">
        <x:v>PCS/LKAS HUD outputs</x:v>
      </x:c>
      <x:c r="D22" s="130" t="str">
        <x:v>TOYOTA_UNASSIGNED</x:v>
      </x:c>
      <x:c r="E22" s="130" t="str">
        <x:v>QUARANTINE</x:v>
      </x:c>
      <x:c r="F22" s="130" t="str">
        <x:v>CONTROL_WRITE_QUARANTINED</x:v>
      </x:c>
      <x:c r="G22" s="130" t="str">
        <x:v>REJECTED</x:v>
      </x:c>
      <x:c r="H22" s="130" t="str">
        <x:v>Never transmit or whitelist</x:v>
      </x:c>
      <x:c r="I22" s="131" t="str">
        <x:v>Command/output-oriented warning and HUD messages; unrelated to passive hybrid telemetry</x:v>
      </x:c>
    </x:row>
    <x:row r="23">
      <x:c r="A23" s="169" t="str">
        <x:v>166-188</x:v>
      </x:c>
      <x:c r="B23" s="170" t="str">
        <x:v>0x611/0x614/0x620/0x622/0x623</x:v>
      </x:c>
      <x:c r="C23" s="170" t="str">
        <x:v>Odometer, stalk, doors and gateway</x:v>
      </x:c>
      <x:c r="D23" s="170" t="str">
        <x:v>TOYOTA_UNASSIGNED</x:v>
      </x:c>
      <x:c r="E23" s="170" t="str">
        <x:v>HOLD - PROFILE UNKNOWN</x:v>
      </x:c>
      <x:c r="F23" s="170" t="str">
        <x:v>PASSIVE_BROADCAST</x:v>
      </x:c>
      <x:c r="G23" s="170" t="str">
        <x:v>CANDIDATE</x:v>
      </x:c>
      <x:c r="H23" s="170" t="str">
        <x:v>Audit only</x:v>
      </x:c>
      <x:c r="I23" s="171" t="str">
        <x:v>Potential body-CAN mappings; no supported-profile capture agreement</x:v>
      </x:c>
    </x:row>
  </x:sheetData>
  <x:pageMargins left="0.7" right="0.7" top="0.75" bottom="0.75" header="0.3" footer="0.3"/>
  <x:tableParts count="1">
    <x:tablePart xmlns:r="http://schemas.openxmlformats.org/officeDocument/2006/relationships" r:id="Rd8628ce7c9414bc3"/>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32" hidden="0" customWidth="1"/>
    <x:col min="5" max="5" width="42" hidden="0" customWidth="1"/>
    <x:col min="6" max="6" width="24" hidden="0" customWidth="1"/>
    <x:col min="7" max="7" width="14" hidden="0" customWidth="1"/>
    <x:col min="8" max="8" width="34" hidden="0" customWidth="1"/>
    <x:col min="9" max="9" width="78" hidden="0" customWidth="1"/>
  </x:cols>
  <x:sheetData>
    <x:row r="1" ht="34" customHeight="1">
      <x:c r="A1" s="118" t="str">
        <x:v>CAN ID</x:v>
      </x:c>
      <x:c r="B1" s="119" t="str">
        <x:v>Subsystem</x:v>
      </x:c>
      <x:c r="C1" s="119" t="str">
        <x:v>Normalized Signal</x:v>
      </x:c>
      <x:c r="D1" s="119" t="str">
        <x:v>Field / Encoding</x:v>
      </x:c>
      <x:c r="E1" s="119" t="str">
        <x:v>Raw Mapping</x:v>
      </x:c>
      <x:c r="F1" s="119" t="str">
        <x:v>Scale / Unit</x:v>
      </x:c>
      <x:c r="G1" s="119" t="str">
        <x:v>Acquisition</x:v>
      </x:c>
      <x:c r="H1" s="119" t="str">
        <x:v>Confidence</x:v>
      </x:c>
      <x:c r="I1" s="120" t="str">
        <x:v>Evidence</x:v>
      </x:c>
    </x:row>
    <x:row r="2">
      <x:c r="A2" s="164" t="str">
        <x:v>0x025</x:v>
      </x:c>
      <x:c r="B2" s="165" t="str">
        <x:v>Steering</x:v>
      </x:c>
      <x:c r="C2" s="165" t="str">
        <x:v>Steering angle</x:v>
      </x:c>
      <x:c r="D2" s="165" t="str">
        <x:v>Bytes 0-1; signed 12-bit field</x:v>
      </x:c>
      <x:c r="E2" s="165" t="str">
        <x:v>signed 12-bit</x:v>
      </x:c>
      <x:c r="F2" s="165" t="str">
        <x:v>1.5 deg/count</x:v>
      </x:c>
      <x:c r="G2" s="165" t="str">
        <x:v>Passive</x:v>
      </x:c>
      <x:c r="H2" s="165" t="str">
        <x:v>CONFIRMED signal / PROBABLE scale</x:v>
      </x:c>
      <x:c r="I2" s="166" t="str">
        <x:v>AHV40 steering sweep plus S22 structural corroboration</x:v>
      </x:c>
    </x:row>
    <x:row r="3">
      <x:c r="A3" s="163" t="str">
        <x:v>0x0B0</x:v>
      </x:c>
      <x:c r="B3" s="124" t="str">
        <x:v>Chassis</x:v>
      </x:c>
      <x:c r="C3" s="124" t="str">
        <x:v>Wheel speed pair A/B</x:v>
      </x:c>
      <x:c r="D3" s="124" t="str">
        <x:v>Bytes 0-1 and 2-3, big-endian</x:v>
      </x:c>
      <x:c r="E3" s="124" t="str">
        <x:v>unsigned 16-bit each</x:v>
      </x:c>
      <x:c r="F3" s="124" t="str">
        <x:v>0.01 km/h/count</x:v>
      </x:c>
      <x:c r="G3" s="124" t="str">
        <x:v>Passive</x:v>
      </x:c>
      <x:c r="H3" s="124" t="str">
        <x:v>CONFIRMED BY CAPTURE</x:v>
      </x:c>
      <x:c r="I3" s="125" t="str">
        <x:v>Tracks motion and stop; S22 supports two 16-bit wheel channels</x:v>
      </x:c>
    </x:row>
    <x:row r="4">
      <x:c r="A4" s="163" t="str">
        <x:v>0x0B2</x:v>
      </x:c>
      <x:c r="B4" s="124" t="str">
        <x:v>Chassis</x:v>
      </x:c>
      <x:c r="C4" s="124" t="str">
        <x:v>Wheel speed pair C/D</x:v>
      </x:c>
      <x:c r="D4" s="124" t="str">
        <x:v>Bytes 0-1 and 2-3, big-endian</x:v>
      </x:c>
      <x:c r="E4" s="124" t="str">
        <x:v>unsigned 16-bit each</x:v>
      </x:c>
      <x:c r="F4" s="124" t="str">
        <x:v>0.01 km/h/count</x:v>
      </x:c>
      <x:c r="G4" s="124" t="str">
        <x:v>Passive</x:v>
      </x:c>
      <x:c r="H4" s="124" t="str">
        <x:v>CONFIRMED BY CAPTURE</x:v>
      </x:c>
      <x:c r="I4" s="125" t="str">
        <x:v>Tracks 0x0B0 and stop; S22 supports the second wheel pair</x:v>
      </x:c>
    </x:row>
    <x:row r="5">
      <x:c r="A5" s="163" t="str">
        <x:v>0x120</x:v>
      </x:c>
      <x:c r="B5" s="124" t="str">
        <x:v>Hybrid / Gear</x:v>
      </x:c>
      <x:c r="C5" s="124" t="str">
        <x:v>Primary gear selector</x:v>
      </x:c>
      <x:c r="D5" s="124" t="str">
        <x:v>Byte 5</x:v>
      </x:c>
      <x:c r="E5" s="124" t="str">
        <x:v>0x10=P, 0x11=R, 0x12=N, 0x13=D, 0x14=B</x:v>
      </x:c>
      <x:c r="F5" s="124" t="str">
        <x:v>enumeration</x:v>
      </x:c>
      <x:c r="G5" s="124" t="str">
        <x:v>Passive</x:v>
      </x:c>
      <x:c r="H5" s="124" t="str">
        <x:v>CONFIRMED BY CAPTURE</x:v>
      </x:c>
      <x:c r="I5" s="125" t="str">
        <x:v>Earlier labeled exercise plus S0020 P/R/N/D sequence</x:v>
      </x:c>
    </x:row>
    <x:row r="6">
      <x:c r="A6" s="164" t="str">
        <x:v>0x2D0</x:v>
      </x:c>
      <x:c r="B6" s="165" t="str">
        <x:v>Hybrid / Gear</x:v>
      </x:c>
      <x:c r="C6" s="165" t="str">
        <x:v>Redundant gear selector</x:v>
      </x:c>
      <x:c r="D6" s="165" t="str">
        <x:v>Byte 2</x:v>
      </x:c>
      <x:c r="E6" s="165" t="str">
        <x:v>0x01=P, 0x02=R, 0x04=N, 0x10=D</x:v>
      </x:c>
      <x:c r="F6" s="165" t="str">
        <x:v>enumeration</x:v>
      </x:c>
      <x:c r="G6" s="165" t="str">
        <x:v>Passive</x:v>
      </x:c>
      <x:c r="H6" s="165" t="str">
        <x:v>PROBABLE</x:v>
      </x:c>
      <x:c r="I6" s="166" t="str">
        <x:v>S0020 state transitions match 0x120 P/R/N/D; S22 labels this ID unknown</x:v>
      </x:c>
    </x:row>
    <x:row r="7">
      <x:c r="A7" s="163" t="str">
        <x:v>0x230</x:v>
      </x:c>
      <x:c r="B7" s="124" t="str">
        <x:v>Brakes</x:v>
      </x:c>
      <x:c r="C7" s="124" t="str">
        <x:v>Service brake</x:v>
      </x:c>
      <x:c r="D7" s="124" t="str">
        <x:v>Byte 3 bit 2</x:v>
      </x:c>
      <x:c r="E7" s="124" t="str">
        <x:v>0/1</x:v>
      </x:c>
      <x:c r="F7" s="124" t="str">
        <x:v>boolean</x:v>
      </x:c>
      <x:c r="G7" s="124" t="str">
        <x:v>Passive</x:v>
      </x:c>
      <x:c r="H7" s="124" t="str">
        <x:v>CONFIRMED BY CAPTURE</x:v>
      </x:c>
      <x:c r="I7" s="125" t="str">
        <x:v>Repeated brake presses; S22 contains matching brake semantics</x:v>
      </x:c>
    </x:row>
    <x:row r="8">
      <x:c r="A8" s="163" t="str">
        <x:v>0x230</x:v>
      </x:c>
      <x:c r="B8" s="124" t="str">
        <x:v>Brakes</x:v>
      </x:c>
      <x:c r="C8" s="124" t="str">
        <x:v>Parking brake</x:v>
      </x:c>
      <x:c r="D8" s="124" t="str">
        <x:v>Byte 3 bit 0</x:v>
      </x:c>
      <x:c r="E8" s="124" t="str">
        <x:v>0/1</x:v>
      </x:c>
      <x:c r="F8" s="124" t="str">
        <x:v>boolean</x:v>
      </x:c>
      <x:c r="G8" s="124" t="str">
        <x:v>Passive</x:v>
      </x:c>
      <x:c r="H8" s="124" t="str">
        <x:v>CONFIRMED BY CAPTURE</x:v>
      </x:c>
      <x:c r="I8" s="125" t="str">
        <x:v>Repeated parking-brake changes</x:v>
      </x:c>
    </x:row>
    <x:row r="9">
      <x:c r="A9" s="164" t="str">
        <x:v>0x2C4</x:v>
      </x:c>
      <x:c r="B9" s="165" t="str">
        <x:v>Engine</x:v>
      </x:c>
      <x:c r="C9" s="165" t="str">
        <x:v>ICE engine speed</x:v>
      </x:c>
      <x:c r="D9" s="165" t="str">
        <x:v>Bytes 0-1, big-endian</x:v>
      </x:c>
      <x:c r="E9" s="165" t="str">
        <x:v>unsigned 16-bit</x:v>
      </x:c>
      <x:c r="F9" s="165" t="str">
        <x:v>1 rpm/count</x:v>
      </x:c>
      <x:c r="G9" s="165" t="str">
        <x:v>Passive</x:v>
      </x:c>
      <x:c r="H9" s="165" t="str">
        <x:v>PROBABLE</x:v>
      </x:c>
      <x:c r="I9" s="166" t="str">
        <x:v>S0018-S0020 range 0-1886 with ICE off/on behavior; S22 identifies first 16 bits as engine speed</x:v>
      </x:c>
    </x:row>
    <x:row r="10">
      <x:c r="A10" s="164" t="str">
        <x:v>0x3B9</x:v>
      </x:c>
      <x:c r="B10" s="165" t="str">
        <x:v>Engine</x:v>
      </x:c>
      <x:c r="C10" s="165" t="str">
        <x:v>Engine coolant temperature</x:v>
      </x:c>
      <x:c r="D10" s="165" t="str">
        <x:v>Byte 0</x:v>
      </x:c>
      <x:c r="E10" s="165" t="str">
        <x:v>unsigned 8-bit</x:v>
      </x:c>
      <x:c r="F10" s="165" t="str">
        <x:v>1 degC/count</x:v>
      </x:c>
      <x:c r="G10" s="165" t="str">
        <x:v>Passive</x:v>
      </x:c>
      <x:c r="H10" s="165" t="str">
        <x:v>PROBABLE</x:v>
      </x:c>
      <x:c r="I10" s="166" t="str">
        <x:v>Warmup signature 41 to 89 then 86 degC across S0018-S0020; needs independent scan-tool comparison</x:v>
      </x:c>
    </x:row>
    <x:row r="11">
      <x:c r="A11" s="163" t="str">
        <x:v>0x380</x:v>
      </x:c>
      <x:c r="B11" s="124" t="str">
        <x:v>HVAC</x:v>
      </x:c>
      <x:c r="C11" s="124" t="str">
        <x:v>HVAC / A-C state flags</x:v>
      </x:c>
      <x:c r="D11" s="124" t="str">
        <x:v>Byte 2</x:v>
      </x:c>
      <x:c r="E11" s="124" t="str">
        <x:v>bitfield</x:v>
      </x:c>
      <x:c r="F11" s="124" t="str">
        <x:v>bit meanings incomplete</x:v>
      </x:c>
      <x:c r="G11" s="124" t="str">
        <x:v>Passive</x:v>
      </x:c>
      <x:c r="H11" s="124" t="str">
        <x:v>EMPIRICALLY SUPPORTED / HIGH</x:v>
      </x:c>
      <x:c r="I11" s="125" t="str">
        <x:v>Narrated HVAC activation; S22 also identifies 0x380 as AirCon</x:v>
      </x:c>
    </x:row>
    <x:row r="12">
      <x:c r="A12" s="163" t="str">
        <x:v>0x381</x:v>
      </x:c>
      <x:c r="B12" s="124" t="str">
        <x:v>HVAC</x:v>
      </x:c>
      <x:c r="C12" s="124" t="str">
        <x:v>Blower level</x:v>
      </x:c>
      <x:c r="D12" s="124" t="str">
        <x:v>Byte 2</x:v>
      </x:c>
      <x:c r="E12" s="124" t="str">
        <x:v>0-7</x:v>
      </x:c>
      <x:c r="F12" s="124" t="str">
        <x:v>level</x:v>
      </x:c>
      <x:c r="G12" s="124" t="str">
        <x:v>Passive</x:v>
      </x:c>
      <x:c r="H12" s="124" t="str">
        <x:v>CONFIRMED BY CAPTURE</x:v>
      </x:c>
      <x:c r="I12" s="125" t="str">
        <x:v>Narrated fan steps; S22 places the frame in the same HVAC neighborhood</x:v>
      </x:c>
    </x:row>
    <x:row r="13">
      <x:c r="A13" s="163" t="str">
        <x:v>0x610</x:v>
      </x:c>
      <x:c r="B13" s="124" t="str">
        <x:v>Chassis</x:v>
      </x:c>
      <x:c r="C13" s="124" t="str">
        <x:v>Vehicle speed</x:v>
      </x:c>
      <x:c r="D13" s="124" t="str">
        <x:v>Byte 2</x:v>
      </x:c>
      <x:c r="E13" s="124" t="str">
        <x:v>unsigned 8-bit</x:v>
      </x:c>
      <x:c r="F13" s="124" t="str">
        <x:v>1 km/h/count</x:v>
      </x:c>
      <x:c r="G13" s="124" t="str">
        <x:v>Passive</x:v>
      </x:c>
      <x:c r="H13" s="124" t="str">
        <x:v>CONFIRMED BY CAPTURE</x:v>
      </x:c>
      <x:c r="I13" s="125" t="str">
        <x:v>AHV40 motion capture and exact S22 byte/unit corroboration</x:v>
      </x:c>
    </x:row>
    <x:row r="14">
      <x:c r="A14" s="172" t="str">
        <x:v>0x3B4</x:v>
      </x:c>
      <x:c r="B14" s="173" t="str">
        <x:v>Hybrid / Gear</x:v>
      </x:c>
      <x:c r="C14" s="173" t="str">
        <x:v>Secondary gear state</x:v>
      </x:c>
      <x:c r="D14" s="173" t="str">
        <x:v>Byte 4/5 bitfield</x:v>
      </x:c>
      <x:c r="E14" s="173" t="str">
        <x:v>P/R/N/D/B-related</x:v>
      </x:c>
      <x:c r="F14" s="173" t="str">
        <x:v>mapping incomplete</x:v>
      </x:c>
      <x:c r="G14" s="173" t="str">
        <x:v>Passive</x:v>
      </x:c>
      <x:c r="H14" s="173" t="str">
        <x:v>EMPIRICALLY SUPPORTED / HIGH</x:v>
      </x:c>
      <x:c r="I14" s="174" t="str">
        <x:v>Redundant gear correlation; S22 also labels PRND but does not finish the mapping</x:v>
      </x:c>
    </x:row>
  </x:sheetData>
  <x:pageMargins left="0.7" right="0.7" top="0.75" bottom="0.75" header="0.3" footer="0.3"/>
  <x:tableParts count="1">
    <x:tablePart xmlns:r="http://schemas.openxmlformats.org/officeDocument/2006/relationships" r:id="R4497edb980374c53"/>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32" hidden="0" customWidth="1"/>
    <x:col min="4" max="4" width="28" hidden="0" customWidth="1"/>
    <x:col min="5" max="5" width="38" hidden="0" customWidth="1"/>
    <x:col min="6" max="6" width="14" hidden="0" customWidth="1"/>
    <x:col min="7" max="7" width="38" hidden="0" customWidth="1"/>
    <x:col min="8" max="8" width="82" hidden="0" customWidth="1"/>
    <x:col min="9" max="9" width="30" hidden="0" customWidth="1"/>
  </x:cols>
  <x:sheetData>
    <x:row r="1" ht="34" customHeight="1">
      <x:c r="A1" s="118" t="str">
        <x:v>Acquisition</x:v>
      </x:c>
      <x:c r="B1" s="119" t="str">
        <x:v>Request / CAN ID</x:v>
      </x:c>
      <x:c r="C1" s="119" t="str">
        <x:v>Signal</x:v>
      </x:c>
      <x:c r="D1" s="119" t="str">
        <x:v>Field / Encoding</x:v>
      </x:c>
      <x:c r="E1" s="119" t="str">
        <x:v>Formula</x:v>
      </x:c>
      <x:c r="F1" s="119" t="str">
        <x:v>Unit</x:v>
      </x:c>
      <x:c r="G1" s="119" t="str">
        <x:v>Confidence</x:v>
      </x:c>
      <x:c r="H1" s="119" t="str">
        <x:v>S0034 Validation</x:v>
      </x:c>
      <x:c r="I1" s="120" t="str">
        <x:v>Safety Class</x:v>
      </x:c>
    </x:row>
    <x:row r="2">
      <x:c r="A2" s="163" t="str">
        <x:v>Passive</x:v>
      </x:c>
      <x:c r="B2" s="124" t="str">
        <x:v>0x3CB</x:v>
      </x:c>
      <x:c r="C2" s="124" t="str">
        <x:v>HV state of charge</x:v>
      </x:c>
      <x:c r="D2" s="124" t="str">
        <x:v>Byte 3</x:v>
      </x:c>
      <x:c r="E2" s="124" t="str">
        <x:v>B3 * 0.5</x:v>
      </x:c>
      <x:c r="F2" s="124" t="str">
        <x:v>%</x:v>
      </x:c>
      <x:c r="G2" s="124" t="str">
        <x:v>CONFIRMED</x:v>
      </x:c>
      <x:c r="H2" s="124" t="str">
        <x:v>354/354 time-nearest pairs exactly matched diagnostic 21CE; screen SOC was within 1 point in 30/30 samples</x:v>
      </x:c>
      <x:c r="I2" s="125" t="str">
        <x:v>PASSIVE_BROADCAST</x:v>
      </x:c>
    </x:row>
    <x:row r="3">
      <x:c r="A3" s="163" t="str">
        <x:v>Diagnostic</x:v>
      </x:c>
      <x:c r="B3" s="124" t="str">
        <x:v>7E3/7EB 21CE</x:v>
      </x:c>
      <x:c r="C3" s="124" t="str">
        <x:v>HV state of charge</x:v>
      </x:c>
      <x:c r="D3" s="124" t="str">
        <x:v>Data A</x:v>
      </x:c>
      <x:c r="E3" s="124" t="str">
        <x:v>A * 0.5</x:v>
      </x:c>
      <x:c r="F3" s="124" t="str">
        <x:v>%</x:v>
      </x:c>
      <x:c r="G3" s="124" t="str">
        <x:v>CONFIRMED</x:v>
      </x:c>
      <x:c r="H3" s="124" t="str">
        <x:v>Exact agreement with passive 0x3CB in 354/354 pairs; Hybrid Assistant within 1 point in 30/30 samples</x:v>
      </x:c>
      <x:c r="I3" s="125" t="str">
        <x:v>READ_ONLY_DIAGNOSTIC</x:v>
      </x:c>
    </x:row>
    <x:row r="4">
      <x:c r="A4" s="163" t="str">
        <x:v>Diagnostic</x:v>
      </x:c>
      <x:c r="B4" s="124" t="str">
        <x:v>7E0/7E8 0105</x:v>
      </x:c>
      <x:c r="C4" s="124" t="str">
        <x:v>Engine coolant</x:v>
      </x:c>
      <x:c r="D4" s="124" t="str">
        <x:v>Data A</x:v>
      </x:c>
      <x:c r="E4" s="124" t="str">
        <x:v>(A - 40) * 1.8 + 32</x:v>
      </x:c>
      <x:c r="F4" s="124" t="str">
        <x:v>degF</x:v>
      </x:c>
      <x:c r="G4" s="124" t="str">
        <x:v>CONFIRMED</x:v>
      </x:c>
      <x:c r="H4" s="124" t="str">
        <x:v>30 screen/CAN pairs; median absolute error 0.8 F, p95 2.4 F</x:v>
      </x:c>
      <x:c r="I4" s="125" t="str">
        <x:v>READ_ONLY_DIAGNOSTIC</x:v>
      </x:c>
    </x:row>
    <x:row r="5">
      <x:c r="A5" s="164" t="str">
        <x:v>Diagnostic</x:v>
      </x:c>
      <x:c r="B5" s="165" t="str">
        <x:v>7E0/7E8 010F</x:v>
      </x:c>
      <x:c r="C5" s="165" t="str">
        <x:v>Engine intake-air temperature</x:v>
      </x:c>
      <x:c r="D5" s="165" t="str">
        <x:v>Data A</x:v>
      </x:c>
      <x:c r="E5" s="165" t="str">
        <x:v>(A - 40) * 1.8 + 32</x:v>
      </x:c>
      <x:c r="F5" s="165" t="str">
        <x:v>degF</x:v>
      </x:c>
      <x:c r="G5" s="165" t="str">
        <x:v>PROBABLE</x:v>
      </x:c>
      <x:c r="H5" s="165" t="str">
        <x:v>SAE formula retained; the second Hybrid Assistant thermometer diverged and was not treated as an intake-air reference</x:v>
      </x:c>
      <x:c r="I5" s="166" t="str">
        <x:v>READ_ONLY_DIAGNOSTIC</x:v>
      </x:c>
    </x:row>
    <x:row r="6">
      <x:c r="A6" s="164" t="str">
        <x:v>Diagnostic</x:v>
      </x:c>
      <x:c r="B6" s="165" t="str">
        <x:v>7E0/7E8 013C</x:v>
      </x:c>
      <x:c r="C6" s="165" t="str">
        <x:v>Catalyst B1S1 temperature</x:v>
      </x:c>
      <x:c r="D6" s="165" t="str">
        <x:v>Data A:B, big-endian</x:v>
      </x:c>
      <x:c r="E6" s="165" t="str">
        <x:v>((A*256+B)/10 - 40) * 1.8 + 32</x:v>
      </x:c>
      <x:c r="F6" s="165" t="str">
        <x:v>degF</x:v>
      </x:c>
      <x:c r="G6" s="165" t="str">
        <x:v>PROBABLE</x:v>
      </x:c>
      <x:c r="H6" s="165" t="str">
        <x:v>Read successfully in S0034 but not independently visible in the supplied Hybrid Assistant screen</x:v>
      </x:c>
      <x:c r="I6" s="166" t="str">
        <x:v>READ_ONLY_DIAGNOSTIC</x:v>
      </x:c>
    </x:row>
    <x:row r="7">
      <x:c r="A7" s="163" t="str">
        <x:v>Diagnostic</x:v>
      </x:c>
      <x:c r="B7" s="124" t="str">
        <x:v>7E2/7EA 21C3</x:v>
      </x:c>
      <x:c r="C7" s="124" t="str">
        <x:v>Engine RPM</x:v>
      </x:c>
      <x:c r="D7" s="124" t="str">
        <x:v>Data O:P, big-endian</x:v>
      </x:c>
      <x:c r="E7" s="124" t="str">
        <x:v>word(O:P)</x:v>
      </x:c>
      <x:c r="F7" s="124" t="str">
        <x:v>rpm</x:v>
      </x:c>
      <x:c r="G7" s="124" t="str">
        <x:v>CONFIRMED / TIMING-LIMITED</x:v>
      </x:c>
      <x:c r="H7" s="124" t="str">
        <x:v>30 pairs; median error 32 rpm and 26/30 within 80 rpm despite asynchronous display/query timing</x:v>
      </x:c>
      <x:c r="I7" s="125" t="str">
        <x:v>READ_ONLY_DIAGNOSTIC</x:v>
      </x:c>
    </x:row>
    <x:row r="8">
      <x:c r="A8" s="163" t="str">
        <x:v>Diagnostic</x:v>
      </x:c>
      <x:c r="B8" s="124" t="str">
        <x:v>7E2/7EA 21C3</x:v>
      </x:c>
      <x:c r="C8" s="124" t="str">
        <x:v>MG inverter temperature pair</x:v>
      </x:c>
      <x:c r="D8" s="124" t="str">
        <x:v>Data Y and Z</x:v>
      </x:c>
      <x:c r="E8" s="124" t="str">
        <x:v>byte * 1.8 - 58</x:v>
      </x:c>
      <x:c r="F8" s="124" t="str">
        <x:v>degF</x:v>
      </x:c>
      <x:c r="G8" s="124" t="str">
        <x:v>CONFIRMED AS PAIR; INDIVIDUAL LABELS PROBABLE</x:v>
      </x:c>
      <x:c r="H8" s="124" t="str">
        <x:v>Hybrid Assistant maximum vs max(Y,Z): 30 pairs, median error 0.6 F, p95 3.2 F</x:v>
      </x:c>
      <x:c r="I8" s="125" t="str">
        <x:v>READ_ONLY_DIAGNOSTIC</x:v>
      </x:c>
    </x:row>
    <x:row r="9">
      <x:c r="A9" s="163" t="str">
        <x:v>Diagnostic</x:v>
      </x:c>
      <x:c r="B9" s="124" t="str">
        <x:v>7E2/7EA 21C3</x:v>
      </x:c>
      <x:c r="C9" s="124" t="str">
        <x:v>MG stator temperature pair</x:v>
      </x:c>
      <x:c r="D9" s="124" t="str">
        <x:v>Data AA and AB</x:v>
      </x:c>
      <x:c r="E9" s="124" t="str">
        <x:v>byte * 1.8 - 58</x:v>
      </x:c>
      <x:c r="F9" s="124" t="str">
        <x:v>degF</x:v>
      </x:c>
      <x:c r="G9" s="124" t="str">
        <x:v>CONFIRMED AS PAIR; INDIVIDUAL LABELS PROBABLE</x:v>
      </x:c>
      <x:c r="H9" s="124" t="str">
        <x:v>Hybrid Assistant maximum vs max(AA,AB): 30/30 within 2 F; median error 0.4 F</x:v>
      </x:c>
      <x:c r="I9" s="125" t="str">
        <x:v>READ_ONLY_DIAGNOSTIC</x:v>
      </x:c>
    </x:row>
    <x:row r="10">
      <x:c r="A10" s="163" t="str">
        <x:v>Diagnostic</x:v>
      </x:c>
      <x:c r="B10" s="124" t="str">
        <x:v>7E3/7EB 21CF</x:v>
      </x:c>
      <x:c r="C10" s="124" t="str">
        <x:v>HV battery intake temperature</x:v>
      </x:c>
      <x:c r="D10" s="124" t="str">
        <x:v>Data A:B, big-endian</x:v>
      </x:c>
      <x:c r="E10" s="124" t="str">
        <x:v>word(A:B) * 9/500 - 557.824</x:v>
      </x:c>
      <x:c r="F10" s="124" t="str">
        <x:v>degF</x:v>
      </x:c>
      <x:c r="G10" s="124" t="str">
        <x:v>CONFIRMED</x:v>
      </x:c>
      <x:c r="H10" s="124" t="str">
        <x:v>30 pairs; median error 1.4 F and 27/30 within 2 F</x:v>
      </x:c>
      <x:c r="I10" s="125" t="str">
        <x:v>READ_ONLY_DIAGNOSTIC</x:v>
      </x:c>
    </x:row>
    <x:row r="11">
      <x:c r="A11" s="164" t="str">
        <x:v>Diagnostic</x:v>
      </x:c>
      <x:c r="B11" s="165" t="str">
        <x:v>7E3/7EB 21CF</x:v>
      </x:c>
      <x:c r="C11" s="165" t="str">
        <x:v>HV battery temperature sensor 1</x:v>
      </x:c>
      <x:c r="D11" s="165" t="str">
        <x:v>Data K:L, big-endian</x:v>
      </x:c>
      <x:c r="E11" s="165" t="str">
        <x:v>word(K:L) * 9/500 - 557.824</x:v>
      </x:c>
      <x:c r="F11" s="165" t="str">
        <x:v>degF</x:v>
      </x:c>
      <x:c r="G11" s="165" t="str">
        <x:v>PROBABLE</x:v>
      </x:c>
      <x:c r="H11" s="165" t="str">
        <x:v>Plausible capture behavior; Hybrid Assistant did not expose an unambiguous individual sensor label</x:v>
      </x:c>
      <x:c r="I11" s="166" t="str">
        <x:v>READ_ONLY_DIAGNOSTIC</x:v>
      </x:c>
    </x:row>
    <x:row r="12">
      <x:c r="A12" s="163" t="str">
        <x:v>Diagnostic</x:v>
      </x:c>
      <x:c r="B12" s="124" t="str">
        <x:v>7E3/7EB 21CF</x:v>
      </x:c>
      <x:c r="C12" s="124" t="str">
        <x:v>HV battery temperature sensor 2</x:v>
      </x:c>
      <x:c r="D12" s="124" t="str">
        <x:v>Data M:N, big-endian</x:v>
      </x:c>
      <x:c r="E12" s="124" t="str">
        <x:v>word(M:N) * 9/500 - 557.824</x:v>
      </x:c>
      <x:c r="F12" s="124" t="str">
        <x:v>degF</x:v>
      </x:c>
      <x:c r="G12" s="124" t="str">
        <x:v>CONFIRMED</x:v>
      </x:c>
      <x:c r="H12" s="124" t="str">
        <x:v>29 screen/CAN pairs; median error 0.4 F and maximum error 1.1 F</x:v>
      </x:c>
      <x:c r="I12" s="125" t="str">
        <x:v>READ_ONLY_DIAGNOSTIC</x:v>
      </x:c>
    </x:row>
    <x:row r="13">
      <x:c r="A13" s="164" t="str">
        <x:v>Diagnostic</x:v>
      </x:c>
      <x:c r="B13" s="165" t="str">
        <x:v>7E3/7EB 21CF</x:v>
      </x:c>
      <x:c r="C13" s="165" t="str">
        <x:v>HV battery temperature sensor 3</x:v>
      </x:c>
      <x:c r="D13" s="165" t="str">
        <x:v>Data O:P, big-endian</x:v>
      </x:c>
      <x:c r="E13" s="165" t="str">
        <x:v>word(O:P) * 9/500 - 557.824</x:v>
      </x:c>
      <x:c r="F13" s="165" t="str">
        <x:v>degF</x:v>
      </x:c>
      <x:c r="G13" s="165" t="str">
        <x:v>PROBABLE</x:v>
      </x:c>
      <x:c r="H13" s="165" t="str">
        <x:v>Plausible capture behavior; individual-screen semantic not established</x:v>
      </x:c>
      <x:c r="I13" s="166" t="str">
        <x:v>READ_ONLY_DIAGNOSTIC</x:v>
      </x:c>
    </x:row>
    <x:row r="14">
      <x:c r="A14" s="172" t="str">
        <x:v>Diagnostic</x:v>
      </x:c>
      <x:c r="B14" s="173" t="str">
        <x:v>7E3/7EB 21CF</x:v>
      </x:c>
      <x:c r="C14" s="173" t="str">
        <x:v>Battery cooling fan level</x:v>
      </x:c>
      <x:c r="D14" s="173" t="str">
        <x:v>Data I</x:v>
      </x:c>
      <x:c r="E14" s="173" t="str">
        <x:v>I</x:v>
      </x:c>
      <x:c r="F14" s="173" t="str">
        <x:v>level 0-6</x:v>
      </x:c>
      <x:c r="G14" s="173" t="str">
        <x:v>CONFIRMED</x:v>
      </x:c>
      <x:c r="H14" s="173" t="str">
        <x:v>30/30 screen/CAN samples matched exactly, including the level 6 to level 1 transition</x:v>
      </x:c>
      <x:c r="I14" s="174" t="str">
        <x:v>READ_ONLY_DIAGNOSTIC</x:v>
      </x:c>
    </x:row>
  </x:sheetData>
  <x:pageMargins left="0.7" right="0.7" top="0.75" bottom="0.75" header="0.3" footer="0.3"/>
  <x:tableParts count="1">
    <x:tablePart xmlns:r="http://schemas.openxmlformats.org/officeDocument/2006/relationships" r:id="Rf7ec8c287a9a441e"/>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50" hidden="0" customWidth="1"/>
    <x:col min="4" max="4" width="88" hidden="0" customWidth="1"/>
  </x:cols>
  <x:sheetData>
    <x:row r="1" ht="34" customHeight="1">
      <x:c r="A1" s="118" t="str">
        <x:v>Area</x:v>
      </x:c>
      <x:c r="B1" s="119" t="str">
        <x:v>Metric</x:v>
      </x:c>
      <x:c r="C1" s="119" t="str">
        <x:v>Value</x:v>
      </x:c>
      <x:c r="D1" s="120" t="str">
        <x:v>Interpretation</x:v>
      </x:c>
    </x:row>
    <x:row r="2">
      <x:c r="A2" s="106" t="str">
        <x:v>Capture</x:v>
      </x:c>
      <x:c r="B2" s="107" t="str">
        <x:v>Vehicle / session</x:v>
      </x:c>
      <x:c r="C2" s="107" t="str">
        <x:v>2004 Prius Gen 2 / S0034</x:v>
      </x:c>
      <x:c r="D2" s="108" t="str">
        <x:v>Logger profile PRIUS GEN 2, confidence 85%, NHW20 candidate</x:v>
      </x:c>
    </x:row>
    <x:row r="3">
      <x:c r="A3" s="106" t="str">
        <x:v>Capture</x:v>
      </x:c>
      <x:c r="B3" s="107" t="str">
        <x:v>Firmware / mode</x:v>
      </x:c>
      <x:c r="C3" s="107" t="str">
        <x:v>v2.3.0 / TWAI NORMAL</x:v>
      </x:c>
      <x:c r="D3" s="108" t="str">
        <x:v>GPIO25 TX, GPIO32 RX, 500 kbit/s, SN65HVD230/VP230</x:v>
      </x:c>
    </x:row>
    <x:row r="4">
      <x:c r="A4" s="106" t="str">
        <x:v>Capture</x:v>
      </x:c>
      <x:c r="B4" s="107" t="str">
        <x:v>Binary raw records</x:v>
      </x:c>
      <x:c r="C4" s="107" t="n">
        <x:v>1583358</x:v>
      </x:c>
      <x:c r="D4" s="108" t="str">
        <x:v>1,578,100 RX plus 5,258 TX records across two valid TCB1 files; 0 malformed records</x:v>
      </x:c>
    </x:row>
    <x:row r="5">
      <x:c r="A5" s="106" t="str">
        <x:v>Capture</x:v>
      </x:c>
      <x:c r="B5" s="107" t="str">
        <x:v>Raw duration</x:v>
      </x:c>
      <x:c r="C5" s="107" t="n">
        <x:v>902.464</x:v>
      </x:c>
      <x:c r="D5" s="108" t="str">
        <x:v>First through last TCB record; 64 standard CAN IDs</x:v>
      </x:c>
    </x:row>
    <x:row r="6">
      <x:c r="A6" s="106" t="str">
        <x:v>Capture</x:v>
      </x:c>
      <x:c r="B6" s="107" t="str">
        <x:v>Close / SD drops</x:v>
      </x:c>
      <x:c r="C6" s="107" t="str">
        <x:v>Clean / 0</x:v>
      </x:c>
      <x:c r="D6" s="108" t="str">
        <x:v>Manifest reports a clean close and zero SD-log drops</x:v>
      </x:c>
    </x:row>
    <x:row r="7">
      <x:c r="A7" s="106" t="str">
        <x:v>Diagnostics</x:v>
      </x:c>
      <x:c r="B7" s="107" t="str">
        <x:v>Transactions</x:v>
      </x:c>
      <x:c r="C7" s="107" t="n">
        <x:v>3209</x:v>
      </x:c>
      <x:c r="D7" s="108" t="str">
        <x:v>3,166 OK and 43 UNEXPECTED_RESPONSE; zero timeouts and zero negative responses</x:v>
      </x:c>
    </x:row>
    <x:row r="8">
      <x:c r="A8" s="106" t="str">
        <x:v>Diagnostics</x:v>
      </x:c>
      <x:c r="B8" s="107" t="str">
        <x:v>Response latency</x:v>
      </x:c>
      <x:c r="C8" s="107" t="str">
        <x:v>median 15.856 ms; p95 69.845 ms; max 415.506 ms</x:v>
      </x:c>
      <x:c r="D8" s="108" t="str">
        <x:v>Read-only request set remained responsive during simultaneous Hybrid Assistant use</x:v>
      </x:c>
    </x:row>
    <x:row r="9">
      <x:c r="A9" s="106" t="str">
        <x:v>Diagnostics</x:v>
      </x:c>
      <x:c r="B9" s="107" t="str">
        <x:v>ISO-TP flow control</x:v>
      </x:c>
      <x:c r="C9" s="107" t="str">
        <x:v>2,052 frames; 0 failures</x:v>
      </x:c>
      <x:c r="D9" s="108" t="str">
        <x:v>Maximum flow-control path time 41 us; average 7.7 us</x:v>
      </x:c>
    </x:row>
    <x:row r="10">
      <x:c r="A10" s="164" t="str">
        <x:v>Coexistence</x:v>
      </x:c>
      <x:c r="B10" s="165" t="str">
        <x:v>Unexpected replies</x:v>
      </x:c>
      <x:c r="C10" s="165" t="str">
        <x:v>43 / 3,209 (1.34%)</x:v>
      </x:c>
      <x:c r="D10" s="166" t="str">
        <x:v>Valid replies to another tester were received while the logger awaited a different PID; this is parser classification, not an ECU timeout</x:v>
      </x:c>
    </x:row>
    <x:row r="11">
      <x:c r="A11" s="164" t="str">
        <x:v>Coexistence</x:v>
      </x:c>
      <x:c r="B11" s="165" t="str">
        <x:v>Recommended parser behavior</x:v>
      </x:c>
      <x:c r="C11" s="165" t="str">
        <x:v>EXTERNAL_DIAGNOSTIC_TRAFFIC</x:v>
      </x:c>
      <x:c r="D11" s="166" t="str">
        <x:v>Record unmatched valid replies as observer traffic and keep the logger's active transaction open until its matching reply or timeout</x:v>
      </x:c>
    </x:row>
    <x:row r="12">
      <x:c r="A12" s="106" t="str">
        <x:v>CAN health</x:v>
      </x:c>
      <x:c r="B12" s="107" t="str">
        <x:v>TWAI counters</x:v>
      </x:c>
      <x:c r="C12" s="107" t="str">
        <x:v>0 RX missed; 0 overrun; 0 TX failed; 0 bus-off</x:v>
      </x:c>
      <x:c r="D12" s="108" t="str">
        <x:v>Manifest also reports 2,705 arbitration losses and 60 bus errors since boot</x:v>
      </x:c>
    </x:row>
    <x:row r="13">
      <x:c r="A13" s="106" t="str">
        <x:v>Logger queues</x:v>
      </x:c>
      <x:c r="B13" s="107" t="str">
        <x:v>Since-boot counters</x:v>
      </x:c>
      <x:c r="C13" s="107" t="str">
        <x:v>2,055 CAN queue drops; 12 diagnostic queue drops</x:v>
      </x:c>
      <x:c r="D13" s="108" t="str">
        <x:v>Raw capture itself reports 0 SD drops; since-boot counters may include time outside the session</x:v>
      </x:c>
    </x:row>
    <x:row r="14">
      <x:c r="A14" s="106" t="str">
        <x:v>Alignment</x:v>
      </x:c>
      <x:c r="B14" s="107" t="str">
        <x:v>Video-to-logger transform</x:v>
      </x:c>
      <x:c r="C14" s="107" t="str">
        <x:v>video_s = (CAN_us - 140812669)/1e6 + 70.8</x:v>
      </x:c>
      <x:c r="D14" s="108" t="str">
        <x:v>Estimated uncertainty plus/minus 1.5 s; binary engine-state cross-correlation accuracy 99.1%</x:v>
      </x:c>
    </x:row>
    <x:row r="15">
      <x:c r="A15" s="106" t="str">
        <x:v>Alignment</x:v>
      </x:c>
      <x:c r="B15" s="107" t="str">
        <x:v>Independent screen samples</x:v>
      </x:c>
      <x:c r="C15" s="107" t="n">
        <x:v>30</x:v>
      </x:c>
      <x:c r="D15" s="108" t="str">
        <x:v>Exact video frames at 30-second intervals from 90 through 960 seconds</x:v>
      </x:c>
    </x:row>
    <x:row r="16">
      <x:c r="A16" s="164" t="str">
        <x:v>Narration</x:v>
      </x:c>
      <x:c r="B16" s="165" t="str">
        <x:v>Audio track</x:v>
      </x:c>
      <x:c r="C16" s="165" t="str">
        <x:v>Retained; transcript pending</x:v>
      </x:c>
      <x:c r="D16" s="166" t="str">
        <x:v>No voice-derived event was promoted because speech transcription was unavailable in this processing pass</x:v>
      </x:c>
    </x:row>
    <x:row r="17">
      <x:c r="A17" s="172" t="str">
        <x:v>Safety</x:v>
      </x:c>
      <x:c r="B17" s="173" t="str">
        <x:v>Control commands</x:v>
      </x:c>
      <x:c r="C17" s="173" t="str">
        <x:v>Disabled</x:v>
      </x:c>
      <x:c r="D17" s="174" t="str">
        <x:v>No fan-control, actuator, write, clear, reset or coding commands were sent</x:v>
      </x:c>
    </x:row>
  </x:sheetData>
  <x:pageMargins left="0.7" right="0.7" top="0.75" bottom="0.75" header="0.3" footer="0.3"/>
  <x:tableParts count="1">
    <x:tablePart xmlns:r="http://schemas.openxmlformats.org/officeDocument/2006/relationships" r:id="Re21fc65279cd4f3f"/>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3" hidden="0" customWidth="1"/>
    <x:col min="4" max="4" width="17" hidden="0" customWidth="1"/>
    <x:col min="5" max="5" width="17" hidden="0" customWidth="1"/>
    <x:col min="6" max="6" width="21" hidden="0" customWidth="1"/>
    <x:col min="7" max="7" width="16" hidden="0" customWidth="1"/>
    <x:col min="8" max="8" width="18" hidden="0" customWidth="1"/>
    <x:col min="9" max="9" width="21" hidden="0" customWidth="1"/>
    <x:col min="10" max="10" width="22" hidden="0" customWidth="1"/>
    <x:col min="11" max="11" width="23" hidden="0" customWidth="1"/>
    <x:col min="12" max="12" width="27" hidden="0" customWidth="1"/>
    <x:col min="13" max="13" width="20" hidden="0" customWidth="1"/>
    <x:col min="14" max="14" width="21" hidden="0" customWidth="1"/>
    <x:col min="15" max="15" width="14" hidden="0" customWidth="1"/>
    <x:col min="16" max="16" width="18" hidden="0" customWidth="1"/>
    <x:col min="17" max="17" width="22" hidden="0" customWidth="1"/>
    <x:col min="18" max="18" width="12" hidden="0" customWidth="1"/>
    <x:col min="19" max="19" width="18" hidden="0" customWidth="1"/>
    <x:col min="20" max="20" width="24" hidden="0" customWidth="1"/>
  </x:cols>
  <x:sheetData>
    <x:row r="1" ht="34" customHeight="1">
      <x:c r="A1" s="118" t="str">
        <x:v>Video s</x:v>
      </x:c>
      <x:c r="B1" s="119" t="str">
        <x:v>Logger target us</x:v>
      </x:c>
      <x:c r="C1" s="119" t="str">
        <x:v>HA RPM</x:v>
      </x:c>
      <x:c r="D1" s="119" t="str">
        <x:v>CAN 21C3 RPM</x:v>
      </x:c>
      <x:c r="E1" s="119" t="str">
        <x:v>HA Coolant F</x:v>
      </x:c>
      <x:c r="F1" s="119" t="str">
        <x:v>CAN 0105 Coolant F</x:v>
      </x:c>
      <x:c r="G1" s="119" t="str">
        <x:v>HA MG Max F</x:v>
      </x:c>
      <x:c r="H1" s="119" t="str">
        <x:v>CAN MG Max F</x:v>
      </x:c>
      <x:c r="I1" s="119" t="str">
        <x:v>HA Inverter Max F</x:v>
      </x:c>
      <x:c r="J1" s="119" t="str">
        <x:v>CAN Inverter Max F</x:v>
      </x:c>
      <x:c r="K1" s="119" t="str">
        <x:v>HA Battery Intake F</x:v>
      </x:c>
      <x:c r="L1" s="119" t="str">
        <x:v>CAN 21CF A:B Intake F</x:v>
      </x:c>
      <x:c r="M1" s="119" t="str">
        <x:v>HA Battery Temp F</x:v>
      </x:c>
      <x:c r="N1" s="119" t="str">
        <x:v>CAN 21CF M:N F</x:v>
      </x:c>
      <x:c r="O1" s="119" t="str">
        <x:v>HA SOC %</x:v>
      </x:c>
      <x:c r="P1" s="119" t="str">
        <x:v>CAN 21CE SOC %</x:v>
      </x:c>
      <x:c r="Q1" s="119" t="str">
        <x:v>Passive 0x3CB SOC %</x:v>
      </x:c>
      <x:c r="R1" s="119" t="str">
        <x:v>HA Fan</x:v>
      </x:c>
      <x:c r="S1" s="119" t="str">
        <x:v>CAN 21CF I Fan</x:v>
      </x:c>
      <x:c r="T1" s="120" t="str">
        <x:v>Max abs diagnostic lag s</x:v>
      </x:c>
    </x:row>
    <x:row r="2">
      <x:c r="A2" s="181" t="n">
        <x:v>90</x:v>
      </x:c>
      <x:c r="B2" s="187" t="n">
        <x:v>160012669</x:v>
      </x:c>
      <x:c r="C2" s="182" t="n">
        <x:v>0</x:v>
      </x:c>
      <x:c r="D2" s="182" t="n">
        <x:v>0</x:v>
      </x:c>
      <x:c r="E2" s="182" t="n">
        <x:v>161</x:v>
      </x:c>
      <x:c r="F2" s="182" t="n">
        <x:v>159.8</x:v>
      </x:c>
      <x:c r="G2" s="182" t="n">
        <x:v>113</x:v>
      </x:c>
      <x:c r="H2" s="182" t="n">
        <x:v>113</x:v>
      </x:c>
      <x:c r="I2" s="182" t="n">
        <x:v>105</x:v>
      </x:c>
      <x:c r="J2" s="182" t="n">
        <x:v>105.8</x:v>
      </x:c>
      <x:c r="K2" s="182" t="n">
        <x:v>71</x:v>
      </x:c>
      <x:c r="L2" s="182" t="n">
        <x:v>72.7</x:v>
      </x:c>
      <x:c r="M2" s="182" t="str"/>
      <x:c r="N2" s="182" t="n">
        <x:v>99.8</x:v>
      </x:c>
      <x:c r="O2" s="182" t="n">
        <x:v>44</x:v>
      </x:c>
      <x:c r="P2" s="182" t="n">
        <x:v>44.5</x:v>
      </x:c>
      <x:c r="Q2" s="182" t="n">
        <x:v>44.5</x:v>
      </x:c>
      <x:c r="R2" s="182" t="n">
        <x:v>6</x:v>
      </x:c>
      <x:c r="S2" s="182" t="n">
        <x:v>6</x:v>
      </x:c>
      <x:c r="T2" s="189" t="n">
        <x:v>0.854</x:v>
      </x:c>
    </x:row>
    <x:row r="3">
      <x:c r="A3" s="181" t="n">
        <x:v>120</x:v>
      </x:c>
      <x:c r="B3" s="187" t="n">
        <x:v>190012669</x:v>
      </x:c>
      <x:c r="C3" s="182" t="n">
        <x:v>1220</x:v>
      </x:c>
      <x:c r="D3" s="182" t="n">
        <x:v>1184</x:v>
      </x:c>
      <x:c r="E3" s="182" t="n">
        <x:v>168</x:v>
      </x:c>
      <x:c r="F3" s="182" t="n">
        <x:v>168.8</x:v>
      </x:c>
      <x:c r="G3" s="182" t="n">
        <x:v>113</x:v>
      </x:c>
      <x:c r="H3" s="182" t="n">
        <x:v>113</x:v>
      </x:c>
      <x:c r="I3" s="182" t="n">
        <x:v>113</x:v>
      </x:c>
      <x:c r="J3" s="182" t="n">
        <x:v>113</x:v>
      </x:c>
      <x:c r="K3" s="182" t="n">
        <x:v>71</x:v>
      </x:c>
      <x:c r="L3" s="182" t="n">
        <x:v>72.7</x:v>
      </x:c>
      <x:c r="M3" s="182" t="n">
        <x:v>98</x:v>
      </x:c>
      <x:c r="N3" s="182" t="n">
        <x:v>98.6</x:v>
      </x:c>
      <x:c r="O3" s="182" t="n">
        <x:v>46</x:v>
      </x:c>
      <x:c r="P3" s="182" t="n">
        <x:v>46.5</x:v>
      </x:c>
      <x:c r="Q3" s="182" t="n">
        <x:v>46.5</x:v>
      </x:c>
      <x:c r="R3" s="182" t="n">
        <x:v>6</x:v>
      </x:c>
      <x:c r="S3" s="182" t="n">
        <x:v>6</x:v>
      </x:c>
      <x:c r="T3" s="189" t="n">
        <x:v>1.241</x:v>
      </x:c>
    </x:row>
    <x:row r="4">
      <x:c r="A4" s="181" t="n">
        <x:v>150</x:v>
      </x:c>
      <x:c r="B4" s="187" t="n">
        <x:v>220012669</x:v>
      </x:c>
      <x:c r="C4" s="182" t="n">
        <x:v>2010</x:v>
      </x:c>
      <x:c r="D4" s="182" t="n">
        <x:v>1952</x:v>
      </x:c>
      <x:c r="E4" s="182" t="n">
        <x:v>174</x:v>
      </x:c>
      <x:c r="F4" s="182" t="n">
        <x:v>176</x:v>
      </x:c>
      <x:c r="G4" s="182" t="n">
        <x:v>114</x:v>
      </x:c>
      <x:c r="H4" s="182" t="n">
        <x:v>114.8</x:v>
      </x:c>
      <x:c r="I4" s="182" t="n">
        <x:v>116</x:v>
      </x:c>
      <x:c r="J4" s="182" t="n">
        <x:v>118.4</x:v>
      </x:c>
      <x:c r="K4" s="182" t="n">
        <x:v>71</x:v>
      </x:c>
      <x:c r="L4" s="182" t="n">
        <x:v>72.7</x:v>
      </x:c>
      <x:c r="M4" s="182" t="n">
        <x:v>98</x:v>
      </x:c>
      <x:c r="N4" s="182" t="n">
        <x:v>97.6</x:v>
      </x:c>
      <x:c r="O4" s="182" t="n">
        <x:v>48</x:v>
      </x:c>
      <x:c r="P4" s="182" t="n">
        <x:v>48.5</x:v>
      </x:c>
      <x:c r="Q4" s="182" t="n">
        <x:v>48.5</x:v>
      </x:c>
      <x:c r="R4" s="182" t="n">
        <x:v>6</x:v>
      </x:c>
      <x:c r="S4" s="182" t="n">
        <x:v>6</x:v>
      </x:c>
      <x:c r="T4" s="189" t="n">
        <x:v>1.02</x:v>
      </x:c>
    </x:row>
    <x:row r="5">
      <x:c r="A5" s="181" t="n">
        <x:v>180</x:v>
      </x:c>
      <x:c r="B5" s="187" t="n">
        <x:v>250012669</x:v>
      </x:c>
      <x:c r="C5" s="182" t="n">
        <x:v>1820</x:v>
      </x:c>
      <x:c r="D5" s="182" t="n">
        <x:v>1824</x:v>
      </x:c>
      <x:c r="E5" s="182" t="n">
        <x:v>186</x:v>
      </x:c>
      <x:c r="F5" s="182" t="n">
        <x:v>188.6</x:v>
      </x:c>
      <x:c r="G5" s="182" t="n">
        <x:v>116</x:v>
      </x:c>
      <x:c r="H5" s="182" t="n">
        <x:v>116.6</x:v>
      </x:c>
      <x:c r="I5" s="182" t="n">
        <x:v>114</x:v>
      </x:c>
      <x:c r="J5" s="182" t="n">
        <x:v>114.8</x:v>
      </x:c>
      <x:c r="K5" s="182" t="n">
        <x:v>71</x:v>
      </x:c>
      <x:c r="L5" s="182" t="n">
        <x:v>72.4</x:v>
      </x:c>
      <x:c r="M5" s="182" t="n">
        <x:v>96</x:v>
      </x:c>
      <x:c r="N5" s="182" t="n">
        <x:v>97</x:v>
      </x:c>
      <x:c r="O5" s="182" t="n">
        <x:v>50</x:v>
      </x:c>
      <x:c r="P5" s="182" t="n">
        <x:v>50.5</x:v>
      </x:c>
      <x:c r="Q5" s="182" t="n">
        <x:v>50.5</x:v>
      </x:c>
      <x:c r="R5" s="182" t="n">
        <x:v>6</x:v>
      </x:c>
      <x:c r="S5" s="182" t="n">
        <x:v>6</x:v>
      </x:c>
      <x:c r="T5" s="189" t="n">
        <x:v>1.145</x:v>
      </x:c>
    </x:row>
    <x:row r="6">
      <x:c r="A6" s="181" t="n">
        <x:v>210</x:v>
      </x:c>
      <x:c r="B6" s="187" t="n">
        <x:v>280012669</x:v>
      </x:c>
      <x:c r="C6" s="182" t="n">
        <x:v>0</x:v>
      </x:c>
      <x:c r="D6" s="182" t="n">
        <x:v>0</x:v>
      </x:c>
      <x:c r="E6" s="182" t="n">
        <x:v>194</x:v>
      </x:c>
      <x:c r="F6" s="182" t="n">
        <x:v>194</x:v>
      </x:c>
      <x:c r="G6" s="182" t="n">
        <x:v>116</x:v>
      </x:c>
      <x:c r="H6" s="182" t="n">
        <x:v>116.6</x:v>
      </x:c>
      <x:c r="I6" s="182" t="n">
        <x:v>109</x:v>
      </x:c>
      <x:c r="J6" s="182" t="n">
        <x:v>109.4</x:v>
      </x:c>
      <x:c r="K6" s="182" t="n">
        <x:v>71</x:v>
      </x:c>
      <x:c r="L6" s="182" t="n">
        <x:v>72.2</x:v>
      </x:c>
      <x:c r="M6" s="182" t="n">
        <x:v>96</x:v>
      </x:c>
      <x:c r="N6" s="182" t="n">
        <x:v>96.6</x:v>
      </x:c>
      <x:c r="O6" s="182" t="n">
        <x:v>54</x:v>
      </x:c>
      <x:c r="P6" s="182" t="n">
        <x:v>55</x:v>
      </x:c>
      <x:c r="Q6" s="182" t="n">
        <x:v>55</x:v>
      </x:c>
      <x:c r="R6" s="182" t="n">
        <x:v>6</x:v>
      </x:c>
      <x:c r="S6" s="182" t="n">
        <x:v>6</x:v>
      </x:c>
      <x:c r="T6" s="189" t="n">
        <x:v>1.213</x:v>
      </x:c>
    </x:row>
    <x:row r="7">
      <x:c r="A7" s="181" t="n">
        <x:v>240</x:v>
      </x:c>
      <x:c r="B7" s="187" t="n">
        <x:v>310012669</x:v>
      </x:c>
      <x:c r="C7" s="182" t="n">
        <x:v>2580</x:v>
      </x:c>
      <x:c r="D7" s="182" t="n">
        <x:v>2560</x:v>
      </x:c>
      <x:c r="E7" s="182" t="n">
        <x:v>185</x:v>
      </x:c>
      <x:c r="F7" s="182" t="n">
        <x:v>185</x:v>
      </x:c>
      <x:c r="G7" s="182" t="n">
        <x:v>120</x:v>
      </x:c>
      <x:c r="H7" s="182" t="n">
        <x:v>120.2</x:v>
      </x:c>
      <x:c r="I7" s="182" t="n">
        <x:v>116</x:v>
      </x:c>
      <x:c r="J7" s="182" t="n">
        <x:v>116.6</x:v>
      </x:c>
      <x:c r="K7" s="182" t="n">
        <x:v>71</x:v>
      </x:c>
      <x:c r="L7" s="182" t="n">
        <x:v>71.8</x:v>
      </x:c>
      <x:c r="M7" s="182" t="n">
        <x:v>96</x:v>
      </x:c>
      <x:c r="N7" s="182" t="n">
        <x:v>96.4</x:v>
      </x:c>
      <x:c r="O7" s="182" t="n">
        <x:v>56</x:v>
      </x:c>
      <x:c r="P7" s="182" t="n">
        <x:v>57</x:v>
      </x:c>
      <x:c r="Q7" s="182" t="n">
        <x:v>57</x:v>
      </x:c>
      <x:c r="R7" s="182" t="n">
        <x:v>6</x:v>
      </x:c>
      <x:c r="S7" s="182" t="n">
        <x:v>6</x:v>
      </x:c>
      <x:c r="T7" s="189" t="n">
        <x:v>1.463</x:v>
      </x:c>
    </x:row>
    <x:row r="8">
      <x:c r="A8" s="181" t="n">
        <x:v>270</x:v>
      </x:c>
      <x:c r="B8" s="187" t="n">
        <x:v>340012669</x:v>
      </x:c>
      <x:c r="C8" s="182" t="n">
        <x:v>1280</x:v>
      </x:c>
      <x:c r="D8" s="182" t="n">
        <x:v>1248</x:v>
      </x:c>
      <x:c r="E8" s="182" t="n">
        <x:v>188</x:v>
      </x:c>
      <x:c r="F8" s="182" t="n">
        <x:v>190.4</x:v>
      </x:c>
      <x:c r="G8" s="182" t="n">
        <x:v>122</x:v>
      </x:c>
      <x:c r="H8" s="182" t="n">
        <x:v>122</x:v>
      </x:c>
      <x:c r="I8" s="182" t="n">
        <x:v>116</x:v>
      </x:c>
      <x:c r="J8" s="182" t="n">
        <x:v>116.6</x:v>
      </x:c>
      <x:c r="K8" s="182" t="n">
        <x:v>71</x:v>
      </x:c>
      <x:c r="L8" s="182" t="n">
        <x:v>72.2</x:v>
      </x:c>
      <x:c r="M8" s="182" t="n">
        <x:v>96</x:v>
      </x:c>
      <x:c r="N8" s="182" t="n">
        <x:v>96.4</x:v>
      </x:c>
      <x:c r="O8" s="182" t="n">
        <x:v>57</x:v>
      </x:c>
      <x:c r="P8" s="182" t="n">
        <x:v>57.5</x:v>
      </x:c>
      <x:c r="Q8" s="182" t="n">
        <x:v>57.5</x:v>
      </x:c>
      <x:c r="R8" s="182" t="n">
        <x:v>6</x:v>
      </x:c>
      <x:c r="S8" s="182" t="n">
        <x:v>6</x:v>
      </x:c>
      <x:c r="T8" s="189" t="n">
        <x:v>1.118</x:v>
      </x:c>
    </x:row>
    <x:row r="9">
      <x:c r="A9" s="181" t="n">
        <x:v>300</x:v>
      </x:c>
      <x:c r="B9" s="187" t="n">
        <x:v>370012669</x:v>
      </x:c>
      <x:c r="C9" s="182" t="n">
        <x:v>1100</x:v>
      </x:c>
      <x:c r="D9" s="182" t="n">
        <x:v>1088</x:v>
      </x:c>
      <x:c r="E9" s="182" t="n">
        <x:v>181</x:v>
      </x:c>
      <x:c r="F9" s="182" t="n">
        <x:v>181.4</x:v>
      </x:c>
      <x:c r="G9" s="182" t="n">
        <x:v>122</x:v>
      </x:c>
      <x:c r="H9" s="182" t="n">
        <x:v>122</x:v>
      </x:c>
      <x:c r="I9" s="182" t="n">
        <x:v>102</x:v>
      </x:c>
      <x:c r="J9" s="182" t="n">
        <x:v>102.2</x:v>
      </x:c>
      <x:c r="K9" s="182" t="n">
        <x:v>71</x:v>
      </x:c>
      <x:c r="L9" s="182" t="n">
        <x:v>72.7</x:v>
      </x:c>
      <x:c r="M9" s="182" t="n">
        <x:v>96</x:v>
      </x:c>
      <x:c r="N9" s="182" t="n">
        <x:v>96.4</x:v>
      </x:c>
      <x:c r="O9" s="182" t="n">
        <x:v>61</x:v>
      </x:c>
      <x:c r="P9" s="182" t="n">
        <x:v>61.5</x:v>
      </x:c>
      <x:c r="Q9" s="182" t="n">
        <x:v>61.5</x:v>
      </x:c>
      <x:c r="R9" s="182" t="n">
        <x:v>6</x:v>
      </x:c>
      <x:c r="S9" s="182" t="n">
        <x:v>6</x:v>
      </x:c>
      <x:c r="T9" s="189" t="n">
        <x:v>1.233</x:v>
      </x:c>
    </x:row>
    <x:row r="10">
      <x:c r="A10" s="181" t="n">
        <x:v>330</x:v>
      </x:c>
      <x:c r="B10" s="187" t="n">
        <x:v>400012669</x:v>
      </x:c>
      <x:c r="C10" s="182" t="n">
        <x:v>2000</x:v>
      </x:c>
      <x:c r="D10" s="182" t="n">
        <x:v>1984</x:v>
      </x:c>
      <x:c r="E10" s="182" t="n">
        <x:v>186</x:v>
      </x:c>
      <x:c r="F10" s="182" t="n">
        <x:v>186.8</x:v>
      </x:c>
      <x:c r="G10" s="182" t="n">
        <x:v>125</x:v>
      </x:c>
      <x:c r="H10" s="182" t="n">
        <x:v>125.6</x:v>
      </x:c>
      <x:c r="I10" s="182" t="n">
        <x:v>111</x:v>
      </x:c>
      <x:c r="J10" s="182" t="n">
        <x:v>111.2</x:v>
      </x:c>
      <x:c r="K10" s="182" t="n">
        <x:v>71</x:v>
      </x:c>
      <x:c r="L10" s="182" t="n">
        <x:v>72.9</x:v>
      </x:c>
      <x:c r="M10" s="182" t="n">
        <x:v>96</x:v>
      </x:c>
      <x:c r="N10" s="182" t="n">
        <x:v>96.6</x:v>
      </x:c>
      <x:c r="O10" s="182" t="n">
        <x:v>70</x:v>
      </x:c>
      <x:c r="P10" s="182" t="n">
        <x:v>70.5</x:v>
      </x:c>
      <x:c r="Q10" s="182" t="n">
        <x:v>70.5</x:v>
      </x:c>
      <x:c r="R10" s="182" t="n">
        <x:v>6</x:v>
      </x:c>
      <x:c r="S10" s="182" t="n">
        <x:v>6</x:v>
      </x:c>
      <x:c r="T10" s="189" t="n">
        <x:v>1.123</x:v>
      </x:c>
    </x:row>
    <x:row r="11">
      <x:c r="A11" s="181" t="n">
        <x:v>360</x:v>
      </x:c>
      <x:c r="B11" s="187" t="n">
        <x:v>430012669</x:v>
      </x:c>
      <x:c r="C11" s="182" t="n">
        <x:v>1380</x:v>
      </x:c>
      <x:c r="D11" s="182" t="n">
        <x:v>1280</x:v>
      </x:c>
      <x:c r="E11" s="182" t="n">
        <x:v>185</x:v>
      </x:c>
      <x:c r="F11" s="182" t="n">
        <x:v>185</x:v>
      </x:c>
      <x:c r="G11" s="182" t="n">
        <x:v>129</x:v>
      </x:c>
      <x:c r="H11" s="182" t="n">
        <x:v>127.4</x:v>
      </x:c>
      <x:c r="I11" s="182" t="n">
        <x:v>113</x:v>
      </x:c>
      <x:c r="J11" s="182" t="n">
        <x:v>114.8</x:v>
      </x:c>
      <x:c r="K11" s="182" t="n">
        <x:v>71</x:v>
      </x:c>
      <x:c r="L11" s="182" t="n">
        <x:v>72.2</x:v>
      </x:c>
      <x:c r="M11" s="182" t="n">
        <x:v>98</x:v>
      </x:c>
      <x:c r="N11" s="182" t="n">
        <x:v>97.2</x:v>
      </x:c>
      <x:c r="O11" s="182" t="n">
        <x:v>68</x:v>
      </x:c>
      <x:c r="P11" s="182" t="n">
        <x:v>68.5</x:v>
      </x:c>
      <x:c r="Q11" s="182" t="n">
        <x:v>68.5</x:v>
      </x:c>
      <x:c r="R11" s="182" t="n">
        <x:v>6</x:v>
      </x:c>
      <x:c r="S11" s="182" t="n">
        <x:v>6</x:v>
      </x:c>
      <x:c r="T11" s="189" t="n">
        <x:v>1.296</x:v>
      </x:c>
    </x:row>
    <x:row r="12">
      <x:c r="A12" s="181" t="n">
        <x:v>390</x:v>
      </x:c>
      <x:c r="B12" s="187" t="n">
        <x:v>460012669</x:v>
      </x:c>
      <x:c r="C12" s="182" t="n">
        <x:v>1240</x:v>
      </x:c>
      <x:c r="D12" s="182" t="n">
        <x:v>1184</x:v>
      </x:c>
      <x:c r="E12" s="182" t="n">
        <x:v>186</x:v>
      </x:c>
      <x:c r="F12" s="182" t="n">
        <x:v>186.8</x:v>
      </x:c>
      <x:c r="G12" s="182" t="n">
        <x:v>127</x:v>
      </x:c>
      <x:c r="H12" s="182" t="n">
        <x:v>127.4</x:v>
      </x:c>
      <x:c r="I12" s="182" t="n">
        <x:v>109</x:v>
      </x:c>
      <x:c r="J12" s="182" t="n">
        <x:v>105.8</x:v>
      </x:c>
      <x:c r="K12" s="182" t="n">
        <x:v>71</x:v>
      </x:c>
      <x:c r="L12" s="182" t="n">
        <x:v>72.4</x:v>
      </x:c>
      <x:c r="M12" s="182" t="n">
        <x:v>98</x:v>
      </x:c>
      <x:c r="N12" s="182" t="n">
        <x:v>97.6</x:v>
      </x:c>
      <x:c r="O12" s="182" t="n">
        <x:v>67</x:v>
      </x:c>
      <x:c r="P12" s="182" t="n">
        <x:v>67</x:v>
      </x:c>
      <x:c r="Q12" s="182" t="n">
        <x:v>67</x:v>
      </x:c>
      <x:c r="R12" s="182" t="n">
        <x:v>6</x:v>
      </x:c>
      <x:c r="S12" s="182" t="n">
        <x:v>6</x:v>
      </x:c>
      <x:c r="T12" s="189" t="n">
        <x:v>1.154</x:v>
      </x:c>
    </x:row>
    <x:row r="13">
      <x:c r="A13" s="181" t="n">
        <x:v>420</x:v>
      </x:c>
      <x:c r="B13" s="187" t="n">
        <x:v>490012669</x:v>
      </x:c>
      <x:c r="C13" s="182" t="n">
        <x:v>990</x:v>
      </x:c>
      <x:c r="D13" s="182" t="n">
        <x:v>960</x:v>
      </x:c>
      <x:c r="E13" s="182" t="n">
        <x:v>185</x:v>
      </x:c>
      <x:c r="F13" s="182" t="n">
        <x:v>185</x:v>
      </x:c>
      <x:c r="G13" s="182" t="n">
        <x:v>124</x:v>
      </x:c>
      <x:c r="H13" s="182" t="n">
        <x:v>125.6</x:v>
      </x:c>
      <x:c r="I13" s="182" t="n">
        <x:v>95</x:v>
      </x:c>
      <x:c r="J13" s="182" t="n">
        <x:v>95</x:v>
      </x:c>
      <x:c r="K13" s="182" t="n">
        <x:v>71</x:v>
      </x:c>
      <x:c r="L13" s="182" t="n">
        <x:v>73.1</x:v>
      </x:c>
      <x:c r="M13" s="182" t="n">
        <x:v>98</x:v>
      </x:c>
      <x:c r="N13" s="182" t="n">
        <x:v>97.8</x:v>
      </x:c>
      <x:c r="O13" s="182" t="n">
        <x:v>66</x:v>
      </x:c>
      <x:c r="P13" s="182" t="n">
        <x:v>66.5</x:v>
      </x:c>
      <x:c r="Q13" s="182" t="n">
        <x:v>66.5</x:v>
      </x:c>
      <x:c r="R13" s="182" t="n">
        <x:v>6</x:v>
      </x:c>
      <x:c r="S13" s="182" t="n">
        <x:v>6</x:v>
      </x:c>
      <x:c r="T13" s="189" t="n">
        <x:v>1.064</x:v>
      </x:c>
    </x:row>
    <x:row r="14">
      <x:c r="A14" s="181" t="n">
        <x:v>450</x:v>
      </x:c>
      <x:c r="B14" s="187" t="n">
        <x:v>520012669</x:v>
      </x:c>
      <x:c r="C14" s="182" t="n">
        <x:v>1240</x:v>
      </x:c>
      <x:c r="D14" s="182" t="n">
        <x:v>1216</x:v>
      </x:c>
      <x:c r="E14" s="182" t="n">
        <x:v>192</x:v>
      </x:c>
      <x:c r="F14" s="182" t="n">
        <x:v>192.2</x:v>
      </x:c>
      <x:c r="G14" s="182" t="n">
        <x:v>122</x:v>
      </x:c>
      <x:c r="H14" s="182" t="n">
        <x:v>123.8</x:v>
      </x:c>
      <x:c r="I14" s="182" t="n">
        <x:v>109</x:v>
      </x:c>
      <x:c r="J14" s="182" t="n">
        <x:v>105.8</x:v>
      </x:c>
      <x:c r="K14" s="182" t="n">
        <x:v>72</x:v>
      </x:c>
      <x:c r="L14" s="182" t="n">
        <x:v>74.8</x:v>
      </x:c>
      <x:c r="M14" s="182" t="n">
        <x:v>98</x:v>
      </x:c>
      <x:c r="N14" s="182" t="n">
        <x:v>98</x:v>
      </x:c>
      <x:c r="O14" s="182" t="n">
        <x:v>65</x:v>
      </x:c>
      <x:c r="P14" s="182" t="n">
        <x:v>65.5</x:v>
      </x:c>
      <x:c r="Q14" s="182" t="n">
        <x:v>65.5</x:v>
      </x:c>
      <x:c r="R14" s="182" t="n">
        <x:v>6</x:v>
      </x:c>
      <x:c r="S14" s="182" t="n">
        <x:v>6</x:v>
      </x:c>
      <x:c r="T14" s="189" t="n">
        <x:v>1.157</x:v>
      </x:c>
    </x:row>
    <x:row r="15">
      <x:c r="A15" s="181" t="n">
        <x:v>480</x:v>
      </x:c>
      <x:c r="B15" s="187" t="n">
        <x:v>550012669</x:v>
      </x:c>
      <x:c r="C15" s="182" t="n">
        <x:v>1040</x:v>
      </x:c>
      <x:c r="D15" s="182" t="n">
        <x:v>960</x:v>
      </x:c>
      <x:c r="E15" s="182" t="n">
        <x:v>181</x:v>
      </x:c>
      <x:c r="F15" s="182" t="n">
        <x:v>181.4</x:v>
      </x:c>
      <x:c r="G15" s="182" t="n">
        <x:v>122</x:v>
      </x:c>
      <x:c r="H15" s="182" t="n">
        <x:v>122</x:v>
      </x:c>
      <x:c r="I15" s="182" t="n">
        <x:v>93</x:v>
      </x:c>
      <x:c r="J15" s="182" t="n">
        <x:v>95</x:v>
      </x:c>
      <x:c r="K15" s="182" t="n">
        <x:v>72</x:v>
      </x:c>
      <x:c r="L15" s="182" t="n">
        <x:v>73.9</x:v>
      </x:c>
      <x:c r="M15" s="182" t="n">
        <x:v>98</x:v>
      </x:c>
      <x:c r="N15" s="182" t="n">
        <x:v>97.6</x:v>
      </x:c>
      <x:c r="O15" s="182" t="n">
        <x:v>64</x:v>
      </x:c>
      <x:c r="P15" s="182" t="n">
        <x:v>64.5</x:v>
      </x:c>
      <x:c r="Q15" s="182" t="n">
        <x:v>64.5</x:v>
      </x:c>
      <x:c r="R15" s="182" t="n">
        <x:v>6</x:v>
      </x:c>
      <x:c r="S15" s="182" t="n">
        <x:v>6</x:v>
      </x:c>
      <x:c r="T15" s="189" t="n">
        <x:v>1.262</x:v>
      </x:c>
    </x:row>
    <x:row r="16">
      <x:c r="A16" s="181" t="n">
        <x:v>510</x:v>
      </x:c>
      <x:c r="B16" s="187" t="n">
        <x:v>580012669</x:v>
      </x:c>
      <x:c r="C16" s="182" t="n">
        <x:v>1820</x:v>
      </x:c>
      <x:c r="D16" s="182" t="n">
        <x:v>1856</x:v>
      </x:c>
      <x:c r="E16" s="182" t="n">
        <x:v>185</x:v>
      </x:c>
      <x:c r="F16" s="182" t="n">
        <x:v>185</x:v>
      </x:c>
      <x:c r="G16" s="182" t="n">
        <x:v>122</x:v>
      </x:c>
      <x:c r="H16" s="182" t="n">
        <x:v>123.8</x:v>
      </x:c>
      <x:c r="I16" s="182" t="n">
        <x:v>102</x:v>
      </x:c>
      <x:c r="J16" s="182" t="n">
        <x:v>102.2</x:v>
      </x:c>
      <x:c r="K16" s="182" t="n">
        <x:v>72</x:v>
      </x:c>
      <x:c r="L16" s="182" t="n">
        <x:v>73.7</x:v>
      </x:c>
      <x:c r="M16" s="182" t="n">
        <x:v>98</x:v>
      </x:c>
      <x:c r="N16" s="182" t="n">
        <x:v>97.2</x:v>
      </x:c>
      <x:c r="O16" s="182" t="n">
        <x:v>65</x:v>
      </x:c>
      <x:c r="P16" s="182" t="n">
        <x:v>66</x:v>
      </x:c>
      <x:c r="Q16" s="182" t="n">
        <x:v>65.5</x:v>
      </x:c>
      <x:c r="R16" s="182" t="n">
        <x:v>6</x:v>
      </x:c>
      <x:c r="S16" s="182" t="n">
        <x:v>6</x:v>
      </x:c>
      <x:c r="T16" s="189" t="n">
        <x:v>1.011</x:v>
      </x:c>
    </x:row>
    <x:row r="17">
      <x:c r="A17" s="181" t="n">
        <x:v>540</x:v>
      </x:c>
      <x:c r="B17" s="187" t="n">
        <x:v>610012669</x:v>
      </x:c>
      <x:c r="C17" s="182" t="n">
        <x:v>2860</x:v>
      </x:c>
      <x:c r="D17" s="182" t="n">
        <x:v>2848</x:v>
      </x:c>
      <x:c r="E17" s="182" t="n">
        <x:v>183</x:v>
      </x:c>
      <x:c r="F17" s="182" t="n">
        <x:v>181.4</x:v>
      </x:c>
      <x:c r="G17" s="182" t="n">
        <x:v>122</x:v>
      </x:c>
      <x:c r="H17" s="182" t="n">
        <x:v>123.8</x:v>
      </x:c>
      <x:c r="I17" s="182" t="n">
        <x:v>113</x:v>
      </x:c>
      <x:c r="J17" s="182" t="n">
        <x:v>113</x:v>
      </x:c>
      <x:c r="K17" s="182" t="n">
        <x:v>71</x:v>
      </x:c>
      <x:c r="L17" s="182" t="n">
        <x:v>72.9</x:v>
      </x:c>
      <x:c r="M17" s="182" t="n">
        <x:v>96</x:v>
      </x:c>
      <x:c r="N17" s="182" t="n">
        <x:v>96.8</x:v>
      </x:c>
      <x:c r="O17" s="182" t="n">
        <x:v>64</x:v>
      </x:c>
      <x:c r="P17" s="182" t="n">
        <x:v>64.5</x:v>
      </x:c>
      <x:c r="Q17" s="182" t="n">
        <x:v>64.5</x:v>
      </x:c>
      <x:c r="R17" s="182" t="n">
        <x:v>6</x:v>
      </x:c>
      <x:c r="S17" s="182" t="n">
        <x:v>6</x:v>
      </x:c>
      <x:c r="T17" s="189" t="n">
        <x:v>1.032</x:v>
      </x:c>
    </x:row>
    <x:row r="18">
      <x:c r="A18" s="181" t="n">
        <x:v>570</x:v>
      </x:c>
      <x:c r="B18" s="187" t="n">
        <x:v>640012669</x:v>
      </x:c>
      <x:c r="C18" s="182" t="n">
        <x:v>2360</x:v>
      </x:c>
      <x:c r="D18" s="182" t="n">
        <x:v>2432</x:v>
      </x:c>
      <x:c r="E18" s="182" t="n">
        <x:v>183</x:v>
      </x:c>
      <x:c r="F18" s="182" t="n">
        <x:v>185</x:v>
      </x:c>
      <x:c r="G18" s="182" t="n">
        <x:v>122</x:v>
      </x:c>
      <x:c r="H18" s="182" t="n">
        <x:v>123.8</x:v>
      </x:c>
      <x:c r="I18" s="182" t="n">
        <x:v>114</x:v>
      </x:c>
      <x:c r="J18" s="182" t="n">
        <x:v>114.8</x:v>
      </x:c>
      <x:c r="K18" s="182" t="n">
        <x:v>71</x:v>
      </x:c>
      <x:c r="L18" s="182" t="n">
        <x:v>72.2</x:v>
      </x:c>
      <x:c r="M18" s="182" t="n">
        <x:v>96</x:v>
      </x:c>
      <x:c r="N18" s="182" t="n">
        <x:v>96.6</x:v>
      </x:c>
      <x:c r="O18" s="182" t="n">
        <x:v>63</x:v>
      </x:c>
      <x:c r="P18" s="182" t="n">
        <x:v>64</x:v>
      </x:c>
      <x:c r="Q18" s="182" t="n">
        <x:v>64</x:v>
      </x:c>
      <x:c r="R18" s="182" t="n">
        <x:v>6</x:v>
      </x:c>
      <x:c r="S18" s="182" t="n">
        <x:v>6</x:v>
      </x:c>
      <x:c r="T18" s="189" t="n">
        <x:v>1.233</x:v>
      </x:c>
    </x:row>
    <x:row r="19">
      <x:c r="A19" s="181" t="n">
        <x:v>600</x:v>
      </x:c>
      <x:c r="B19" s="187" t="n">
        <x:v>670012669</x:v>
      </x:c>
      <x:c r="C19" s="182" t="n">
        <x:v>1320</x:v>
      </x:c>
      <x:c r="D19" s="182" t="n">
        <x:v>1312</x:v>
      </x:c>
      <x:c r="E19" s="182" t="n">
        <x:v>185</x:v>
      </x:c>
      <x:c r="F19" s="182" t="n">
        <x:v>185</x:v>
      </x:c>
      <x:c r="G19" s="182" t="n">
        <x:v>122</x:v>
      </x:c>
      <x:c r="H19" s="182" t="n">
        <x:v>122</x:v>
      </x:c>
      <x:c r="I19" s="182" t="n">
        <x:v>105</x:v>
      </x:c>
      <x:c r="J19" s="182" t="n">
        <x:v>107.6</x:v>
      </x:c>
      <x:c r="K19" s="182" t="n">
        <x:v>71</x:v>
      </x:c>
      <x:c r="L19" s="182" t="n">
        <x:v>72</x:v>
      </x:c>
      <x:c r="M19" s="182" t="n">
        <x:v>96</x:v>
      </x:c>
      <x:c r="N19" s="182" t="n">
        <x:v>96.2</x:v>
      </x:c>
      <x:c r="O19" s="182" t="n">
        <x:v>63</x:v>
      </x:c>
      <x:c r="P19" s="182" t="n">
        <x:v>63.5</x:v>
      </x:c>
      <x:c r="Q19" s="182" t="n">
        <x:v>63.5</x:v>
      </x:c>
      <x:c r="R19" s="182" t="n">
        <x:v>6</x:v>
      </x:c>
      <x:c r="S19" s="182" t="n">
        <x:v>6</x:v>
      </x:c>
      <x:c r="T19" s="189" t="n">
        <x:v>1.003</x:v>
      </x:c>
    </x:row>
    <x:row r="20">
      <x:c r="A20" s="181" t="n">
        <x:v>630</x:v>
      </x:c>
      <x:c r="B20" s="187" t="n">
        <x:v>700012669</x:v>
      </x:c>
      <x:c r="C20" s="182" t="n">
        <x:v>1660</x:v>
      </x:c>
      <x:c r="D20" s="182" t="n">
        <x:v>1728</x:v>
      </x:c>
      <x:c r="E20" s="182" t="n">
        <x:v>185</x:v>
      </x:c>
      <x:c r="F20" s="182" t="n">
        <x:v>183.2</x:v>
      </x:c>
      <x:c r="G20" s="182" t="n">
        <x:v>122</x:v>
      </x:c>
      <x:c r="H20" s="182" t="n">
        <x:v>122</x:v>
      </x:c>
      <x:c r="I20" s="182" t="n">
        <x:v>109</x:v>
      </x:c>
      <x:c r="J20" s="182" t="n">
        <x:v>109.4</x:v>
      </x:c>
      <x:c r="K20" s="182" t="n">
        <x:v>71</x:v>
      </x:c>
      <x:c r="L20" s="182" t="n">
        <x:v>71.8</x:v>
      </x:c>
      <x:c r="M20" s="182" t="n">
        <x:v>96</x:v>
      </x:c>
      <x:c r="N20" s="182" t="n">
        <x:v>95.6</x:v>
      </x:c>
      <x:c r="O20" s="182" t="n">
        <x:v>62</x:v>
      </x:c>
      <x:c r="P20" s="182" t="n">
        <x:v>62.5</x:v>
      </x:c>
      <x:c r="Q20" s="182" t="n">
        <x:v>62.5</x:v>
      </x:c>
      <x:c r="R20" s="182" t="n">
        <x:v>6</x:v>
      </x:c>
      <x:c r="S20" s="182" t="n">
        <x:v>6</x:v>
      </x:c>
      <x:c r="T20" s="189" t="n">
        <x:v>1.023</x:v>
      </x:c>
    </x:row>
    <x:row r="21">
      <x:c r="A21" s="181" t="n">
        <x:v>660</x:v>
      </x:c>
      <x:c r="B21" s="187" t="n">
        <x:v>730012669</x:v>
      </x:c>
      <x:c r="C21" s="182" t="n">
        <x:v>2120</x:v>
      </x:c>
      <x:c r="D21" s="182" t="n">
        <x:v>2112</x:v>
      </x:c>
      <x:c r="E21" s="182" t="n">
        <x:v>185</x:v>
      </x:c>
      <x:c r="F21" s="182" t="n">
        <x:v>185</x:v>
      </x:c>
      <x:c r="G21" s="182" t="n">
        <x:v>122</x:v>
      </x:c>
      <x:c r="H21" s="182" t="n">
        <x:v>122</x:v>
      </x:c>
      <x:c r="I21" s="182" t="n">
        <x:v>113</x:v>
      </x:c>
      <x:c r="J21" s="182" t="n">
        <x:v>113</x:v>
      </x:c>
      <x:c r="K21" s="182" t="n">
        <x:v>71</x:v>
      </x:c>
      <x:c r="L21" s="182" t="n">
        <x:v>72</x:v>
      </x:c>
      <x:c r="M21" s="182" t="n">
        <x:v>96</x:v>
      </x:c>
      <x:c r="N21" s="182" t="n">
        <x:v>95</x:v>
      </x:c>
      <x:c r="O21" s="182" t="n">
        <x:v>61</x:v>
      </x:c>
      <x:c r="P21" s="182" t="n">
        <x:v>62</x:v>
      </x:c>
      <x:c r="Q21" s="182" t="n">
        <x:v>62</x:v>
      </x:c>
      <x:c r="R21" s="182" t="n">
        <x:v>6</x:v>
      </x:c>
      <x:c r="S21" s="182" t="n">
        <x:v>6</x:v>
      </x:c>
      <x:c r="T21" s="189" t="n">
        <x:v>1.157</x:v>
      </x:c>
    </x:row>
    <x:row r="22">
      <x:c r="A22" s="181" t="n">
        <x:v>690</x:v>
      </x:c>
      <x:c r="B22" s="187" t="n">
        <x:v>760012669</x:v>
      </x:c>
      <x:c r="C22" s="182" t="n">
        <x:v>3570</x:v>
      </x:c>
      <x:c r="D22" s="182" t="n">
        <x:v>3552</x:v>
      </x:c>
      <x:c r="E22" s="182" t="n">
        <x:v>186</x:v>
      </x:c>
      <x:c r="F22" s="182" t="n">
        <x:v>186.8</x:v>
      </x:c>
      <x:c r="G22" s="182" t="n">
        <x:v>120</x:v>
      </x:c>
      <x:c r="H22" s="182" t="n">
        <x:v>122</x:v>
      </x:c>
      <x:c r="I22" s="182" t="n">
        <x:v>113</x:v>
      </x:c>
      <x:c r="J22" s="182" t="n">
        <x:v>113</x:v>
      </x:c>
      <x:c r="K22" s="182" t="n">
        <x:v>69</x:v>
      </x:c>
      <x:c r="L22" s="182" t="n">
        <x:v>71.4</x:v>
      </x:c>
      <x:c r="M22" s="182" t="n">
        <x:v>95</x:v>
      </x:c>
      <x:c r="N22" s="182" t="n">
        <x:v>94.7</x:v>
      </x:c>
      <x:c r="O22" s="182" t="n">
        <x:v>61</x:v>
      </x:c>
      <x:c r="P22" s="182" t="n">
        <x:v>61</x:v>
      </x:c>
      <x:c r="Q22" s="182" t="n">
        <x:v>61</x:v>
      </x:c>
      <x:c r="R22" s="182" t="n">
        <x:v>1</x:v>
      </x:c>
      <x:c r="S22" s="182" t="n">
        <x:v>1</x:v>
      </x:c>
      <x:c r="T22" s="189" t="n">
        <x:v>0.867</x:v>
      </x:c>
    </x:row>
    <x:row r="23">
      <x:c r="A23" s="181" t="n">
        <x:v>720</x:v>
      </x:c>
      <x:c r="B23" s="187" t="n">
        <x:v>790012669</x:v>
      </x:c>
      <x:c r="C23" s="182" t="n">
        <x:v>2030</x:v>
      </x:c>
      <x:c r="D23" s="182" t="n">
        <x:v>1984</x:v>
      </x:c>
      <x:c r="E23" s="182" t="n">
        <x:v>185</x:v>
      </x:c>
      <x:c r="F23" s="182" t="n">
        <x:v>185</x:v>
      </x:c>
      <x:c r="G23" s="182" t="n">
        <x:v>122</x:v>
      </x:c>
      <x:c r="H23" s="182" t="n">
        <x:v>122</x:v>
      </x:c>
      <x:c r="I23" s="182" t="n">
        <x:v>114</x:v>
      </x:c>
      <x:c r="J23" s="182" t="n">
        <x:v>114.8</x:v>
      </x:c>
      <x:c r="K23" s="182" t="n">
        <x:v>69</x:v>
      </x:c>
      <x:c r="L23" s="182" t="n">
        <x:v>70.7</x:v>
      </x:c>
      <x:c r="M23" s="182" t="n">
        <x:v>95</x:v>
      </x:c>
      <x:c r="N23" s="182" t="n">
        <x:v>95</x:v>
      </x:c>
      <x:c r="O23" s="182" t="n">
        <x:v>60</x:v>
      </x:c>
      <x:c r="P23" s="182" t="n">
        <x:v>60.5</x:v>
      </x:c>
      <x:c r="Q23" s="182" t="n">
        <x:v>60.5</x:v>
      </x:c>
      <x:c r="R23" s="182" t="n">
        <x:v>1</x:v>
      </x:c>
      <x:c r="S23" s="182" t="n">
        <x:v>1</x:v>
      </x:c>
      <x:c r="T23" s="189" t="n">
        <x:v>1.067</x:v>
      </x:c>
    </x:row>
    <x:row r="24">
      <x:c r="A24" s="181" t="n">
        <x:v>750</x:v>
      </x:c>
      <x:c r="B24" s="187" t="n">
        <x:v>820012669</x:v>
      </x:c>
      <x:c r="C24" s="182" t="n">
        <x:v>2310</x:v>
      </x:c>
      <x:c r="D24" s="182" t="n">
        <x:v>2304</x:v>
      </x:c>
      <x:c r="E24" s="182" t="n">
        <x:v>186</x:v>
      </x:c>
      <x:c r="F24" s="182" t="n">
        <x:v>186.8</x:v>
      </x:c>
      <x:c r="G24" s="182" t="n">
        <x:v>122</x:v>
      </x:c>
      <x:c r="H24" s="182" t="n">
        <x:v>122</x:v>
      </x:c>
      <x:c r="I24" s="182" t="n">
        <x:v>114</x:v>
      </x:c>
      <x:c r="J24" s="182" t="n">
        <x:v>116.6</x:v>
      </x:c>
      <x:c r="K24" s="182" t="n">
        <x:v>69</x:v>
      </x:c>
      <x:c r="L24" s="182" t="n">
        <x:v>70.5</x:v>
      </x:c>
      <x:c r="M24" s="182" t="n">
        <x:v>95</x:v>
      </x:c>
      <x:c r="N24" s="182" t="n">
        <x:v>95</x:v>
      </x:c>
      <x:c r="O24" s="182" t="n">
        <x:v>60</x:v>
      </x:c>
      <x:c r="P24" s="182" t="n">
        <x:v>60</x:v>
      </x:c>
      <x:c r="Q24" s="182" t="n">
        <x:v>60</x:v>
      </x:c>
      <x:c r="R24" s="182" t="n">
        <x:v>1</x:v>
      </x:c>
      <x:c r="S24" s="182" t="n">
        <x:v>1</x:v>
      </x:c>
      <x:c r="T24" s="189" t="n">
        <x:v>1.154</x:v>
      </x:c>
    </x:row>
    <x:row r="25">
      <x:c r="A25" s="181" t="n">
        <x:v>780</x:v>
      </x:c>
      <x:c r="B25" s="187" t="n">
        <x:v>850012669</x:v>
      </x:c>
      <x:c r="C25" s="182" t="n">
        <x:v>2090</x:v>
      </x:c>
      <x:c r="D25" s="182" t="n">
        <x:v>2080</x:v>
      </x:c>
      <x:c r="E25" s="182" t="n">
        <x:v>186</x:v>
      </x:c>
      <x:c r="F25" s="182" t="n">
        <x:v>186.8</x:v>
      </x:c>
      <x:c r="G25" s="182" t="n">
        <x:v>122</x:v>
      </x:c>
      <x:c r="H25" s="182" t="n">
        <x:v>122</x:v>
      </x:c>
      <x:c r="I25" s="182" t="n">
        <x:v>114</x:v>
      </x:c>
      <x:c r="J25" s="182" t="n">
        <x:v>114.8</x:v>
      </x:c>
      <x:c r="K25" s="182" t="n">
        <x:v>69</x:v>
      </x:c>
      <x:c r="L25" s="182" t="n">
        <x:v>70.1</x:v>
      </x:c>
      <x:c r="M25" s="182" t="n">
        <x:v>95</x:v>
      </x:c>
      <x:c r="N25" s="182" t="n">
        <x:v>94.7</x:v>
      </x:c>
      <x:c r="O25" s="182" t="n">
        <x:v>59</x:v>
      </x:c>
      <x:c r="P25" s="182" t="n">
        <x:v>59.5</x:v>
      </x:c>
      <x:c r="Q25" s="182" t="n">
        <x:v>59.5</x:v>
      </x:c>
      <x:c r="R25" s="182" t="n">
        <x:v>1</x:v>
      </x:c>
      <x:c r="S25" s="182" t="n">
        <x:v>1</x:v>
      </x:c>
      <x:c r="T25" s="189" t="n">
        <x:v>0.854</x:v>
      </x:c>
    </x:row>
    <x:row r="26">
      <x:c r="A26" s="181" t="n">
        <x:v>810</x:v>
      </x:c>
      <x:c r="B26" s="187" t="n">
        <x:v>880012669</x:v>
      </x:c>
      <x:c r="C26" s="182" t="n">
        <x:v>2640</x:v>
      </x:c>
      <x:c r="D26" s="182" t="n">
        <x:v>2272</x:v>
      </x:c>
      <x:c r="E26" s="182" t="n">
        <x:v>183</x:v>
      </x:c>
      <x:c r="F26" s="182" t="n">
        <x:v>185</x:v>
      </x:c>
      <x:c r="G26" s="182" t="n">
        <x:v>122</x:v>
      </x:c>
      <x:c r="H26" s="182" t="n">
        <x:v>122</x:v>
      </x:c>
      <x:c r="I26" s="182" t="n">
        <x:v>118</x:v>
      </x:c>
      <x:c r="J26" s="182" t="n">
        <x:v>118.4</x:v>
      </x:c>
      <x:c r="K26" s="182" t="n">
        <x:v>69</x:v>
      </x:c>
      <x:c r="L26" s="182" t="n">
        <x:v>69.7</x:v>
      </x:c>
      <x:c r="M26" s="182" t="n">
        <x:v>95</x:v>
      </x:c>
      <x:c r="N26" s="182" t="n">
        <x:v>94.6</x:v>
      </x:c>
      <x:c r="O26" s="182" t="n">
        <x:v>59</x:v>
      </x:c>
      <x:c r="P26" s="182" t="n">
        <x:v>59</x:v>
      </x:c>
      <x:c r="Q26" s="182" t="n">
        <x:v>59</x:v>
      </x:c>
      <x:c r="R26" s="182" t="n">
        <x:v>1</x:v>
      </x:c>
      <x:c r="S26" s="182" t="n">
        <x:v>1</x:v>
      </x:c>
      <x:c r="T26" s="189" t="n">
        <x:v>1.338</x:v>
      </x:c>
    </x:row>
    <x:row r="27">
      <x:c r="A27" s="181" t="n">
        <x:v>840</x:v>
      </x:c>
      <x:c r="B27" s="187" t="n">
        <x:v>910012669</x:v>
      </x:c>
      <x:c r="C27" s="182" t="n">
        <x:v>2400</x:v>
      </x:c>
      <x:c r="D27" s="182" t="n">
        <x:v>2528</x:v>
      </x:c>
      <x:c r="E27" s="182" t="n">
        <x:v>186</x:v>
      </x:c>
      <x:c r="F27" s="182" t="n">
        <x:v>186.8</x:v>
      </x:c>
      <x:c r="G27" s="182" t="n">
        <x:v>122</x:v>
      </x:c>
      <x:c r="H27" s="182" t="n">
        <x:v>122</x:v>
      </x:c>
      <x:c r="I27" s="182" t="n">
        <x:v>116</x:v>
      </x:c>
      <x:c r="J27" s="182" t="n">
        <x:v>116.6</x:v>
      </x:c>
      <x:c r="K27" s="182" t="n">
        <x:v>68</x:v>
      </x:c>
      <x:c r="L27" s="182" t="n">
        <x:v>69.7</x:v>
      </x:c>
      <x:c r="M27" s="182" t="n">
        <x:v>95</x:v>
      </x:c>
      <x:c r="N27" s="182" t="n">
        <x:v>94.3</x:v>
      </x:c>
      <x:c r="O27" s="182" t="n">
        <x:v>58</x:v>
      </x:c>
      <x:c r="P27" s="182" t="n">
        <x:v>58.5</x:v>
      </x:c>
      <x:c r="Q27" s="182" t="n">
        <x:v>58.5</x:v>
      </x:c>
      <x:c r="R27" s="182" t="n">
        <x:v>1</x:v>
      </x:c>
      <x:c r="S27" s="182" t="n">
        <x:v>1</x:v>
      </x:c>
      <x:c r="T27" s="189" t="n">
        <x:v>0.799</x:v>
      </x:c>
    </x:row>
    <x:row r="28">
      <x:c r="A28" s="181" t="n">
        <x:v>870</x:v>
      </x:c>
      <x:c r="B28" s="187" t="n">
        <x:v>940012669</x:v>
      </x:c>
      <x:c r="C28" s="182" t="n">
        <x:v>1740</x:v>
      </x:c>
      <x:c r="D28" s="182" t="n">
        <x:v>1824</x:v>
      </x:c>
      <x:c r="E28" s="182" t="n">
        <x:v>185</x:v>
      </x:c>
      <x:c r="F28" s="182" t="n">
        <x:v>186.8</x:v>
      </x:c>
      <x:c r="G28" s="182" t="n">
        <x:v>122</x:v>
      </x:c>
      <x:c r="H28" s="182" t="n">
        <x:v>122</x:v>
      </x:c>
      <x:c r="I28" s="182" t="n">
        <x:v>114</x:v>
      </x:c>
      <x:c r="J28" s="182" t="n">
        <x:v>116.6</x:v>
      </x:c>
      <x:c r="K28" s="182" t="n">
        <x:v>68</x:v>
      </x:c>
      <x:c r="L28" s="182" t="n">
        <x:v>69.4</x:v>
      </x:c>
      <x:c r="M28" s="182" t="n">
        <x:v>95</x:v>
      </x:c>
      <x:c r="N28" s="182" t="n">
        <x:v>93.9</x:v>
      </x:c>
      <x:c r="O28" s="182" t="n">
        <x:v>58</x:v>
      </x:c>
      <x:c r="P28" s="182" t="n">
        <x:v>58.5</x:v>
      </x:c>
      <x:c r="Q28" s="182" t="n">
        <x:v>58.5</x:v>
      </x:c>
      <x:c r="R28" s="182" t="n">
        <x:v>1</x:v>
      </x:c>
      <x:c r="S28" s="182" t="n">
        <x:v>1</x:v>
      </x:c>
      <x:c r="T28" s="189" t="n">
        <x:v>0.957</x:v>
      </x:c>
    </x:row>
    <x:row r="29">
      <x:c r="A29" s="181" t="n">
        <x:v>900</x:v>
      </x:c>
      <x:c r="B29" s="187" t="n">
        <x:v>970012669</x:v>
      </x:c>
      <x:c r="C29" s="182" t="n">
        <x:v>2510</x:v>
      </x:c>
      <x:c r="D29" s="182" t="n">
        <x:v>2528</x:v>
      </x:c>
      <x:c r="E29" s="182" t="n">
        <x:v>183</x:v>
      </x:c>
      <x:c r="F29" s="182" t="n">
        <x:v>185</x:v>
      </x:c>
      <x:c r="G29" s="182" t="n">
        <x:v>122</x:v>
      </x:c>
      <x:c r="H29" s="182" t="n">
        <x:v>123.8</x:v>
      </x:c>
      <x:c r="I29" s="182" t="n">
        <x:v>114</x:v>
      </x:c>
      <x:c r="J29" s="182" t="n">
        <x:v>116.6</x:v>
      </x:c>
      <x:c r="K29" s="182" t="n">
        <x:v>68</x:v>
      </x:c>
      <x:c r="L29" s="182" t="n">
        <x:v>69.2</x:v>
      </x:c>
      <x:c r="M29" s="182" t="n">
        <x:v>93</x:v>
      </x:c>
      <x:c r="N29" s="182" t="n">
        <x:v>93.5</x:v>
      </x:c>
      <x:c r="O29" s="182" t="n">
        <x:v>58</x:v>
      </x:c>
      <x:c r="P29" s="182" t="n">
        <x:v>58</x:v>
      </x:c>
      <x:c r="Q29" s="182" t="n">
        <x:v>58</x:v>
      </x:c>
      <x:c r="R29" s="182" t="n">
        <x:v>1</x:v>
      </x:c>
      <x:c r="S29" s="182" t="n">
        <x:v>1</x:v>
      </x:c>
      <x:c r="T29" s="189" t="n">
        <x:v>0.978</x:v>
      </x:c>
    </x:row>
    <x:row r="30">
      <x:c r="A30" s="181" t="n">
        <x:v>930</x:v>
      </x:c>
      <x:c r="B30" s="187" t="n">
        <x:v>1000012669</x:v>
      </x:c>
      <x:c r="C30" s="182" t="n">
        <x:v>2690</x:v>
      </x:c>
      <x:c r="D30" s="182" t="n">
        <x:v>2656</x:v>
      </x:c>
      <x:c r="E30" s="182" t="n">
        <x:v>190</x:v>
      </x:c>
      <x:c r="F30" s="182" t="n">
        <x:v>190.4</x:v>
      </x:c>
      <x:c r="G30" s="182" t="n">
        <x:v>122</x:v>
      </x:c>
      <x:c r="H30" s="182" t="n">
        <x:v>123.8</x:v>
      </x:c>
      <x:c r="I30" s="182" t="n">
        <x:v>118</x:v>
      </x:c>
      <x:c r="J30" s="182" t="n">
        <x:v>118.4</x:v>
      </x:c>
      <x:c r="K30" s="182" t="n">
        <x:v>68</x:v>
      </x:c>
      <x:c r="L30" s="182" t="n">
        <x:v>69.2</x:v>
      </x:c>
      <x:c r="M30" s="182" t="n">
        <x:v>93</x:v>
      </x:c>
      <x:c r="N30" s="182" t="n">
        <x:v>93.1</x:v>
      </x:c>
      <x:c r="O30" s="182" t="n">
        <x:v>58</x:v>
      </x:c>
      <x:c r="P30" s="182" t="n">
        <x:v>58</x:v>
      </x:c>
      <x:c r="Q30" s="182" t="n">
        <x:v>58</x:v>
      </x:c>
      <x:c r="R30" s="182" t="n">
        <x:v>1</x:v>
      </x:c>
      <x:c r="S30" s="182" t="n">
        <x:v>1</x:v>
      </x:c>
      <x:c r="T30" s="189" t="n">
        <x:v>0.917</x:v>
      </x:c>
    </x:row>
    <x:row r="31">
      <x:c r="A31" s="184" t="n">
        <x:v>960</x:v>
      </x:c>
      <x:c r="B31" s="188" t="n">
        <x:v>1030012669</x:v>
      </x:c>
      <x:c r="C31" s="185" t="n">
        <x:v>1830</x:v>
      </x:c>
      <x:c r="D31" s="185" t="n">
        <x:v>1760</x:v>
      </x:c>
      <x:c r="E31" s="185" t="n">
        <x:v>190</x:v>
      </x:c>
      <x:c r="F31" s="185" t="n">
        <x:v>188.6</x:v>
      </x:c>
      <x:c r="G31" s="185" t="n">
        <x:v>122</x:v>
      </x:c>
      <x:c r="H31" s="185" t="n">
        <x:v>123.8</x:v>
      </x:c>
      <x:c r="I31" s="185" t="n">
        <x:v>116</x:v>
      </x:c>
      <x:c r="J31" s="185" t="n">
        <x:v>116.6</x:v>
      </x:c>
      <x:c r="K31" s="185" t="n">
        <x:v>68</x:v>
      </x:c>
      <x:c r="L31" s="185" t="n">
        <x:v>69</x:v>
      </x:c>
      <x:c r="M31" s="185" t="n">
        <x:v>93</x:v>
      </x:c>
      <x:c r="N31" s="185" t="n">
        <x:v>92.7</x:v>
      </x:c>
      <x:c r="O31" s="185" t="n">
        <x:v>58</x:v>
      </x:c>
      <x:c r="P31" s="185" t="n">
        <x:v>58</x:v>
      </x:c>
      <x:c r="Q31" s="185" t="n">
        <x:v>58</x:v>
      </x:c>
      <x:c r="R31" s="185" t="n">
        <x:v>1</x:v>
      </x:c>
      <x:c r="S31" s="185" t="n">
        <x:v>1</x:v>
      </x:c>
      <x:c r="T31" s="190" t="n">
        <x:v>1.096</x:v>
      </x:c>
    </x:row>
  </x:sheetData>
  <x:pageMargins left="0.7" right="0.7" top="0.75" bottom="0.75" header="0.3" footer="0.3"/>
  <x:tableParts count="1">
    <x:tablePart xmlns:r="http://schemas.openxmlformats.org/officeDocument/2006/relationships" r:id="R022c6452b68b4e83"/>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7" hidden="0" customWidth="1"/>
    <x:col min="2" max="2" width="28" hidden="0" customWidth="1"/>
    <x:col min="3" max="3" width="12" hidden="0" customWidth="1"/>
    <x:col min="4" max="4" width="22" hidden="0" customWidth="1"/>
    <x:col min="5" max="5" width="19" hidden="0" customWidth="1"/>
    <x:col min="6" max="6" width="20" hidden="0" customWidth="1"/>
    <x:col min="7" max="7" width="20" hidden="0" customWidth="1"/>
    <x:col min="8" max="8" width="14" hidden="0" customWidth="1"/>
    <x:col min="9" max="9" width="58" hidden="0" customWidth="1"/>
  </x:cols>
  <x:sheetData>
    <x:row r="1" ht="34" customHeight="1">
      <x:c r="A1" s="118" t="str">
        <x:v>Hybrid Assistant signal</x:v>
      </x:c>
      <x:c r="B1" s="119" t="str">
        <x:v>CAN signal</x:v>
      </x:c>
      <x:c r="C1" s="119" t="str">
        <x:v>Pairs</x:v>
      </x:c>
      <x:c r="D1" s="119" t="str">
        <x:v>Median abs error</x:v>
      </x:c>
      <x:c r="E1" s="119" t="str">
        <x:v>p95 abs error</x:v>
      </x:c>
      <x:c r="F1" s="119" t="str">
        <x:v>Max abs error</x:v>
      </x:c>
      <x:c r="G1" s="119" t="str">
        <x:v>Within tolerance</x:v>
      </x:c>
      <x:c r="H1" s="119" t="str">
        <x:v>Tolerance</x:v>
      </x:c>
      <x:c r="I1" s="120" t="str">
        <x:v>Decision</x:v>
      </x:c>
    </x:row>
    <x:row r="2">
      <x:c r="A2" s="163" t="str">
        <x:v>ha_engine_rpm</x:v>
      </x:c>
      <x:c r="B2" s="124" t="str">
        <x:v>can_engine_rpm_c3</x:v>
      </x:c>
      <x:c r="C2" s="124" t="n">
        <x:v>30</x:v>
      </x:c>
      <x:c r="D2" s="124" t="n">
        <x:v>32</x:v>
      </x:c>
      <x:c r="E2" s="124" t="n">
        <x:v>128</x:v>
      </x:c>
      <x:c r="F2" s="124" t="n">
        <x:v>368</x:v>
      </x:c>
      <x:c r="G2" s="124" t="n">
        <x:v>26</x:v>
      </x:c>
      <x:c r="H2" s="124" t="n">
        <x:v>80</x:v>
      </x:c>
      <x:c r="I2" s="125" t="str">
        <x:v>CONFIRMED / asynchronous timing</x:v>
      </x:c>
    </x:row>
    <x:row r="3">
      <x:c r="A3" s="163" t="str">
        <x:v>ha_coolant_f</x:v>
      </x:c>
      <x:c r="B3" s="124" t="str">
        <x:v>can_coolant_f</x:v>
      </x:c>
      <x:c r="C3" s="124" t="n">
        <x:v>30</x:v>
      </x:c>
      <x:c r="D3" s="124" t="n">
        <x:v>0.8</x:v>
      </x:c>
      <x:c r="E3" s="124" t="n">
        <x:v>2.4</x:v>
      </x:c>
      <x:c r="F3" s="124" t="n">
        <x:v>2.6</x:v>
      </x:c>
      <x:c r="G3" s="124" t="n">
        <x:v>28</x:v>
      </x:c>
      <x:c r="H3" s="124" t="n">
        <x:v>2</x:v>
      </x:c>
      <x:c r="I3" s="125" t="str">
        <x:v>CONFIRMED</x:v>
      </x:c>
    </x:row>
    <x:row r="4">
      <x:c r="A4" s="164" t="str">
        <x:v>ha_intake_f</x:v>
      </x:c>
      <x:c r="B4" s="165" t="str">
        <x:v>can_intake_f</x:v>
      </x:c>
      <x:c r="C4" s="165" t="n">
        <x:v>22</x:v>
      </x:c>
      <x:c r="D4" s="165" t="n">
        <x:v>5</x:v>
      </x:c>
      <x:c r="E4" s="165" t="n">
        <x:v>5.2</x:v>
      </x:c>
      <x:c r="F4" s="165" t="n">
        <x:v>7</x:v>
      </x:c>
      <x:c r="G4" s="165" t="n">
        <x:v>5</x:v>
      </x:c>
      <x:c r="H4" s="165" t="n">
        <x:v>2</x:v>
      </x:c>
      <x:c r="I4" s="166" t="str">
        <x:v>NOT A MATCH; do not treat HA secondary thermometer as SAE intake</x:v>
      </x:c>
    </x:row>
    <x:row r="5">
      <x:c r="A5" s="163" t="str">
        <x:v>ha_mg_max_f</x:v>
      </x:c>
      <x:c r="B5" s="124" t="str">
        <x:v>can_mg_max_f</x:v>
      </x:c>
      <x:c r="C5" s="124" t="n">
        <x:v>30</x:v>
      </x:c>
      <x:c r="D5" s="124" t="n">
        <x:v>0.4</x:v>
      </x:c>
      <x:c r="E5" s="124" t="n">
        <x:v>1.8</x:v>
      </x:c>
      <x:c r="F5" s="124" t="n">
        <x:v>2</x:v>
      </x:c>
      <x:c r="G5" s="124" t="n">
        <x:v>30</x:v>
      </x:c>
      <x:c r="H5" s="124" t="n">
        <x:v>2</x:v>
      </x:c>
      <x:c r="I5" s="125" t="str">
        <x:v>CONFIRMED AS MG PAIR</x:v>
      </x:c>
    </x:row>
    <x:row r="6">
      <x:c r="A6" s="163" t="str">
        <x:v>ha_inverter_max_f</x:v>
      </x:c>
      <x:c r="B6" s="124" t="str">
        <x:v>can_inverter_max_f</x:v>
      </x:c>
      <x:c r="C6" s="124" t="n">
        <x:v>30</x:v>
      </x:c>
      <x:c r="D6" s="124" t="n">
        <x:v>0.6</x:v>
      </x:c>
      <x:c r="E6" s="124" t="n">
        <x:v>3.2</x:v>
      </x:c>
      <x:c r="F6" s="124" t="n">
        <x:v>3.2</x:v>
      </x:c>
      <x:c r="G6" s="124" t="n">
        <x:v>23</x:v>
      </x:c>
      <x:c r="H6" s="124" t="n">
        <x:v>2</x:v>
      </x:c>
      <x:c r="I6" s="125" t="str">
        <x:v>CONFIRMED AS INVERTER PAIR</x:v>
      </x:c>
    </x:row>
    <x:row r="7">
      <x:c r="A7" s="163" t="str">
        <x:v>ha_battery_intake_f</x:v>
      </x:c>
      <x:c r="B7" s="124" t="str">
        <x:v>can_battery_intake_f</x:v>
      </x:c>
      <x:c r="C7" s="124" t="n">
        <x:v>30</x:v>
      </x:c>
      <x:c r="D7" s="124" t="n">
        <x:v>1.4</x:v>
      </x:c>
      <x:c r="E7" s="124" t="n">
        <x:v>2.4</x:v>
      </x:c>
      <x:c r="F7" s="124" t="n">
        <x:v>2.8</x:v>
      </x:c>
      <x:c r="G7" s="124" t="n">
        <x:v>27</x:v>
      </x:c>
      <x:c r="H7" s="124" t="n">
        <x:v>2</x:v>
      </x:c>
      <x:c r="I7" s="125" t="str">
        <x:v>CONFIRMED</x:v>
      </x:c>
    </x:row>
    <x:row r="8">
      <x:c r="A8" s="163" t="str">
        <x:v>ha_battery_max_f</x:v>
      </x:c>
      <x:c r="B8" s="124" t="str">
        <x:v>can_hv_temp2_f</x:v>
      </x:c>
      <x:c r="C8" s="124" t="n">
        <x:v>29</x:v>
      </x:c>
      <x:c r="D8" s="124" t="n">
        <x:v>0.4</x:v>
      </x:c>
      <x:c r="E8" s="124" t="n">
        <x:v>1</x:v>
      </x:c>
      <x:c r="F8" s="124" t="n">
        <x:v>1.1</x:v>
      </x:c>
      <x:c r="G8" s="124" t="n">
        <x:v>29</x:v>
      </x:c>
      <x:c r="H8" s="124" t="n">
        <x:v>2</x:v>
      </x:c>
      <x:c r="I8" s="125" t="str">
        <x:v>CONFIRMED AGAINST 21CF SENSOR 2</x:v>
      </x:c>
    </x:row>
    <x:row r="9">
      <x:c r="A9" s="163" t="str">
        <x:v>ha_soc_pct</x:v>
      </x:c>
      <x:c r="B9" s="124" t="str">
        <x:v>can_soc_diag_pct</x:v>
      </x:c>
      <x:c r="C9" s="124" t="n">
        <x:v>30</x:v>
      </x:c>
      <x:c r="D9" s="124" t="n">
        <x:v>0.5</x:v>
      </x:c>
      <x:c r="E9" s="124" t="n">
        <x:v>1</x:v>
      </x:c>
      <x:c r="F9" s="124" t="n">
        <x:v>1</x:v>
      </x:c>
      <x:c r="G9" s="124" t="n">
        <x:v>30</x:v>
      </x:c>
      <x:c r="H9" s="124" t="n">
        <x:v>1</x:v>
      </x:c>
      <x:c r="I9" s="125" t="str">
        <x:v>CONFIRMED</x:v>
      </x:c>
    </x:row>
    <x:row r="10">
      <x:c r="A10" s="172" t="str">
        <x:v>ha_fan_level</x:v>
      </x:c>
      <x:c r="B10" s="173" t="str">
        <x:v>can_fan_level_cf_i</x:v>
      </x:c>
      <x:c r="C10" s="173" t="n">
        <x:v>30</x:v>
      </x:c>
      <x:c r="D10" s="173" t="n">
        <x:v>0</x:v>
      </x:c>
      <x:c r="E10" s="173" t="n">
        <x:v>0</x:v>
      </x:c>
      <x:c r="F10" s="173" t="n">
        <x:v>0</x:v>
      </x:c>
      <x:c r="G10" s="173" t="n">
        <x:v>30</x:v>
      </x:c>
      <x:c r="H10" s="173" t="n">
        <x:v>0</x:v>
      </x:c>
      <x:c r="I10" s="174" t="str">
        <x:v>CONFIRMED</x:v>
      </x:c>
    </x:row>
  </x:sheetData>
  <x:pageMargins left="0.7" right="0.7" top="0.75" bottom="0.75" header="0.3" footer="0.3"/>
  <x:tableParts count="1">
    <x:tablePart xmlns:r="http://schemas.openxmlformats.org/officeDocument/2006/relationships" r:id="R0bc9db7a303048e8"/>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30" hidden="0" customWidth="1"/>
    <x:col min="4" max="4" width="16" hidden="0" customWidth="1"/>
    <x:col min="5" max="5" width="22" hidden="0" customWidth="1"/>
    <x:col min="6" max="6" width="38" hidden="0" customWidth="1"/>
    <x:col min="7" max="7" width="78" hidden="0" customWidth="1"/>
    <x:col min="8" max="8" width="36" hidden="0" customWidth="1"/>
  </x:cols>
  <x:sheetData>
    <x:row r="1" ht="34" customHeight="1">
      <x:c r="A1" s="118" t="str">
        <x:v>Session</x:v>
      </x:c>
      <x:c r="B1" s="119" t="str">
        <x:v>Vehicle / Profile</x:v>
      </x:c>
      <x:c r="C1" s="119" t="str">
        <x:v>Scenario</x:v>
      </x:c>
      <x:c r="D1" s="119" t="str">
        <x:v>Raw Records</x:v>
      </x:c>
      <x:c r="E1" s="119" t="str">
        <x:v>Diagnostic Transactions</x:v>
      </x:c>
      <x:c r="F1" s="119" t="str">
        <x:v>Capture Status</x:v>
      </x:c>
      <x:c r="G1" s="119" t="str">
        <x:v>Key Evidence</x:v>
      </x:c>
      <x:c r="H1" s="120" t="str">
        <x:v>Evidence Class</x:v>
      </x:c>
    </x:row>
    <x:row r="2">
      <x:c r="A2" s="106" t="str">
        <x:v>S0018</x:v>
      </x:c>
      <x:c r="B2" s="107" t="str">
        <x:v>2007 Camry Hybrid / CAMRY_HYBRID_GEN1</x:v>
      </x:c>
      <x:c r="C2" s="107" t="str">
        <x:v>Warmup</x:v>
      </x:c>
      <x:c r="D2" s="191" t="n">
        <x:v>74153</x:v>
      </x:c>
      <x:c r="E2" s="191" t="n">
        <x:v>0</x:v>
      </x:c>
      <x:c r="F2" s="107" t="str">
        <x:v>Clean close; zero logged drops</x:v>
      </x:c>
      <x:c r="G2" s="107" t="str">
        <x:v>0x2C4 raw RPM 0-1886; 0x3B9 byte0 41 to 73 degC</x:v>
      </x:c>
      <x:c r="H2" s="108" t="str">
        <x:v>PRIMARY CAPTURE</x:v>
      </x:c>
    </x:row>
    <x:row r="3">
      <x:c r="A3" s="106" t="str">
        <x:v>S0019</x:v>
      </x:c>
      <x:c r="B3" s="107" t="str">
        <x:v>2007 Camry Hybrid / CAMRY_HYBRID_GEN1</x:v>
      </x:c>
      <x:c r="C3" s="107" t="str">
        <x:v>Warmup continuation</x:v>
      </x:c>
      <x:c r="D3" s="191" t="n">
        <x:v>8808</x:v>
      </x:c>
      <x:c r="E3" s="191" t="n">
        <x:v>0</x:v>
      </x:c>
      <x:c r="F3" s="107" t="str">
        <x:v>Clean close; zero logged drops</x:v>
      </x:c>
      <x:c r="G3" s="107" t="str">
        <x:v>0x2C4 raw RPM 1573-1671; 0x3B9 byte0 74 to 78 degC</x:v>
      </x:c>
      <x:c r="H3" s="108" t="str">
        <x:v>PRIMARY CAPTURE</x:v>
      </x:c>
    </x:row>
    <x:row r="4">
      <x:c r="A4" s="106" t="str">
        <x:v>S0020</x:v>
      </x:c>
      <x:c r="B4" s="107" t="str">
        <x:v>2007 Camry Hybrid / CAMRY_HYBRID_GEN1</x:v>
      </x:c>
      <x:c r="C4" s="107" t="str">
        <x:v>Warmup; reverse; drive; park</x:v>
      </x:c>
      <x:c r="D4" s="191" t="n">
        <x:v>92227</x:v>
      </x:c>
      <x:c r="E4" s="191" t="n">
        <x:v>0</x:v>
      </x:c>
      <x:c r="F4" s="107" t="str">
        <x:v>Manifest not cleanly closed; zero logged drops</x:v>
      </x:c>
      <x:c r="G4" s="107" t="str">
        <x:v>0x3B9 reaches 89 then 86 degC; 0x120 byte5 and 0x2D0 byte2 track P/R/N/D</x:v>
      </x:c>
      <x:c r="H4" s="108" t="str">
        <x:v>PRIMARY CAPTURE</x:v>
      </x:c>
    </x:row>
    <x:row r="5">
      <x:c r="A5" s="197" t="str">
        <x:v>CAMRY TOTAL</x:v>
      </x:c>
      <x:c r="B5" s="198" t="str">
        <x:v>CAMRY_HYBRID_GEN1</x:v>
      </x:c>
      <x:c r="C5" s="198" t="str">
        <x:v>S0018-S0020</x:v>
      </x:c>
      <x:c r="D5" s="199" t="n">
        <x:f>SUM(D2:D4)</x:f>
        <x:v>175188</x:v>
      </x:c>
      <x:c r="E5" s="199" t="n">
        <x:v>0</x:v>
      </x:c>
      <x:c r="F5" s="198" t="str">
        <x:v>Calculated from TCB1 files</x:v>
      </x:c>
      <x:c r="G5" s="198" t="str">
        <x:v>Three-session evidence set</x:v>
      </x:c>
      <x:c r="H5" s="200" t="str">
        <x:v>DERIVED SUMMARY</x:v>
      </x:c>
    </x:row>
    <x:row r="6">
      <x:c r="A6" s="109" t="str">
        <x:v>S0021</x:v>
      </x:c>
      <x:c r="B6" s="110" t="str">
        <x:v>2004 Prius Gen 2 / PRIUS_GEN2</x:v>
      </x:c>
      <x:c r="C6" s="110" t="str">
        <x:v>Warmup in park; diagnostics toggled</x:v>
      </x:c>
      <x:c r="D6" s="192" t="n">
        <x:v>196273</x:v>
      </x:c>
      <x:c r="E6" s="192" t="n">
        <x:v>159</x:v>
      </x:c>
      <x:c r="F6" s="110" t="str">
        <x:v>Manifest not cleanly closed; zero logged drops</x:v>
      </x:c>
      <x:c r="G6" s="110" t="str">
        <x:v>157 OK, 1 timeout, 1 user-disabled, 0 negative responses</x:v>
      </x:c>
      <x:c r="H6" s="111" t="str">
        <x:v>PRIMARY CAPTURE + READ-ONLY DIAGNOSTICS</x:v>
      </x:c>
    </x:row>
  </x:sheetData>
  <x:pageMargins left="0.7" right="0.7" top="0.75" bottom="0.75" header="0.3" footer="0.3"/>
  <x:tableParts count="1">
    <x:tablePart xmlns:r="http://schemas.openxmlformats.org/officeDocument/2006/relationships" r:id="Raf139fbe47044d34"/>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8" hidden="0" customWidth="1"/>
    <x:col min="4" max="4" width="18" hidden="0" customWidth="1"/>
    <x:col min="5" max="5" width="58" hidden="0" customWidth="1"/>
    <x:col min="6" max="6" width="65" hidden="0" customWidth="1"/>
  </x:cols>
  <x:sheetData>
    <x:row r="1" ht="34" customHeight="1">
      <x:c r="A1" s="118" t="str">
        <x:v>Item</x:v>
      </x:c>
      <x:c r="B1" s="119" t="str">
        <x:v>Profile</x:v>
      </x:c>
      <x:c r="C1" s="119" t="str">
        <x:v>Question / Validation</x:v>
      </x:c>
      <x:c r="D1" s="119" t="str">
        <x:v>Priority</x:v>
      </x:c>
      <x:c r="E1" s="119" t="str">
        <x:v>Required Evidence</x:v>
      </x:c>
      <x:c r="F1" s="120" t="str">
        <x:v>Promotion Rule</x:v>
      </x:c>
    </x:row>
    <x:row r="2">
      <x:c r="A2" s="106" t="str">
        <x:v>R035</x:v>
      </x:c>
      <x:c r="B2" s="107" t="str">
        <x:v>CAMRY_HYBRID_GEN1</x:v>
      </x:c>
      <x:c r="C2" s="107" t="str">
        <x:v>Compare 0x3B9 byte 0 against Techstream/AP200 coolant temperature</x:v>
      </x:c>
      <x:c r="D2" s="107" t="str">
        <x:v>High</x:v>
      </x:c>
      <x:c r="E2" s="107" t="str">
        <x:v>Cold start through thermostat opening</x:v>
      </x:c>
      <x:c r="F2" s="108" t="str">
        <x:v>Promote to CONFIRMED only if scan tool and raw CAN agree within tolerance</x:v>
      </x:c>
    </x:row>
    <x:row r="3">
      <x:c r="A3" s="106" t="str">
        <x:v>R036</x:v>
      </x:c>
      <x:c r="B3" s="107" t="str">
        <x:v>CAMRY_HYBRID_GEN1</x:v>
      </x:c>
      <x:c r="C3" s="107" t="str">
        <x:v>Validate 0x2C4 direct RPM against OBD-II 01 0C</x:v>
      </x:c>
      <x:c r="D3" s="107" t="str">
        <x:v>High</x:v>
      </x:c>
      <x:c r="E3" s="107" t="str">
        <x:v>Simultaneous passive and read-only diagnostic log</x:v>
      </x:c>
      <x:c r="F3" s="108" t="str">
        <x:v>Promote 1 rpm/count only after agreement across idle and rev changes</x:v>
      </x:c>
    </x:row>
    <x:row r="4">
      <x:c r="A4" s="106" t="str">
        <x:v>R037</x:v>
      </x:c>
      <x:c r="B4" s="107" t="str">
        <x:v>CAMRY_HYBRID_GEN1</x:v>
      </x:c>
      <x:c r="C4" s="107" t="str">
        <x:v>Exercise P/R/N/D/B and compare 0x120 with 0x2D0</x:v>
      </x:c>
      <x:c r="D4" s="107" t="str">
        <x:v>High</x:v>
      </x:c>
      <x:c r="E4" s="107" t="str">
        <x:v>Labeled stationary sequence</x:v>
      </x:c>
      <x:c r="F4" s="108" t="str">
        <x:v>Complete B mapping and confirm every enumeration</x:v>
      </x:c>
    </x:row>
    <x:row r="5">
      <x:c r="A5" s="106" t="str">
        <x:v>R038</x:v>
      </x:c>
      <x:c r="B5" s="107" t="str">
        <x:v>TOYOTA_UNASSIGNED</x:v>
      </x:c>
      <x:c r="C5" s="107" t="str">
        <x:v>Identify the exact vehicles/sources behind S22 rows</x:v>
      </x:c>
      <x:c r="D5" s="107" t="str">
        <x:v>Medium</x:v>
      </x:c>
      <x:c r="E5" s="107" t="str">
        <x:v>Original repository/file provenance or labeled capture</x:v>
      </x:c>
      <x:c r="F5" s="108" t="str">
        <x:v>Never cross-promote based on matching ID alone</x:v>
      </x:c>
    </x:row>
    <x:row r="6">
      <x:c r="A6" s="168" t="str">
        <x:v>R039</x:v>
      </x:c>
      <x:c r="B6" s="130" t="str">
        <x:v>ALL</x:v>
      </x:c>
      <x:c r="C6" s="130" t="str">
        <x:v>Keep S22 steering/ACC/LKA/PCS definitions out of transmit paths</x:v>
      </x:c>
      <x:c r="D6" s="130" t="str">
        <x:v>Safety critical</x:v>
      </x:c>
      <x:c r="E6" s="130" t="str">
        <x:v>Code review and whitelist test</x:v>
      </x:c>
      <x:c r="F6" s="131" t="str">
        <x:v>All control/write messages remain quarantined</x:v>
      </x:c>
    </x:row>
    <x:row r="7">
      <x:c r="A7" s="106" t="str">
        <x:v>R040</x:v>
      </x:c>
      <x:c r="B7" s="107" t="str">
        <x:v>PRIUS_GEN2</x:v>
      </x:c>
      <x:c r="C7" s="107" t="str">
        <x:v>Handle simultaneous external diagnostic traffic without false transaction failures</x:v>
      </x:c>
      <x:c r="D7" s="107" t="str">
        <x:v>High</x:v>
      </x:c>
      <x:c r="E7" s="107" t="str">
        <x:v>Replay S0034 interleaved Hybrid Assistant/logger traffic</x:v>
      </x:c>
      <x:c r="F7" s="108" t="str">
        <x:v>Unmatched valid replies are logged as EXTERNAL_DIAGNOSTIC_TRAFFIC; active request continues to matching reply or timeout</x:v>
      </x:c>
    </x:row>
    <x:row r="8">
      <x:c r="A8" s="106" t="str">
        <x:v>R041</x:v>
      </x:c>
      <x:c r="B8" s="107" t="str">
        <x:v>PRIUS_GEN2</x:v>
      </x:c>
      <x:c r="C8" s="107" t="str">
        <x:v>Transcribe and align the S0034 voice narration</x:v>
      </x:c>
      <x:c r="D8" s="107" t="str">
        <x:v>Medium</x:v>
      </x:c>
      <x:c r="E8" s="107" t="str">
        <x:v>Timestamped transcript from the supplied MP4 audio</x:v>
      </x:c>
      <x:c r="F8" s="108" t="str">
        <x:v>Voice-derived events remain separate from OCR/CAN evidence until words and timestamps are verified</x:v>
      </x:c>
    </x:row>
    <x:row r="9">
      <x:c r="A9" s="109" t="str">
        <x:v>R042</x:v>
      </x:c>
      <x:c r="B9" s="110" t="str">
        <x:v>PRIUS_GEN2</x:v>
      </x:c>
      <x:c r="C9" s="110" t="str">
        <x:v>Identify Hybrid Assistant's secondary thermometer field</x:v>
      </x:c>
      <x:c r="D9" s="110" t="str">
        <x:v>Medium</x:v>
      </x:c>
      <x:c r="E9" s="110" t="str">
        <x:v>App documentation or direct diagnostic comparison</x:v>
      </x:c>
      <x:c r="F9" s="111" t="str">
        <x:v>Do not label it SAE 010F intake-air temperature from visual similarity alone</x:v>
      </x:c>
    </x:row>
    <x:row r="10">
      <x:c r="A10" s="215" t="str">
        <x:v>R043</x:v>
      </x:c>
      <x:c r="B10" s="230" t="str">
        <x:v>CAMRY_HYBRID_GEN1</x:v>
      </x:c>
      <x:c r="C10" s="230" t="str">
        <x:v>Validate 7E3 2101 SOC/current/voltage/delta-SOC formulas</x:v>
      </x:c>
      <x:c r="D10" s="230" t="str">
        <x:v>High</x:v>
      </x:c>
      <x:c r="E10" s="230" t="str">
        <x:v>Stationary read-only responses plus AP200/Techstream and known charge/discharge states</x:v>
      </x:c>
      <x:c r="F10" s="216" t="str">
        <x:v>Promote each field separately only after scale, sign and response offset agree</x:v>
      </x:c>
    </x:row>
    <x:row r="11">
      <x:c r="A11" s="217" t="str">
        <x:v>R044</x:v>
      </x:c>
      <x:c r="B11" s="231" t="str">
        <x:v>CAMRY_HYBRID_GEN1</x:v>
      </x:c>
      <x:c r="C11" s="231" t="str">
        <x:v>Validate 7E3 2102 three battery-temperature channels</x:v>
      </x:c>
      <x:c r="D11" s="231" t="str">
        <x:v>High</x:v>
      </x:c>
      <x:c r="E11" s="231" t="str">
        <x:v>Cold soak through warmup with independent scan-tool values</x:v>
      </x:c>
      <x:c r="F11" s="218" t="str">
        <x:v>Confirm all three scales and sensor ordering</x:v>
      </x:c>
    </x:row>
    <x:row r="12">
      <x:c r="A12" s="217" t="str">
        <x:v>R045</x:v>
      </x:c>
      <x:c r="B12" s="231" t="str">
        <x:v>CAMRY_HYBRID_GEN1</x:v>
      </x:c>
      <x:c r="C12" s="231" t="str">
        <x:v>Validate 7E2 2122 and 212B MG/inverter temperature pairs</x:v>
      </x:c>
      <x:c r="D12" s="231" t="str">
        <x:v>High</x:v>
      </x:c>
      <x:c r="E12" s="231" t="str">
        <x:v>Independent MG1/MG2 scan-tool temperatures across changing load</x:v>
      </x:c>
      <x:c r="F12" s="218" t="str">
        <x:v>Confirm PID, C/D fields and MG1/MG2 labels</x:v>
      </x:c>
    </x:row>
    <x:row r="13">
      <x:c r="A13" s="217" t="str">
        <x:v>R046</x:v>
      </x:c>
      <x:c r="B13" s="231" t="str">
        <x:v>CAMRY_HYBRID_GEN1</x:v>
      </x:c>
      <x:c r="C13" s="231" t="str">
        <x:v>Validate 7E3 2141-2144 block voltages</x:v>
      </x:c>
      <x:c r="D13" s="231" t="str">
        <x:v>High</x:v>
      </x:c>
      <x:c r="E13" s="231" t="str">
        <x:v>All 17 scan-tool block values plus pack-voltage reconciliation under load</x:v>
      </x:c>
      <x:c r="F13" s="218" t="str">
        <x:v>Confirm ordering and /100 scale before calculating imbalance</x:v>
      </x:c>
    </x:row>
    <x:row r="14">
      <x:c r="A14" s="219" t="str">
        <x:v>R047</x:v>
      </x:c>
      <x:c r="B14" s="247" t="str">
        <x:v>CAMRY_HYBRID_GEN1</x:v>
      </x:c>
      <x:c r="C14" s="247" t="str">
        <x:v>Validate 7E3 2145-2148 block internal resistance</x:v>
      </x:c>
      <x:c r="D14" s="247" t="str">
        <x:v>High</x:v>
      </x:c>
      <x:c r="E14" s="247" t="str">
        <x:v>Repeated scan-tool/load observations across all 17 blocks</x:v>
      </x:c>
      <x:c r="F14" s="220" t="str">
        <x:v>Confirm /1000 scale and repeatability; do not promote the PDF's 0.03-ohm threshold by citation alone</x:v>
      </x:c>
    </x:row>
  </x:sheetData>
  <x:pageMargins left="0.7" right="0.7" top="0.75" bottom="0.75" header="0.3" footer="0.3"/>
  <x:tableParts count="1">
    <x:tablePart xmlns:r="http://schemas.openxmlformats.org/officeDocument/2006/relationships" r:id="R510cfb7a02804fba"/>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4" hidden="0" customWidth="1"/>
    <x:col min="5" max="5" width="24" hidden="0" customWidth="1"/>
    <x:col min="6" max="6" width="34" hidden="0" customWidth="1"/>
    <x:col min="7" max="7" width="22" hidden="0" customWidth="1"/>
    <x:col min="8" max="8" width="22" hidden="0" customWidth="1"/>
    <x:col min="9" max="9" width="40" hidden="0" customWidth="1"/>
    <x:col min="10" max="10" width="12" hidden="0" customWidth="1"/>
    <x:col min="11" max="11" width="22" hidden="0" customWidth="1"/>
    <x:col min="12" max="12" width="30" hidden="0" customWidth="1"/>
    <x:col min="13" max="13" width="28" hidden="0" customWidth="1"/>
    <x:col min="14" max="14" width="16" hidden="0" customWidth="1"/>
    <x:col min="15" max="15" width="65" hidden="0" customWidth="1"/>
    <x:col min="16" max="16" width="52" hidden="0" customWidth="1"/>
    <x:col min="17" max="17" width="72" hidden="0" customWidth="1"/>
  </x:cols>
  <x:sheetData>
    <x:row r="1" ht="38" customHeight="1">
      <x:c r="A1" s="244" t="str">
        <x:v>Profile</x:v>
      </x:c>
      <x:c r="B1" s="245" t="str">
        <x:v>Request ID</x:v>
      </x:c>
      <x:c r="C1" s="245" t="str">
        <x:v>Expected Response ID</x:v>
      </x:c>
      <x:c r="D1" s="245" t="str">
        <x:v>Mode/PID</x:v>
      </x:c>
      <x:c r="E1" s="245" t="str">
        <x:v>ECU</x:v>
      </x:c>
      <x:c r="F1" s="245" t="str">
        <x:v>Signal</x:v>
      </x:c>
      <x:c r="G1" s="245" t="str">
        <x:v>Response Data Field</x:v>
      </x:c>
      <x:c r="H1" s="245" t="str">
        <x:v>Raw Type</x:v>
      </x:c>
      <x:c r="I1" s="245" t="str">
        <x:v>Equation</x:v>
      </x:c>
      <x:c r="J1" s="245" t="str">
        <x:v>Unit</x:v>
      </x:c>
      <x:c r="K1" s="245" t="str">
        <x:v>Plausibility Range</x:v>
      </x:c>
      <x:c r="L1" s="245" t="str">
        <x:v>Acquisition</x:v>
      </x:c>
      <x:c r="M1" s="245" t="str">
        <x:v>Safety Class</x:v>
      </x:c>
      <x:c r="N1" s="245" t="str">
        <x:v>Evidence Grade</x:v>
      </x:c>
      <x:c r="O1" s="245" t="str">
        <x:v>v0.5 Comparison</x:v>
      </x:c>
      <x:c r="P1" s="245" t="str">
        <x:v>Source / Page</x:v>
      </x:c>
      <x:c r="Q1" s="246" t="str">
        <x:v>Validation Required</x:v>
      </x:c>
    </x:row>
    <x:row r="2">
      <x:c r="A2" s="217" t="str">
        <x:v>CAMRY_HYBRID_GEN1 / AHV40 (2007-2011)</x:v>
      </x:c>
      <x:c r="B2" s="231" t="str">
        <x:v>7E3 (hex)</x:v>
      </x:c>
      <x:c r="C2" s="231" t="str">
        <x:v>7EB (hex)</x:v>
      </x:c>
      <x:c r="D2" s="231" t="str">
        <x:v>21 01</x:v>
      </x:c>
      <x:c r="E2" s="231" t="str">
        <x:v>Battery ECU</x:v>
      </x:c>
      <x:c r="F2" s="231" t="str">
        <x:v>HV battery state of charge</x:v>
      </x:c>
      <x:c r="G2" s="231" t="str">
        <x:v>A</x:v>
      </x:c>
      <x:c r="H2" s="231" t="str">
        <x:v>uint8</x:v>
      </x:c>
      <x:c r="I2" s="231" t="str">
        <x:v>A / 2</x:v>
      </x:c>
      <x:c r="J2" s="231" t="str">
        <x:v>%</x:v>
      </x:c>
      <x:c r="K2" s="231" t="str">
        <x:v>0 to 100</x:v>
      </x:c>
      <x:c r="L2" s="231" t="str">
        <x:v>Solicited Mode 21 / ISO-TP; flow control may be required</x:v>
      </x:c>
      <x:c r="M2" s="248" t="str">
        <x:v>READ_ONLY_DIAGNOSTIC</x:v>
      </x:c>
      <x:c r="N2" s="248" t="str">
        <x:v>CANDIDATE</x:v>
      </x:c>
      <x:c r="O2" s="231" t="str">
        <x:v>NEW AHV40 location. NHW20 v0.5 uses 7E3/7EB 21CE/21CF for related battery values; do not merge.</x:v>
      </x:c>
      <x:c r="P2" s="231" t="str">
        <x:v>2007-2011 camry hybrid PID table - Google Search.pdf, p.1</x:v>
      </x:c>
      <x:c r="Q2" s="218" t="str">
        <x:v>Compare with Techstream/AP200 SOC and passive AHV40 battery indicators across charge/discharge.</x:v>
      </x:c>
    </x:row>
    <x:row r="3">
      <x:c r="A3" s="217" t="str">
        <x:v>CAMRY_HYBRID_GEN1 / AHV40 (2007-2011)</x:v>
      </x:c>
      <x:c r="B3" s="231" t="str">
        <x:v>7E3 (hex)</x:v>
      </x:c>
      <x:c r="C3" s="231" t="str">
        <x:v>7EB (hex)</x:v>
      </x:c>
      <x:c r="D3" s="231" t="str">
        <x:v>21 01</x:v>
      </x:c>
      <x:c r="E3" s="231" t="str">
        <x:v>Battery ECU</x:v>
      </x:c>
      <x:c r="F3" s="231" t="str">
        <x:v>HV battery current</x:v>
      </x:c>
      <x:c r="G3" s="231" t="str">
        <x:v>B:C</x:v>
      </x:c>
      <x:c r="H3" s="231" t="str">
        <x:v>int16 big-endian</x:v>
      </x:c>
      <x:c r="I3" s="231" t="str">
        <x:v>int16_BE(B,C) / 100</x:v>
      </x:c>
      <x:c r="J3" s="231" t="str">
        <x:v>A</x:v>
      </x:c>
      <x:c r="K3" s="231" t="str">
        <x:v>-500 to 500</x:v>
      </x:c>
      <x:c r="L3" s="231" t="str">
        <x:v>Solicited Mode 21 / ISO-TP; flow control may be required</x:v>
      </x:c>
      <x:c r="M3" s="248" t="str">
        <x:v>READ_ONLY_DIAGNOSTIC</x:v>
      </x:c>
      <x:c r="N3" s="248" t="str">
        <x:v>CANDIDATE</x:v>
      </x:c>
      <x:c r="O3" s="231" t="str">
        <x:v>NEW AHV40 location. NHW20 v0.5 uses 7E3/7EB 21CE/21CF for related battery values; do not merge.</x:v>
      </x:c>
      <x:c r="P3" s="231" t="str">
        <x:v>2007-2011 camry hybrid PID table - Google Search.pdf, p.1</x:v>
      </x:c>
      <x:c r="Q3" s="218" t="str">
        <x:v>Verify sign and scale during known charge and discharge; compare with scan tool and pack power direction.</x:v>
      </x:c>
    </x:row>
    <x:row r="4">
      <x:c r="A4" s="217" t="str">
        <x:v>CAMRY_HYBRID_GEN1 / AHV40 (2007-2011)</x:v>
      </x:c>
      <x:c r="B4" s="231" t="str">
        <x:v>7E3 (hex)</x:v>
      </x:c>
      <x:c r="C4" s="231" t="str">
        <x:v>7EB (hex)</x:v>
      </x:c>
      <x:c r="D4" s="231" t="str">
        <x:v>21 01</x:v>
      </x:c>
      <x:c r="E4" s="231" t="str">
        <x:v>Battery ECU</x:v>
      </x:c>
      <x:c r="F4" s="231" t="str">
        <x:v>Total HV pack voltage</x:v>
      </x:c>
      <x:c r="G4" s="231" t="str">
        <x:v>D:E</x:v>
      </x:c>
      <x:c r="H4" s="231" t="str">
        <x:v>uint16 big-endian</x:v>
      </x:c>
      <x:c r="I4" s="231" t="str">
        <x:v>uint16_BE(D,E) / 10</x:v>
      </x:c>
      <x:c r="J4" s="231" t="str">
        <x:v>V</x:v>
      </x:c>
      <x:c r="K4" s="231" t="str">
        <x:v>0 to 400</x:v>
      </x:c>
      <x:c r="L4" s="231" t="str">
        <x:v>Solicited Mode 21 / ISO-TP; flow control may be required</x:v>
      </x:c>
      <x:c r="M4" s="248" t="str">
        <x:v>READ_ONLY_DIAGNOSTIC</x:v>
      </x:c>
      <x:c r="N4" s="248" t="str">
        <x:v>CANDIDATE</x:v>
      </x:c>
      <x:c r="O4" s="231" t="str">
        <x:v>NEW AHV40 location. NHW20 v0.5 uses 7E3/7EB 21CE/21CF for related battery values; do not merge.</x:v>
      </x:c>
      <x:c r="P4" s="231" t="str">
        <x:v>2007-2011 camry hybrid PID table - Google Search.pdf, p.1</x:v>
      </x:c>
      <x:c r="Q4" s="218" t="str">
        <x:v>Compare with AP200/Techstream and sum of validated block voltages.</x:v>
      </x:c>
    </x:row>
    <x:row r="5">
      <x:c r="A5" s="217" t="str">
        <x:v>CAMRY_HYBRID_GEN1 / AHV40 (2007-2011)</x:v>
      </x:c>
      <x:c r="B5" s="231" t="str">
        <x:v>7E3 (hex)</x:v>
      </x:c>
      <x:c r="C5" s="231" t="str">
        <x:v>7EB (hex)</x:v>
      </x:c>
      <x:c r="D5" s="231" t="str">
        <x:v>21 01</x:v>
      </x:c>
      <x:c r="E5" s="231" t="str">
        <x:v>Battery ECU</x:v>
      </x:c>
      <x:c r="F5" s="231" t="str">
        <x:v>Delta state of charge</x:v>
      </x:c>
      <x:c r="G5" s="231" t="str">
        <x:v>F</x:v>
      </x:c>
      <x:c r="H5" s="231" t="str">
        <x:v>uint8</x:v>
      </x:c>
      <x:c r="I5" s="231" t="str">
        <x:v>F / 2</x:v>
      </x:c>
      <x:c r="J5" s="231" t="str">
        <x:v>%</x:v>
      </x:c>
      <x:c r="K5" s="231" t="str">
        <x:v>0 to 100</x:v>
      </x:c>
      <x:c r="L5" s="231" t="str">
        <x:v>Solicited Mode 21 / ISO-TP; flow control may be required</x:v>
      </x:c>
      <x:c r="M5" s="248" t="str">
        <x:v>READ_ONLY_DIAGNOSTIC</x:v>
      </x:c>
      <x:c r="N5" s="248" t="str">
        <x:v>CANDIDATE</x:v>
      </x:c>
      <x:c r="O5" s="231" t="str">
        <x:v>NEW AHV40 location. NHW20 v0.5 uses 7E3/7EB 21CE/21CF for related battery values; do not merge.</x:v>
      </x:c>
      <x:c r="P5" s="231" t="str">
        <x:v>2007-2011 camry hybrid PID table - Google Search.pdf, p.1</x:v>
      </x:c>
      <x:c r="Q5" s="218" t="str">
        <x:v>Confirm semantic meaning and range; do not equate to block-voltage delta without evidence.</x:v>
      </x:c>
    </x:row>
    <x:row r="6">
      <x:c r="A6" s="217" t="str">
        <x:v>CAMRY_HYBRID_GEN1 / AHV40 (2007-2011)</x:v>
      </x:c>
      <x:c r="B6" s="231" t="str">
        <x:v>7E3 (hex)</x:v>
      </x:c>
      <x:c r="C6" s="231" t="str">
        <x:v>7EB (hex)</x:v>
      </x:c>
      <x:c r="D6" s="231" t="str">
        <x:v>21 02</x:v>
      </x:c>
      <x:c r="E6" s="231" t="str">
        <x:v>Battery ECU</x:v>
      </x:c>
      <x:c r="F6" s="231" t="str">
        <x:v>HV battery temperature sensor 1</x:v>
      </x:c>
      <x:c r="G6" s="231" t="str">
        <x:v>A</x:v>
      </x:c>
      <x:c r="H6" s="231" t="str">
        <x:v>uint8</x:v>
      </x:c>
      <x:c r="I6" s="231" t="str">
        <x:v>A - 40</x:v>
      </x:c>
      <x:c r="J6" s="231" t="str">
        <x:v>degC</x:v>
      </x:c>
      <x:c r="K6" s="231" t="str">
        <x:v>-40 to 215</x:v>
      </x:c>
      <x:c r="L6" s="231" t="str">
        <x:v>Solicited Mode 21 / ISO-TP; flow control may be required</x:v>
      </x:c>
      <x:c r="M6" s="248" t="str">
        <x:v>READ_ONLY_DIAGNOSTIC</x:v>
      </x:c>
      <x:c r="N6" s="248" t="str">
        <x:v>CANDIDATE</x:v>
      </x:c>
      <x:c r="O6" s="231" t="str">
        <x:v>NEW AHV40 location and 8-bit formula. NHW20 v0.5 uses different 21CF 16-bit temperature fields.</x:v>
      </x:c>
      <x:c r="P6" s="231" t="str">
        <x:v>2007-2011 camry hybrid PID table - Google Search.pdf, p.1</x:v>
      </x:c>
      <x:c r="Q6" s="218" t="str">
        <x:v>Compare each channel with Techstream/AP200 from cold soak through warmup; verify sensor ordering.</x:v>
      </x:c>
    </x:row>
    <x:row r="7">
      <x:c r="A7" s="217" t="str">
        <x:v>CAMRY_HYBRID_GEN1 / AHV40 (2007-2011)</x:v>
      </x:c>
      <x:c r="B7" s="231" t="str">
        <x:v>7E3 (hex)</x:v>
      </x:c>
      <x:c r="C7" s="231" t="str">
        <x:v>7EB (hex)</x:v>
      </x:c>
      <x:c r="D7" s="231" t="str">
        <x:v>21 02</x:v>
      </x:c>
      <x:c r="E7" s="231" t="str">
        <x:v>Battery ECU</x:v>
      </x:c>
      <x:c r="F7" s="231" t="str">
        <x:v>HV battery temperature sensor 2</x:v>
      </x:c>
      <x:c r="G7" s="231" t="str">
        <x:v>B</x:v>
      </x:c>
      <x:c r="H7" s="231" t="str">
        <x:v>uint8</x:v>
      </x:c>
      <x:c r="I7" s="231" t="str">
        <x:v>B - 40</x:v>
      </x:c>
      <x:c r="J7" s="231" t="str">
        <x:v>degC</x:v>
      </x:c>
      <x:c r="K7" s="231" t="str">
        <x:v>-40 to 215</x:v>
      </x:c>
      <x:c r="L7" s="231" t="str">
        <x:v>Solicited Mode 21 / ISO-TP; flow control may be required</x:v>
      </x:c>
      <x:c r="M7" s="248" t="str">
        <x:v>READ_ONLY_DIAGNOSTIC</x:v>
      </x:c>
      <x:c r="N7" s="248" t="str">
        <x:v>CANDIDATE</x:v>
      </x:c>
      <x:c r="O7" s="231" t="str">
        <x:v>NEW AHV40 location and 8-bit formula. NHW20 v0.5 uses different 21CF 16-bit temperature fields.</x:v>
      </x:c>
      <x:c r="P7" s="231" t="str">
        <x:v>2007-2011 camry hybrid PID table - Google Search.pdf, p.1</x:v>
      </x:c>
      <x:c r="Q7" s="218" t="str">
        <x:v>Compare each channel with Techstream/AP200 from cold soak through warmup; verify sensor ordering.</x:v>
      </x:c>
    </x:row>
    <x:row r="8">
      <x:c r="A8" s="217" t="str">
        <x:v>CAMRY_HYBRID_GEN1 / AHV40 (2007-2011)</x:v>
      </x:c>
      <x:c r="B8" s="231" t="str">
        <x:v>7E3 (hex)</x:v>
      </x:c>
      <x:c r="C8" s="231" t="str">
        <x:v>7EB (hex)</x:v>
      </x:c>
      <x:c r="D8" s="231" t="str">
        <x:v>21 02</x:v>
      </x:c>
      <x:c r="E8" s="231" t="str">
        <x:v>Battery ECU</x:v>
      </x:c>
      <x:c r="F8" s="231" t="str">
        <x:v>HV battery temperature sensor 3</x:v>
      </x:c>
      <x:c r="G8" s="231" t="str">
        <x:v>C</x:v>
      </x:c>
      <x:c r="H8" s="231" t="str">
        <x:v>uint8</x:v>
      </x:c>
      <x:c r="I8" s="231" t="str">
        <x:v>C - 40</x:v>
      </x:c>
      <x:c r="J8" s="231" t="str">
        <x:v>degC</x:v>
      </x:c>
      <x:c r="K8" s="231" t="str">
        <x:v>-40 to 215</x:v>
      </x:c>
      <x:c r="L8" s="231" t="str">
        <x:v>Solicited Mode 21 / ISO-TP; flow control may be required</x:v>
      </x:c>
      <x:c r="M8" s="248" t="str">
        <x:v>READ_ONLY_DIAGNOSTIC</x:v>
      </x:c>
      <x:c r="N8" s="248" t="str">
        <x:v>CANDIDATE</x:v>
      </x:c>
      <x:c r="O8" s="231" t="str">
        <x:v>NEW AHV40 location and 8-bit formula. NHW20 v0.5 uses different 21CF 16-bit temperature fields.</x:v>
      </x:c>
      <x:c r="P8" s="231" t="str">
        <x:v>2007-2011 camry hybrid PID table - Google Search.pdf, p.2</x:v>
      </x:c>
      <x:c r="Q8" s="218" t="str">
        <x:v>Compare each channel with Techstream/AP200 from cold soak through warmup; verify sensor ordering.</x:v>
      </x:c>
    </x:row>
    <x:row r="9">
      <x:c r="A9" s="217" t="str">
        <x:v>CAMRY_HYBRID_GEN1 / AHV40 (2007-2011)</x:v>
      </x:c>
      <x:c r="B9" s="231" t="str">
        <x:v>7E2 (hex)</x:v>
      </x:c>
      <x:c r="C9" s="231" t="str">
        <x:v>7EA (hex)</x:v>
      </x:c>
      <x:c r="D9" s="231" t="str">
        <x:v>21 2B</x:v>
      </x:c>
      <x:c r="E9" s="231" t="str">
        <x:v>Hybrid Vehicle ECU</x:v>
      </x:c>
      <x:c r="F9" s="231" t="str">
        <x:v>MG1 inverter temperature</x:v>
      </x:c>
      <x:c r="G9" s="231" t="str">
        <x:v>C</x:v>
      </x:c>
      <x:c r="H9" s="231" t="str">
        <x:v>uint8</x:v>
      </x:c>
      <x:c r="I9" s="231" t="str">
        <x:v>C - 40</x:v>
      </x:c>
      <x:c r="J9" s="231" t="str">
        <x:v>degC</x:v>
      </x:c>
      <x:c r="K9" s="231" t="str">
        <x:v>-40 to 215</x:v>
      </x:c>
      <x:c r="L9" s="231" t="str">
        <x:v>Solicited Mode 21 / ISO-TP; flow control may be required</x:v>
      </x:c>
      <x:c r="M9" s="248" t="str">
        <x:v>READ_ONLY_DIAGNOSTIC</x:v>
      </x:c>
      <x:c r="N9" s="248" t="str">
        <x:v>CANDIDATE</x:v>
      </x:c>
      <x:c r="O9" s="231" t="str">
        <x:v>NEW AHV40 location. NHW20 v0.5 uses 7E2/7EA 21C3 for an MG inverter-temperature pair.</x:v>
      </x:c>
      <x:c r="P9" s="231" t="str">
        <x:v>2007-2011 camry hybrid PID table - Google Search.pdf, p.2</x:v>
      </x:c>
      <x:c r="Q9" s="218" t="str">
        <x:v>Compare with Techstream/AP200 MG1 inverter temperature during stationary warmup and controlled drive.</x:v>
      </x:c>
    </x:row>
    <x:row r="10">
      <x:c r="A10" s="217" t="str">
        <x:v>CAMRY_HYBRID_GEN1 / AHV40 (2007-2011)</x:v>
      </x:c>
      <x:c r="B10" s="231" t="str">
        <x:v>7E2 (hex)</x:v>
      </x:c>
      <x:c r="C10" s="231" t="str">
        <x:v>7EA (hex)</x:v>
      </x:c>
      <x:c r="D10" s="231" t="str">
        <x:v>21 2B</x:v>
      </x:c>
      <x:c r="E10" s="231" t="str">
        <x:v>Hybrid Vehicle ECU</x:v>
      </x:c>
      <x:c r="F10" s="231" t="str">
        <x:v>MG2 inverter temperature</x:v>
      </x:c>
      <x:c r="G10" s="231" t="str">
        <x:v>D</x:v>
      </x:c>
      <x:c r="H10" s="231" t="str">
        <x:v>uint8</x:v>
      </x:c>
      <x:c r="I10" s="231" t="str">
        <x:v>D - 40</x:v>
      </x:c>
      <x:c r="J10" s="231" t="str">
        <x:v>degC</x:v>
      </x:c>
      <x:c r="K10" s="231" t="str">
        <x:v>-40 to 215</x:v>
      </x:c>
      <x:c r="L10" s="231" t="str">
        <x:v>Solicited Mode 21 / ISO-TP; flow control may be required</x:v>
      </x:c>
      <x:c r="M10" s="248" t="str">
        <x:v>READ_ONLY_DIAGNOSTIC</x:v>
      </x:c>
      <x:c r="N10" s="248" t="str">
        <x:v>CANDIDATE</x:v>
      </x:c>
      <x:c r="O10" s="231" t="str">
        <x:v>NEW AHV40 location. NHW20 v0.5 uses 7E2/7EA 21C3 for an MG inverter-temperature pair.</x:v>
      </x:c>
      <x:c r="P10" s="231" t="str">
        <x:v>2007-2011 camry hybrid PID table - Google Search.pdf, p.2</x:v>
      </x:c>
      <x:c r="Q10" s="218" t="str">
        <x:v>Compare with Techstream/AP200 MG2 inverter temperature and confirm MG1/MG2 ordering.</x:v>
      </x:c>
    </x:row>
    <x:row r="11">
      <x:c r="A11" s="217" t="str">
        <x:v>CAMRY_HYBRID_GEN1 / AHV40 (2007-2011)</x:v>
      </x:c>
      <x:c r="B11" s="231" t="str">
        <x:v>7E2 (hex)</x:v>
      </x:c>
      <x:c r="C11" s="231" t="str">
        <x:v>7EA (hex)</x:v>
      </x:c>
      <x:c r="D11" s="231" t="str">
        <x:v>21 22</x:v>
      </x:c>
      <x:c r="E11" s="231" t="str">
        <x:v>Hybrid Vehicle ECU</x:v>
      </x:c>
      <x:c r="F11" s="231" t="str">
        <x:v>MG1 stator/core temperature</x:v>
      </x:c>
      <x:c r="G11" s="231" t="str">
        <x:v>C</x:v>
      </x:c>
      <x:c r="H11" s="231" t="str">
        <x:v>uint8</x:v>
      </x:c>
      <x:c r="I11" s="231" t="str">
        <x:v>C - 40</x:v>
      </x:c>
      <x:c r="J11" s="231" t="str">
        <x:v>degC</x:v>
      </x:c>
      <x:c r="K11" s="231" t="str">
        <x:v>-40 to 215</x:v>
      </x:c>
      <x:c r="L11" s="231" t="str">
        <x:v>Solicited Mode 21 / ISO-TP; flow control may be required</x:v>
      </x:c>
      <x:c r="M11" s="248" t="str">
        <x:v>READ_ONLY_DIAGNOSTIC</x:v>
      </x:c>
      <x:c r="N11" s="248" t="str">
        <x:v>CANDIDATE</x:v>
      </x:c>
      <x:c r="O11" s="231" t="str">
        <x:v>NEW AHV40 location. NHW20 v0.5 uses different fields within 7E2/7EA 21C3 for MG temperature pairs.</x:v>
      </x:c>
      <x:c r="P11" s="231" t="str">
        <x:v>2007-2011 camry hybrid PID table - Google Search.pdf, p.2</x:v>
      </x:c>
      <x:c r="Q11" s="218" t="str">
        <x:v>Compare with Techstream/AP200 MG1 motor temperature and confirm label/order.</x:v>
      </x:c>
    </x:row>
    <x:row r="12">
      <x:c r="A12" s="217" t="str">
        <x:v>CAMRY_HYBRID_GEN1 / AHV40 (2007-2011)</x:v>
      </x:c>
      <x:c r="B12" s="231" t="str">
        <x:v>7E2 (hex)</x:v>
      </x:c>
      <x:c r="C12" s="231" t="str">
        <x:v>7EA (hex)</x:v>
      </x:c>
      <x:c r="D12" s="231" t="str">
        <x:v>21 22</x:v>
      </x:c>
      <x:c r="E12" s="231" t="str">
        <x:v>Hybrid Vehicle ECU</x:v>
      </x:c>
      <x:c r="F12" s="231" t="str">
        <x:v>MG2 stator/core temperature</x:v>
      </x:c>
      <x:c r="G12" s="231" t="str">
        <x:v>D</x:v>
      </x:c>
      <x:c r="H12" s="231" t="str">
        <x:v>uint8</x:v>
      </x:c>
      <x:c r="I12" s="231" t="str">
        <x:v>D - 40</x:v>
      </x:c>
      <x:c r="J12" s="231" t="str">
        <x:v>degC</x:v>
      </x:c>
      <x:c r="K12" s="231" t="str">
        <x:v>-40 to 215</x:v>
      </x:c>
      <x:c r="L12" s="231" t="str">
        <x:v>Solicited Mode 21 / ISO-TP; flow control may be required</x:v>
      </x:c>
      <x:c r="M12" s="248" t="str">
        <x:v>READ_ONLY_DIAGNOSTIC</x:v>
      </x:c>
      <x:c r="N12" s="248" t="str">
        <x:v>CANDIDATE</x:v>
      </x:c>
      <x:c r="O12" s="231" t="str">
        <x:v>NEW AHV40 location. NHW20 v0.5 uses different fields within 7E2/7EA 21C3 for MG temperature pairs.</x:v>
      </x:c>
      <x:c r="P12" s="231" t="str">
        <x:v>2007-2011 camry hybrid PID table - Google Search.pdf, p.2</x:v>
      </x:c>
      <x:c r="Q12" s="218" t="str">
        <x:v>Compare with Techstream/AP200 MG2 motor temperature and confirm label/order.</x:v>
      </x:c>
    </x:row>
    <x:row r="13">
      <x:c r="A13" s="217" t="str">
        <x:v>CAMRY_HYBRID_GEN1 / AHV40 (2007-2011)</x:v>
      </x:c>
      <x:c r="B13" s="231" t="str">
        <x:v>7E3 (hex)</x:v>
      </x:c>
      <x:c r="C13" s="231" t="str">
        <x:v>7EB (hex)</x:v>
      </x:c>
      <x:c r="D13" s="231" t="str">
        <x:v>21 41</x:v>
      </x:c>
      <x:c r="E13" s="231" t="str">
        <x:v>Battery ECU</x:v>
      </x:c>
      <x:c r="F13" s="231" t="str">
        <x:v>Battery block voltage 1</x:v>
      </x:c>
      <x:c r="G13" s="231" t="str">
        <x:v>A:B</x:v>
      </x:c>
      <x:c r="H13" s="231" t="str">
        <x:v>uint16 big-endian</x:v>
      </x:c>
      <x:c r="I13" s="231" t="str">
        <x:v>uint16_BE(A,B) / 100</x:v>
      </x:c>
      <x:c r="J13" s="231" t="str">
        <x:v>V</x:v>
      </x:c>
      <x:c r="K13" s="231" t="str">
        <x:v>0 to 25</x:v>
      </x:c>
      <x:c r="L13" s="231" t="str">
        <x:v>Solicited Mode 21 / ISO-TP; flow control may be required</x:v>
      </x:c>
      <x:c r="M13" s="248" t="str">
        <x:v>READ_ONLY_DIAGNOSTIC</x:v>
      </x:c>
      <x:c r="N13" s="248" t="str">
        <x:v>CANDIDATE</x:v>
      </x:c>
      <x:c r="O13" s="231" t="str">
        <x:v>NEW AHV40 PID series. NHW20 v0.5 uses a different 21D0 composite; ZVW35 uses 7E2 2181. No cross-profile reuse.</x:v>
      </x:c>
      <x:c r="P13" s="231" t="str">
        <x:v>2007-2011 camry hybrid PID table - Google Search.pdf, p.3</x:v>
      </x:c>
      <x:c r="Q13" s="218" t="str">
        <x:v>Compare all 17 blocks with AP200/Techstream; verify pack sum, ordering, and behavior under load before using imbalance thresholds.</x:v>
      </x:c>
    </x:row>
    <x:row r="14">
      <x:c r="A14" s="217" t="str">
        <x:v>CAMRY_HYBRID_GEN1 / AHV40 (2007-2011)</x:v>
      </x:c>
      <x:c r="B14" s="231" t="str">
        <x:v>7E3 (hex)</x:v>
      </x:c>
      <x:c r="C14" s="231" t="str">
        <x:v>7EB (hex)</x:v>
      </x:c>
      <x:c r="D14" s="231" t="str">
        <x:v>21 41</x:v>
      </x:c>
      <x:c r="E14" s="231" t="str">
        <x:v>Battery ECU</x:v>
      </x:c>
      <x:c r="F14" s="231" t="str">
        <x:v>Battery block voltage 2</x:v>
      </x:c>
      <x:c r="G14" s="231" t="str">
        <x:v>C:D</x:v>
      </x:c>
      <x:c r="H14" s="231" t="str">
        <x:v>uint16 big-endian</x:v>
      </x:c>
      <x:c r="I14" s="231" t="str">
        <x:v>uint16_BE(C,D) / 100</x:v>
      </x:c>
      <x:c r="J14" s="231" t="str">
        <x:v>V</x:v>
      </x:c>
      <x:c r="K14" s="231" t="str">
        <x:v>0 to 25</x:v>
      </x:c>
      <x:c r="L14" s="231" t="str">
        <x:v>Solicited Mode 21 / ISO-TP; flow control may be required</x:v>
      </x:c>
      <x:c r="M14" s="248" t="str">
        <x:v>READ_ONLY_DIAGNOSTIC</x:v>
      </x:c>
      <x:c r="N14" s="248" t="str">
        <x:v>CANDIDATE</x:v>
      </x:c>
      <x:c r="O14" s="231" t="str">
        <x:v>NEW AHV40 PID series. NHW20 v0.5 uses a different 21D0 composite; ZVW35 uses 7E2 2181. No cross-profile reuse.</x:v>
      </x:c>
      <x:c r="P14" s="231" t="str">
        <x:v>2007-2011 camry hybrid PID table - Google Search.pdf, p.3</x:v>
      </x:c>
      <x:c r="Q14" s="218" t="str">
        <x:v>Compare all 17 blocks with AP200/Techstream; verify pack sum, ordering, and behavior under load before using imbalance thresholds.</x:v>
      </x:c>
    </x:row>
    <x:row r="15">
      <x:c r="A15" s="217" t="str">
        <x:v>CAMRY_HYBRID_GEN1 / AHV40 (2007-2011)</x:v>
      </x:c>
      <x:c r="B15" s="231" t="str">
        <x:v>7E3 (hex)</x:v>
      </x:c>
      <x:c r="C15" s="231" t="str">
        <x:v>7EB (hex)</x:v>
      </x:c>
      <x:c r="D15" s="231" t="str">
        <x:v>21 41</x:v>
      </x:c>
      <x:c r="E15" s="231" t="str">
        <x:v>Battery ECU</x:v>
      </x:c>
      <x:c r="F15" s="231" t="str">
        <x:v>Battery block voltage 3</x:v>
      </x:c>
      <x:c r="G15" s="231" t="str">
        <x:v>E:F</x:v>
      </x:c>
      <x:c r="H15" s="231" t="str">
        <x:v>uint16 big-endian</x:v>
      </x:c>
      <x:c r="I15" s="231" t="str">
        <x:v>uint16_BE(E,F) / 100</x:v>
      </x:c>
      <x:c r="J15" s="231" t="str">
        <x:v>V</x:v>
      </x:c>
      <x:c r="K15" s="231" t="str">
        <x:v>0 to 25</x:v>
      </x:c>
      <x:c r="L15" s="231" t="str">
        <x:v>Solicited Mode 21 / ISO-TP; flow control may be required</x:v>
      </x:c>
      <x:c r="M15" s="248" t="str">
        <x:v>READ_ONLY_DIAGNOSTIC</x:v>
      </x:c>
      <x:c r="N15" s="248" t="str">
        <x:v>CANDIDATE</x:v>
      </x:c>
      <x:c r="O15" s="231" t="str">
        <x:v>NEW AHV40 PID series. NHW20 v0.5 uses a different 21D0 composite; ZVW35 uses 7E2 2181. No cross-profile reuse.</x:v>
      </x:c>
      <x:c r="P15" s="231" t="str">
        <x:v>2007-2011 camry hybrid PID table - Google Search.pdf, p.3</x:v>
      </x:c>
      <x:c r="Q15" s="218" t="str">
        <x:v>Compare all 17 blocks with AP200/Techstream; verify pack sum, ordering, and behavior under load before using imbalance thresholds.</x:v>
      </x:c>
    </x:row>
    <x:row r="16">
      <x:c r="A16" s="217" t="str">
        <x:v>CAMRY_HYBRID_GEN1 / AHV40 (2007-2011)</x:v>
      </x:c>
      <x:c r="B16" s="231" t="str">
        <x:v>7E3 (hex)</x:v>
      </x:c>
      <x:c r="C16" s="231" t="str">
        <x:v>7EB (hex)</x:v>
      </x:c>
      <x:c r="D16" s="231" t="str">
        <x:v>21 41</x:v>
      </x:c>
      <x:c r="E16" s="231" t="str">
        <x:v>Battery ECU</x:v>
      </x:c>
      <x:c r="F16" s="231" t="str">
        <x:v>Battery block voltage 4</x:v>
      </x:c>
      <x:c r="G16" s="231" t="str">
        <x:v>G:H</x:v>
      </x:c>
      <x:c r="H16" s="231" t="str">
        <x:v>uint16 big-endian</x:v>
      </x:c>
      <x:c r="I16" s="231" t="str">
        <x:v>uint16_BE(G,H) / 100</x:v>
      </x:c>
      <x:c r="J16" s="231" t="str">
        <x:v>V</x:v>
      </x:c>
      <x:c r="K16" s="231" t="str">
        <x:v>0 to 25</x:v>
      </x:c>
      <x:c r="L16" s="231" t="str">
        <x:v>Solicited Mode 21 / ISO-TP; flow control may be required</x:v>
      </x:c>
      <x:c r="M16" s="248" t="str">
        <x:v>READ_ONLY_DIAGNOSTIC</x:v>
      </x:c>
      <x:c r="N16" s="248" t="str">
        <x:v>CANDIDATE</x:v>
      </x:c>
      <x:c r="O16" s="231" t="str">
        <x:v>NEW AHV40 PID series. NHW20 v0.5 uses a different 21D0 composite; ZVW35 uses 7E2 2181. No cross-profile reuse.</x:v>
      </x:c>
      <x:c r="P16" s="231" t="str">
        <x:v>2007-2011 camry hybrid PID table - Google Search.pdf, p.3</x:v>
      </x:c>
      <x:c r="Q16" s="218" t="str">
        <x:v>Compare all 17 blocks with AP200/Techstream; verify pack sum, ordering, and behavior under load before using imbalance thresholds.</x:v>
      </x:c>
    </x:row>
    <x:row r="17">
      <x:c r="A17" s="217" t="str">
        <x:v>CAMRY_HYBRID_GEN1 / AHV40 (2007-2011)</x:v>
      </x:c>
      <x:c r="B17" s="231" t="str">
        <x:v>7E3 (hex)</x:v>
      </x:c>
      <x:c r="C17" s="231" t="str">
        <x:v>7EB (hex)</x:v>
      </x:c>
      <x:c r="D17" s="231" t="str">
        <x:v>21 42</x:v>
      </x:c>
      <x:c r="E17" s="231" t="str">
        <x:v>Battery ECU</x:v>
      </x:c>
      <x:c r="F17" s="231" t="str">
        <x:v>Battery block voltage 5</x:v>
      </x:c>
      <x:c r="G17" s="231" t="str">
        <x:v>A:B</x:v>
      </x:c>
      <x:c r="H17" s="231" t="str">
        <x:v>uint16 big-endian</x:v>
      </x:c>
      <x:c r="I17" s="231" t="str">
        <x:v>uint16_BE(A,B) / 100</x:v>
      </x:c>
      <x:c r="J17" s="231" t="str">
        <x:v>V</x:v>
      </x:c>
      <x:c r="K17" s="231" t="str">
        <x:v>0 to 25</x:v>
      </x:c>
      <x:c r="L17" s="231" t="str">
        <x:v>Solicited Mode 21 / ISO-TP; flow control may be required</x:v>
      </x:c>
      <x:c r="M17" s="248" t="str">
        <x:v>READ_ONLY_DIAGNOSTIC</x:v>
      </x:c>
      <x:c r="N17" s="248" t="str">
        <x:v>CANDIDATE</x:v>
      </x:c>
      <x:c r="O17" s="231" t="str">
        <x:v>NEW AHV40 PID series. NHW20 v0.5 uses a different 21D0 composite; ZVW35 uses 7E2 2181. No cross-profile reuse.</x:v>
      </x:c>
      <x:c r="P17" s="231" t="str">
        <x:v>2007-2011 camry hybrid PID table - Google Search.pdf, p.3</x:v>
      </x:c>
      <x:c r="Q17" s="218" t="str">
        <x:v>Compare all 17 blocks with AP200/Techstream; verify pack sum, ordering, and behavior under load before using imbalance thresholds.</x:v>
      </x:c>
    </x:row>
    <x:row r="18">
      <x:c r="A18" s="217" t="str">
        <x:v>CAMRY_HYBRID_GEN1 / AHV40 (2007-2011)</x:v>
      </x:c>
      <x:c r="B18" s="231" t="str">
        <x:v>7E3 (hex)</x:v>
      </x:c>
      <x:c r="C18" s="231" t="str">
        <x:v>7EB (hex)</x:v>
      </x:c>
      <x:c r="D18" s="231" t="str">
        <x:v>21 42</x:v>
      </x:c>
      <x:c r="E18" s="231" t="str">
        <x:v>Battery ECU</x:v>
      </x:c>
      <x:c r="F18" s="231" t="str">
        <x:v>Battery block voltage 6</x:v>
      </x:c>
      <x:c r="G18" s="231" t="str">
        <x:v>C:D</x:v>
      </x:c>
      <x:c r="H18" s="231" t="str">
        <x:v>uint16 big-endian</x:v>
      </x:c>
      <x:c r="I18" s="231" t="str">
        <x:v>uint16_BE(C,D) / 100</x:v>
      </x:c>
      <x:c r="J18" s="231" t="str">
        <x:v>V</x:v>
      </x:c>
      <x:c r="K18" s="231" t="str">
        <x:v>0 to 25</x:v>
      </x:c>
      <x:c r="L18" s="231" t="str">
        <x:v>Solicited Mode 21 / ISO-TP; flow control may be required</x:v>
      </x:c>
      <x:c r="M18" s="248" t="str">
        <x:v>READ_ONLY_DIAGNOSTIC</x:v>
      </x:c>
      <x:c r="N18" s="248" t="str">
        <x:v>CANDIDATE</x:v>
      </x:c>
      <x:c r="O18" s="231" t="str">
        <x:v>NEW AHV40 PID series. NHW20 v0.5 uses a different 21D0 composite; ZVW35 uses 7E2 2181. No cross-profile reuse.</x:v>
      </x:c>
      <x:c r="P18" s="231" t="str">
        <x:v>2007-2011 camry hybrid PID table - Google Search.pdf, p.3</x:v>
      </x:c>
      <x:c r="Q18" s="218" t="str">
        <x:v>Compare all 17 blocks with AP200/Techstream; verify pack sum, ordering, and behavior under load before using imbalance thresholds.</x:v>
      </x:c>
    </x:row>
    <x:row r="19">
      <x:c r="A19" s="217" t="str">
        <x:v>CAMRY_HYBRID_GEN1 / AHV40 (2007-2011)</x:v>
      </x:c>
      <x:c r="B19" s="231" t="str">
        <x:v>7E3 (hex)</x:v>
      </x:c>
      <x:c r="C19" s="231" t="str">
        <x:v>7EB (hex)</x:v>
      </x:c>
      <x:c r="D19" s="231" t="str">
        <x:v>21 42</x:v>
      </x:c>
      <x:c r="E19" s="231" t="str">
        <x:v>Battery ECU</x:v>
      </x:c>
      <x:c r="F19" s="231" t="str">
        <x:v>Battery block voltage 7</x:v>
      </x:c>
      <x:c r="G19" s="231" t="str">
        <x:v>E:F</x:v>
      </x:c>
      <x:c r="H19" s="231" t="str">
        <x:v>uint16 big-endian</x:v>
      </x:c>
      <x:c r="I19" s="231" t="str">
        <x:v>uint16_BE(E,F) / 100</x:v>
      </x:c>
      <x:c r="J19" s="231" t="str">
        <x:v>V</x:v>
      </x:c>
      <x:c r="K19" s="231" t="str">
        <x:v>0 to 25</x:v>
      </x:c>
      <x:c r="L19" s="231" t="str">
        <x:v>Solicited Mode 21 / ISO-TP; flow control may be required</x:v>
      </x:c>
      <x:c r="M19" s="248" t="str">
        <x:v>READ_ONLY_DIAGNOSTIC</x:v>
      </x:c>
      <x:c r="N19" s="248" t="str">
        <x:v>CANDIDATE</x:v>
      </x:c>
      <x:c r="O19" s="231" t="str">
        <x:v>NEW AHV40 PID series. NHW20 v0.5 uses a different 21D0 composite; ZVW35 uses 7E2 2181. No cross-profile reuse.</x:v>
      </x:c>
      <x:c r="P19" s="231" t="str">
        <x:v>2007-2011 camry hybrid PID table - Google Search.pdf, p.3</x:v>
      </x:c>
      <x:c r="Q19" s="218" t="str">
        <x:v>Compare all 17 blocks with AP200/Techstream; verify pack sum, ordering, and behavior under load before using imbalance thresholds.</x:v>
      </x:c>
    </x:row>
    <x:row r="20">
      <x:c r="A20" s="217" t="str">
        <x:v>CAMRY_HYBRID_GEN1 / AHV40 (2007-2011)</x:v>
      </x:c>
      <x:c r="B20" s="231" t="str">
        <x:v>7E3 (hex)</x:v>
      </x:c>
      <x:c r="C20" s="231" t="str">
        <x:v>7EB (hex)</x:v>
      </x:c>
      <x:c r="D20" s="231" t="str">
        <x:v>21 42</x:v>
      </x:c>
      <x:c r="E20" s="231" t="str">
        <x:v>Battery ECU</x:v>
      </x:c>
      <x:c r="F20" s="231" t="str">
        <x:v>Battery block voltage 8</x:v>
      </x:c>
      <x:c r="G20" s="231" t="str">
        <x:v>G:H</x:v>
      </x:c>
      <x:c r="H20" s="231" t="str">
        <x:v>uint16 big-endian</x:v>
      </x:c>
      <x:c r="I20" s="231" t="str">
        <x:v>uint16_BE(G,H) / 100</x:v>
      </x:c>
      <x:c r="J20" s="231" t="str">
        <x:v>V</x:v>
      </x:c>
      <x:c r="K20" s="231" t="str">
        <x:v>0 to 25</x:v>
      </x:c>
      <x:c r="L20" s="231" t="str">
        <x:v>Solicited Mode 21 / ISO-TP; flow control may be required</x:v>
      </x:c>
      <x:c r="M20" s="248" t="str">
        <x:v>READ_ONLY_DIAGNOSTIC</x:v>
      </x:c>
      <x:c r="N20" s="248" t="str">
        <x:v>CANDIDATE</x:v>
      </x:c>
      <x:c r="O20" s="231" t="str">
        <x:v>NEW AHV40 PID series. NHW20 v0.5 uses a different 21D0 composite; ZVW35 uses 7E2 2181. No cross-profile reuse.</x:v>
      </x:c>
      <x:c r="P20" s="231" t="str">
        <x:v>2007-2011 camry hybrid PID table - Google Search.pdf, p.3</x:v>
      </x:c>
      <x:c r="Q20" s="218" t="str">
        <x:v>Compare all 17 blocks with AP200/Techstream; verify pack sum, ordering, and behavior under load before using imbalance thresholds.</x:v>
      </x:c>
    </x:row>
    <x:row r="21">
      <x:c r="A21" s="217" t="str">
        <x:v>CAMRY_HYBRID_GEN1 / AHV40 (2007-2011)</x:v>
      </x:c>
      <x:c r="B21" s="231" t="str">
        <x:v>7E3 (hex)</x:v>
      </x:c>
      <x:c r="C21" s="231" t="str">
        <x:v>7EB (hex)</x:v>
      </x:c>
      <x:c r="D21" s="231" t="str">
        <x:v>21 42</x:v>
      </x:c>
      <x:c r="E21" s="231" t="str">
        <x:v>Battery ECU</x:v>
      </x:c>
      <x:c r="F21" s="231" t="str">
        <x:v>Battery block voltage 9</x:v>
      </x:c>
      <x:c r="G21" s="231" t="str">
        <x:v>I:J</x:v>
      </x:c>
      <x:c r="H21" s="231" t="str">
        <x:v>uint16 big-endian</x:v>
      </x:c>
      <x:c r="I21" s="231" t="str">
        <x:v>uint16_BE(I,J) / 100</x:v>
      </x:c>
      <x:c r="J21" s="231" t="str">
        <x:v>V</x:v>
      </x:c>
      <x:c r="K21" s="231" t="str">
        <x:v>0 to 25</x:v>
      </x:c>
      <x:c r="L21" s="231" t="str">
        <x:v>Solicited Mode 21 / ISO-TP; flow control may be required</x:v>
      </x:c>
      <x:c r="M21" s="248" t="str">
        <x:v>READ_ONLY_DIAGNOSTIC</x:v>
      </x:c>
      <x:c r="N21" s="248" t="str">
        <x:v>CANDIDATE</x:v>
      </x:c>
      <x:c r="O21" s="231" t="str">
        <x:v>NEW AHV40 PID series. NHW20 v0.5 uses a different 21D0 composite; ZVW35 uses 7E2 2181. No cross-profile reuse.</x:v>
      </x:c>
      <x:c r="P21" s="231" t="str">
        <x:v>2007-2011 camry hybrid PID table - Google Search.pdf, p.3</x:v>
      </x:c>
      <x:c r="Q21" s="218" t="str">
        <x:v>Compare all 17 blocks with AP200/Techstream; verify pack sum, ordering, and behavior under load before using imbalance thresholds.</x:v>
      </x:c>
    </x:row>
    <x:row r="22">
      <x:c r="A22" s="217" t="str">
        <x:v>CAMRY_HYBRID_GEN1 / AHV40 (2007-2011)</x:v>
      </x:c>
      <x:c r="B22" s="231" t="str">
        <x:v>7E3 (hex)</x:v>
      </x:c>
      <x:c r="C22" s="231" t="str">
        <x:v>7EB (hex)</x:v>
      </x:c>
      <x:c r="D22" s="231" t="str">
        <x:v>21 43</x:v>
      </x:c>
      <x:c r="E22" s="231" t="str">
        <x:v>Battery ECU</x:v>
      </x:c>
      <x:c r="F22" s="231" t="str">
        <x:v>Battery block voltage 10</x:v>
      </x:c>
      <x:c r="G22" s="231" t="str">
        <x:v>A:B</x:v>
      </x:c>
      <x:c r="H22" s="231" t="str">
        <x:v>uint16 big-endian</x:v>
      </x:c>
      <x:c r="I22" s="231" t="str">
        <x:v>uint16_BE(A,B) / 100</x:v>
      </x:c>
      <x:c r="J22" s="231" t="str">
        <x:v>V</x:v>
      </x:c>
      <x:c r="K22" s="231" t="str">
        <x:v>0 to 25</x:v>
      </x:c>
      <x:c r="L22" s="231" t="str">
        <x:v>Solicited Mode 21 / ISO-TP; flow control may be required</x:v>
      </x:c>
      <x:c r="M22" s="248" t="str">
        <x:v>READ_ONLY_DIAGNOSTIC</x:v>
      </x:c>
      <x:c r="N22" s="248" t="str">
        <x:v>CANDIDATE</x:v>
      </x:c>
      <x:c r="O22" s="231" t="str">
        <x:v>NEW AHV40 PID series. NHW20 v0.5 uses a different 21D0 composite; ZVW35 uses 7E2 2181. No cross-profile reuse.</x:v>
      </x:c>
      <x:c r="P22" s="231" t="str">
        <x:v>2007-2011 camry hybrid PID table - Google Search.pdf, p.3</x:v>
      </x:c>
      <x:c r="Q22" s="218" t="str">
        <x:v>Compare all 17 blocks with AP200/Techstream; verify pack sum, ordering, and behavior under load before using imbalance thresholds.</x:v>
      </x:c>
    </x:row>
    <x:row r="23">
      <x:c r="A23" s="217" t="str">
        <x:v>CAMRY_HYBRID_GEN1 / AHV40 (2007-2011)</x:v>
      </x:c>
      <x:c r="B23" s="231" t="str">
        <x:v>7E3 (hex)</x:v>
      </x:c>
      <x:c r="C23" s="231" t="str">
        <x:v>7EB (hex)</x:v>
      </x:c>
      <x:c r="D23" s="231" t="str">
        <x:v>21 43</x:v>
      </x:c>
      <x:c r="E23" s="231" t="str">
        <x:v>Battery ECU</x:v>
      </x:c>
      <x:c r="F23" s="231" t="str">
        <x:v>Battery block voltage 11</x:v>
      </x:c>
      <x:c r="G23" s="231" t="str">
        <x:v>C:D</x:v>
      </x:c>
      <x:c r="H23" s="231" t="str">
        <x:v>uint16 big-endian</x:v>
      </x:c>
      <x:c r="I23" s="231" t="str">
        <x:v>uint16_BE(C,D) / 100</x:v>
      </x:c>
      <x:c r="J23" s="231" t="str">
        <x:v>V</x:v>
      </x:c>
      <x:c r="K23" s="231" t="str">
        <x:v>0 to 25</x:v>
      </x:c>
      <x:c r="L23" s="231" t="str">
        <x:v>Solicited Mode 21 / ISO-TP; flow control may be required</x:v>
      </x:c>
      <x:c r="M23" s="248" t="str">
        <x:v>READ_ONLY_DIAGNOSTIC</x:v>
      </x:c>
      <x:c r="N23" s="248" t="str">
        <x:v>CANDIDATE</x:v>
      </x:c>
      <x:c r="O23" s="231" t="str">
        <x:v>NEW AHV40 PID series. NHW20 v0.5 uses a different 21D0 composite; ZVW35 uses 7E2 2181. No cross-profile reuse.</x:v>
      </x:c>
      <x:c r="P23" s="231" t="str">
        <x:v>2007-2011 camry hybrid PID table - Google Search.pdf, p.3</x:v>
      </x:c>
      <x:c r="Q23" s="218" t="str">
        <x:v>Compare all 17 blocks with AP200/Techstream; verify pack sum, ordering, and behavior under load before using imbalance thresholds.</x:v>
      </x:c>
    </x:row>
    <x:row r="24">
      <x:c r="A24" s="217" t="str">
        <x:v>CAMRY_HYBRID_GEN1 / AHV40 (2007-2011)</x:v>
      </x:c>
      <x:c r="B24" s="231" t="str">
        <x:v>7E3 (hex)</x:v>
      </x:c>
      <x:c r="C24" s="231" t="str">
        <x:v>7EB (hex)</x:v>
      </x:c>
      <x:c r="D24" s="231" t="str">
        <x:v>21 43</x:v>
      </x:c>
      <x:c r="E24" s="231" t="str">
        <x:v>Battery ECU</x:v>
      </x:c>
      <x:c r="F24" s="231" t="str">
        <x:v>Battery block voltage 12</x:v>
      </x:c>
      <x:c r="G24" s="231" t="str">
        <x:v>E:F</x:v>
      </x:c>
      <x:c r="H24" s="231" t="str">
        <x:v>uint16 big-endian</x:v>
      </x:c>
      <x:c r="I24" s="231" t="str">
        <x:v>uint16_BE(E,F) / 100</x:v>
      </x:c>
      <x:c r="J24" s="231" t="str">
        <x:v>V</x:v>
      </x:c>
      <x:c r="K24" s="231" t="str">
        <x:v>0 to 25</x:v>
      </x:c>
      <x:c r="L24" s="231" t="str">
        <x:v>Solicited Mode 21 / ISO-TP; flow control may be required</x:v>
      </x:c>
      <x:c r="M24" s="248" t="str">
        <x:v>READ_ONLY_DIAGNOSTIC</x:v>
      </x:c>
      <x:c r="N24" s="248" t="str">
        <x:v>CANDIDATE</x:v>
      </x:c>
      <x:c r="O24" s="231" t="str">
        <x:v>NEW AHV40 PID series. NHW20 v0.5 uses a different 21D0 composite; ZVW35 uses 7E2 2181. No cross-profile reuse.</x:v>
      </x:c>
      <x:c r="P24" s="231" t="str">
        <x:v>2007-2011 camry hybrid PID table - Google Search.pdf, p.3</x:v>
      </x:c>
      <x:c r="Q24" s="218" t="str">
        <x:v>Compare all 17 blocks with AP200/Techstream; verify pack sum, ordering, and behavior under load before using imbalance thresholds.</x:v>
      </x:c>
    </x:row>
    <x:row r="25">
      <x:c r="A25" s="217" t="str">
        <x:v>CAMRY_HYBRID_GEN1 / AHV40 (2007-2011)</x:v>
      </x:c>
      <x:c r="B25" s="231" t="str">
        <x:v>7E3 (hex)</x:v>
      </x:c>
      <x:c r="C25" s="231" t="str">
        <x:v>7EB (hex)</x:v>
      </x:c>
      <x:c r="D25" s="231" t="str">
        <x:v>21 43</x:v>
      </x:c>
      <x:c r="E25" s="231" t="str">
        <x:v>Battery ECU</x:v>
      </x:c>
      <x:c r="F25" s="231" t="str">
        <x:v>Battery block voltage 13</x:v>
      </x:c>
      <x:c r="G25" s="231" t="str">
        <x:v>G:H</x:v>
      </x:c>
      <x:c r="H25" s="231" t="str">
        <x:v>uint16 big-endian</x:v>
      </x:c>
      <x:c r="I25" s="231" t="str">
        <x:v>uint16_BE(G,H) / 100</x:v>
      </x:c>
      <x:c r="J25" s="231" t="str">
        <x:v>V</x:v>
      </x:c>
      <x:c r="K25" s="231" t="str">
        <x:v>0 to 25</x:v>
      </x:c>
      <x:c r="L25" s="231" t="str">
        <x:v>Solicited Mode 21 / ISO-TP; flow control may be required</x:v>
      </x:c>
      <x:c r="M25" s="248" t="str">
        <x:v>READ_ONLY_DIAGNOSTIC</x:v>
      </x:c>
      <x:c r="N25" s="248" t="str">
        <x:v>CANDIDATE</x:v>
      </x:c>
      <x:c r="O25" s="231" t="str">
        <x:v>NEW AHV40 PID series. NHW20 v0.5 uses a different 21D0 composite; ZVW35 uses 7E2 2181. No cross-profile reuse.</x:v>
      </x:c>
      <x:c r="P25" s="231" t="str">
        <x:v>2007-2011 camry hybrid PID table - Google Search.pdf, p.3</x:v>
      </x:c>
      <x:c r="Q25" s="218" t="str">
        <x:v>Compare all 17 blocks with AP200/Techstream; verify pack sum, ordering, and behavior under load before using imbalance thresholds.</x:v>
      </x:c>
    </x:row>
    <x:row r="26">
      <x:c r="A26" s="217" t="str">
        <x:v>CAMRY_HYBRID_GEN1 / AHV40 (2007-2011)</x:v>
      </x:c>
      <x:c r="B26" s="231" t="str">
        <x:v>7E3 (hex)</x:v>
      </x:c>
      <x:c r="C26" s="231" t="str">
        <x:v>7EB (hex)</x:v>
      </x:c>
      <x:c r="D26" s="231" t="str">
        <x:v>21 44</x:v>
      </x:c>
      <x:c r="E26" s="231" t="str">
        <x:v>Battery ECU</x:v>
      </x:c>
      <x:c r="F26" s="231" t="str">
        <x:v>Battery block voltage 14</x:v>
      </x:c>
      <x:c r="G26" s="231" t="str">
        <x:v>A:B</x:v>
      </x:c>
      <x:c r="H26" s="231" t="str">
        <x:v>uint16 big-endian</x:v>
      </x:c>
      <x:c r="I26" s="231" t="str">
        <x:v>uint16_BE(A,B) / 100</x:v>
      </x:c>
      <x:c r="J26" s="231" t="str">
        <x:v>V</x:v>
      </x:c>
      <x:c r="K26" s="231" t="str">
        <x:v>0 to 25</x:v>
      </x:c>
      <x:c r="L26" s="231" t="str">
        <x:v>Solicited Mode 21 / ISO-TP; flow control may be required</x:v>
      </x:c>
      <x:c r="M26" s="248" t="str">
        <x:v>READ_ONLY_DIAGNOSTIC</x:v>
      </x:c>
      <x:c r="N26" s="248" t="str">
        <x:v>CANDIDATE</x:v>
      </x:c>
      <x:c r="O26" s="231" t="str">
        <x:v>NEW AHV40 PID series. NHW20 v0.5 uses a different 21D0 composite; ZVW35 uses 7E2 2181. No cross-profile reuse.</x:v>
      </x:c>
      <x:c r="P26" s="231" t="str">
        <x:v>2007-2011 camry hybrid PID table - Google Search.pdf, p.3</x:v>
      </x:c>
      <x:c r="Q26" s="218" t="str">
        <x:v>Compare all 17 blocks with AP200/Techstream; verify pack sum, ordering, and behavior under load before using imbalance thresholds.</x:v>
      </x:c>
    </x:row>
    <x:row r="27">
      <x:c r="A27" s="217" t="str">
        <x:v>CAMRY_HYBRID_GEN1 / AHV40 (2007-2011)</x:v>
      </x:c>
      <x:c r="B27" s="231" t="str">
        <x:v>7E3 (hex)</x:v>
      </x:c>
      <x:c r="C27" s="231" t="str">
        <x:v>7EB (hex)</x:v>
      </x:c>
      <x:c r="D27" s="231" t="str">
        <x:v>21 44</x:v>
      </x:c>
      <x:c r="E27" s="231" t="str">
        <x:v>Battery ECU</x:v>
      </x:c>
      <x:c r="F27" s="231" t="str">
        <x:v>Battery block voltage 15</x:v>
      </x:c>
      <x:c r="G27" s="231" t="str">
        <x:v>C:D</x:v>
      </x:c>
      <x:c r="H27" s="231" t="str">
        <x:v>uint16 big-endian</x:v>
      </x:c>
      <x:c r="I27" s="231" t="str">
        <x:v>uint16_BE(C,D) / 100</x:v>
      </x:c>
      <x:c r="J27" s="231" t="str">
        <x:v>V</x:v>
      </x:c>
      <x:c r="K27" s="231" t="str">
        <x:v>0 to 25</x:v>
      </x:c>
      <x:c r="L27" s="231" t="str">
        <x:v>Solicited Mode 21 / ISO-TP; flow control may be required</x:v>
      </x:c>
      <x:c r="M27" s="248" t="str">
        <x:v>READ_ONLY_DIAGNOSTIC</x:v>
      </x:c>
      <x:c r="N27" s="248" t="str">
        <x:v>CANDIDATE</x:v>
      </x:c>
      <x:c r="O27" s="231" t="str">
        <x:v>NEW AHV40 PID series. NHW20 v0.5 uses a different 21D0 composite; ZVW35 uses 7E2 2181. No cross-profile reuse.</x:v>
      </x:c>
      <x:c r="P27" s="231" t="str">
        <x:v>2007-2011 camry hybrid PID table - Google Search.pdf, p.3</x:v>
      </x:c>
      <x:c r="Q27" s="218" t="str">
        <x:v>Compare all 17 blocks with AP200/Techstream; verify pack sum, ordering, and behavior under load before using imbalance thresholds.</x:v>
      </x:c>
    </x:row>
    <x:row r="28">
      <x:c r="A28" s="217" t="str">
        <x:v>CAMRY_HYBRID_GEN1 / AHV40 (2007-2011)</x:v>
      </x:c>
      <x:c r="B28" s="231" t="str">
        <x:v>7E3 (hex)</x:v>
      </x:c>
      <x:c r="C28" s="231" t="str">
        <x:v>7EB (hex)</x:v>
      </x:c>
      <x:c r="D28" s="231" t="str">
        <x:v>21 44</x:v>
      </x:c>
      <x:c r="E28" s="231" t="str">
        <x:v>Battery ECU</x:v>
      </x:c>
      <x:c r="F28" s="231" t="str">
        <x:v>Battery block voltage 16</x:v>
      </x:c>
      <x:c r="G28" s="231" t="str">
        <x:v>E:F</x:v>
      </x:c>
      <x:c r="H28" s="231" t="str">
        <x:v>uint16 big-endian</x:v>
      </x:c>
      <x:c r="I28" s="231" t="str">
        <x:v>uint16_BE(E,F) / 100</x:v>
      </x:c>
      <x:c r="J28" s="231" t="str">
        <x:v>V</x:v>
      </x:c>
      <x:c r="K28" s="231" t="str">
        <x:v>0 to 25</x:v>
      </x:c>
      <x:c r="L28" s="231" t="str">
        <x:v>Solicited Mode 21 / ISO-TP; flow control may be required</x:v>
      </x:c>
      <x:c r="M28" s="248" t="str">
        <x:v>READ_ONLY_DIAGNOSTIC</x:v>
      </x:c>
      <x:c r="N28" s="248" t="str">
        <x:v>CANDIDATE</x:v>
      </x:c>
      <x:c r="O28" s="231" t="str">
        <x:v>NEW AHV40 PID series. NHW20 v0.5 uses a different 21D0 composite; ZVW35 uses 7E2 2181. No cross-profile reuse.</x:v>
      </x:c>
      <x:c r="P28" s="231" t="str">
        <x:v>2007-2011 camry hybrid PID table - Google Search.pdf, p.3</x:v>
      </x:c>
      <x:c r="Q28" s="218" t="str">
        <x:v>Compare all 17 blocks with AP200/Techstream; verify pack sum, ordering, and behavior under load before using imbalance thresholds.</x:v>
      </x:c>
    </x:row>
    <x:row r="29">
      <x:c r="A29" s="217" t="str">
        <x:v>CAMRY_HYBRID_GEN1 / AHV40 (2007-2011)</x:v>
      </x:c>
      <x:c r="B29" s="231" t="str">
        <x:v>7E3 (hex)</x:v>
      </x:c>
      <x:c r="C29" s="231" t="str">
        <x:v>7EB (hex)</x:v>
      </x:c>
      <x:c r="D29" s="231" t="str">
        <x:v>21 44</x:v>
      </x:c>
      <x:c r="E29" s="231" t="str">
        <x:v>Battery ECU</x:v>
      </x:c>
      <x:c r="F29" s="231" t="str">
        <x:v>Battery block voltage 17</x:v>
      </x:c>
      <x:c r="G29" s="231" t="str">
        <x:v>G:H</x:v>
      </x:c>
      <x:c r="H29" s="231" t="str">
        <x:v>uint16 big-endian</x:v>
      </x:c>
      <x:c r="I29" s="231" t="str">
        <x:v>uint16_BE(G,H) / 100</x:v>
      </x:c>
      <x:c r="J29" s="231" t="str">
        <x:v>V</x:v>
      </x:c>
      <x:c r="K29" s="231" t="str">
        <x:v>0 to 25</x:v>
      </x:c>
      <x:c r="L29" s="231" t="str">
        <x:v>Solicited Mode 21 / ISO-TP; flow control may be required</x:v>
      </x:c>
      <x:c r="M29" s="248" t="str">
        <x:v>READ_ONLY_DIAGNOSTIC</x:v>
      </x:c>
      <x:c r="N29" s="248" t="str">
        <x:v>CANDIDATE</x:v>
      </x:c>
      <x:c r="O29" s="231" t="str">
        <x:v>NEW AHV40 PID series. NHW20 v0.5 uses a different 21D0 composite; ZVW35 uses 7E2 2181. No cross-profile reuse.</x:v>
      </x:c>
      <x:c r="P29" s="231" t="str">
        <x:v>2007-2011 camry hybrid PID table - Google Search.pdf, p.3</x:v>
      </x:c>
      <x:c r="Q29" s="218" t="str">
        <x:v>Compare all 17 blocks with AP200/Techstream; verify pack sum, ordering, and behavior under load before using imbalance thresholds.</x:v>
      </x:c>
    </x:row>
    <x:row r="30">
      <x:c r="A30" s="217" t="str">
        <x:v>CAMRY_HYBRID_GEN1 / AHV40 (2007-2011)</x:v>
      </x:c>
      <x:c r="B30" s="231" t="str">
        <x:v>7E3 (hex)</x:v>
      </x:c>
      <x:c r="C30" s="231" t="str">
        <x:v>7EB (hex)</x:v>
      </x:c>
      <x:c r="D30" s="231" t="str">
        <x:v>21 45</x:v>
      </x:c>
      <x:c r="E30" s="231" t="str">
        <x:v>Battery ECU</x:v>
      </x:c>
      <x:c r="F30" s="231" t="str">
        <x:v>Battery block internal resistance 1</x:v>
      </x:c>
      <x:c r="G30" s="231" t="str">
        <x:v>A</x:v>
      </x:c>
      <x:c r="H30" s="231" t="str">
        <x:v>uint8</x:v>
      </x:c>
      <x:c r="I30" s="231" t="str">
        <x:v>A / 1000</x:v>
      </x:c>
      <x:c r="J30" s="231" t="str">
        <x:v>ohm</x:v>
      </x:c>
      <x:c r="K30" s="231" t="str">
        <x:v>0 to 0.255</x:v>
      </x:c>
      <x:c r="L30" s="231" t="str">
        <x:v>Solicited Mode 21 / ISO-TP; flow control may be required</x:v>
      </x:c>
      <x:c r="M30" s="248" t="str">
        <x:v>READ_ONLY_DIAGNOSTIC</x:v>
      </x:c>
      <x:c r="N30" s="248" t="str">
        <x:v>CANDIDATE</x:v>
      </x:c>
      <x:c r="O30" s="231" t="str">
        <x:v>NEW AHV40 PID series. Formula resembles ZVW35 /1000 resistance candidates but uses different PID/header topology.</x:v>
      </x:c>
      <x:c r="P30" s="231" t="str">
        <x:v>2007-2011 camry hybrid PID table - Google Search.pdf, p.4</x:v>
      </x:c>
      <x:c r="Q30" s="218" t="str">
        <x:v>Compare all 17 values with Techstream/AP200 and repeated load tests. The PDF's &gt;0.03 ohm warning is an unverified general claim, not a promotion threshold.</x:v>
      </x:c>
    </x:row>
    <x:row r="31">
      <x:c r="A31" s="217" t="str">
        <x:v>CAMRY_HYBRID_GEN1 / AHV40 (2007-2011)</x:v>
      </x:c>
      <x:c r="B31" s="231" t="str">
        <x:v>7E3 (hex)</x:v>
      </x:c>
      <x:c r="C31" s="231" t="str">
        <x:v>7EB (hex)</x:v>
      </x:c>
      <x:c r="D31" s="231" t="str">
        <x:v>21 45</x:v>
      </x:c>
      <x:c r="E31" s="231" t="str">
        <x:v>Battery ECU</x:v>
      </x:c>
      <x:c r="F31" s="231" t="str">
        <x:v>Battery block internal resistance 2</x:v>
      </x:c>
      <x:c r="G31" s="231" t="str">
        <x:v>B</x:v>
      </x:c>
      <x:c r="H31" s="231" t="str">
        <x:v>uint8</x:v>
      </x:c>
      <x:c r="I31" s="231" t="str">
        <x:v>B / 1000</x:v>
      </x:c>
      <x:c r="J31" s="231" t="str">
        <x:v>ohm</x:v>
      </x:c>
      <x:c r="K31" s="231" t="str">
        <x:v>0 to 0.255</x:v>
      </x:c>
      <x:c r="L31" s="231" t="str">
        <x:v>Solicited Mode 21 / ISO-TP; flow control may be required</x:v>
      </x:c>
      <x:c r="M31" s="248" t="str">
        <x:v>READ_ONLY_DIAGNOSTIC</x:v>
      </x:c>
      <x:c r="N31" s="248" t="str">
        <x:v>CANDIDATE</x:v>
      </x:c>
      <x:c r="O31" s="231" t="str">
        <x:v>NEW AHV40 PID series. Formula resembles ZVW35 /1000 resistance candidates but uses different PID/header topology.</x:v>
      </x:c>
      <x:c r="P31" s="231" t="str">
        <x:v>2007-2011 camry hybrid PID table - Google Search.pdf, p.4</x:v>
      </x:c>
      <x:c r="Q31" s="218" t="str">
        <x:v>Compare all 17 values with Techstream/AP200 and repeated load tests. The PDF's &gt;0.03 ohm warning is an unverified general claim, not a promotion threshold.</x:v>
      </x:c>
    </x:row>
    <x:row r="32">
      <x:c r="A32" s="217" t="str">
        <x:v>CAMRY_HYBRID_GEN1 / AHV40 (2007-2011)</x:v>
      </x:c>
      <x:c r="B32" s="231" t="str">
        <x:v>7E3 (hex)</x:v>
      </x:c>
      <x:c r="C32" s="231" t="str">
        <x:v>7EB (hex)</x:v>
      </x:c>
      <x:c r="D32" s="231" t="str">
        <x:v>21 45</x:v>
      </x:c>
      <x:c r="E32" s="231" t="str">
        <x:v>Battery ECU</x:v>
      </x:c>
      <x:c r="F32" s="231" t="str">
        <x:v>Battery block internal resistance 3</x:v>
      </x:c>
      <x:c r="G32" s="231" t="str">
        <x:v>C</x:v>
      </x:c>
      <x:c r="H32" s="231" t="str">
        <x:v>uint8</x:v>
      </x:c>
      <x:c r="I32" s="231" t="str">
        <x:v>C / 1000</x:v>
      </x:c>
      <x:c r="J32" s="231" t="str">
        <x:v>ohm</x:v>
      </x:c>
      <x:c r="K32" s="231" t="str">
        <x:v>0 to 0.255</x:v>
      </x:c>
      <x:c r="L32" s="231" t="str">
        <x:v>Solicited Mode 21 / ISO-TP; flow control may be required</x:v>
      </x:c>
      <x:c r="M32" s="248" t="str">
        <x:v>READ_ONLY_DIAGNOSTIC</x:v>
      </x:c>
      <x:c r="N32" s="248" t="str">
        <x:v>CANDIDATE</x:v>
      </x:c>
      <x:c r="O32" s="231" t="str">
        <x:v>NEW AHV40 PID series. Formula resembles ZVW35 /1000 resistance candidates but uses different PID/header topology.</x:v>
      </x:c>
      <x:c r="P32" s="231" t="str">
        <x:v>2007-2011 camry hybrid PID table - Google Search.pdf, p.4</x:v>
      </x:c>
      <x:c r="Q32" s="218" t="str">
        <x:v>Compare all 17 values with Techstream/AP200 and repeated load tests. The PDF's &gt;0.03 ohm warning is an unverified general claim, not a promotion threshold.</x:v>
      </x:c>
    </x:row>
    <x:row r="33">
      <x:c r="A33" s="217" t="str">
        <x:v>CAMRY_HYBRID_GEN1 / AHV40 (2007-2011)</x:v>
      </x:c>
      <x:c r="B33" s="231" t="str">
        <x:v>7E3 (hex)</x:v>
      </x:c>
      <x:c r="C33" s="231" t="str">
        <x:v>7EB (hex)</x:v>
      </x:c>
      <x:c r="D33" s="231" t="str">
        <x:v>21 45</x:v>
      </x:c>
      <x:c r="E33" s="231" t="str">
        <x:v>Battery ECU</x:v>
      </x:c>
      <x:c r="F33" s="231" t="str">
        <x:v>Battery block internal resistance 4</x:v>
      </x:c>
      <x:c r="G33" s="231" t="str">
        <x:v>D</x:v>
      </x:c>
      <x:c r="H33" s="231" t="str">
        <x:v>uint8</x:v>
      </x:c>
      <x:c r="I33" s="231" t="str">
        <x:v>D / 1000</x:v>
      </x:c>
      <x:c r="J33" s="231" t="str">
        <x:v>ohm</x:v>
      </x:c>
      <x:c r="K33" s="231" t="str">
        <x:v>0 to 0.255</x:v>
      </x:c>
      <x:c r="L33" s="231" t="str">
        <x:v>Solicited Mode 21 / ISO-TP; flow control may be required</x:v>
      </x:c>
      <x:c r="M33" s="248" t="str">
        <x:v>READ_ONLY_DIAGNOSTIC</x:v>
      </x:c>
      <x:c r="N33" s="248" t="str">
        <x:v>CANDIDATE</x:v>
      </x:c>
      <x:c r="O33" s="231" t="str">
        <x:v>NEW AHV40 PID series. Formula resembles ZVW35 /1000 resistance candidates but uses different PID/header topology.</x:v>
      </x:c>
      <x:c r="P33" s="231" t="str">
        <x:v>2007-2011 camry hybrid PID table - Google Search.pdf, p.4</x:v>
      </x:c>
      <x:c r="Q33" s="218" t="str">
        <x:v>Compare all 17 values with Techstream/AP200 and repeated load tests. The PDF's &gt;0.03 ohm warning is an unverified general claim, not a promotion threshold.</x:v>
      </x:c>
    </x:row>
    <x:row r="34">
      <x:c r="A34" s="217" t="str">
        <x:v>CAMRY_HYBRID_GEN1 / AHV40 (2007-2011)</x:v>
      </x:c>
      <x:c r="B34" s="231" t="str">
        <x:v>7E3 (hex)</x:v>
      </x:c>
      <x:c r="C34" s="231" t="str">
        <x:v>7EB (hex)</x:v>
      </x:c>
      <x:c r="D34" s="231" t="str">
        <x:v>21 46</x:v>
      </x:c>
      <x:c r="E34" s="231" t="str">
        <x:v>Battery ECU</x:v>
      </x:c>
      <x:c r="F34" s="231" t="str">
        <x:v>Battery block internal resistance 5</x:v>
      </x:c>
      <x:c r="G34" s="231" t="str">
        <x:v>A</x:v>
      </x:c>
      <x:c r="H34" s="231" t="str">
        <x:v>uint8</x:v>
      </x:c>
      <x:c r="I34" s="231" t="str">
        <x:v>A / 1000</x:v>
      </x:c>
      <x:c r="J34" s="231" t="str">
        <x:v>ohm</x:v>
      </x:c>
      <x:c r="K34" s="231" t="str">
        <x:v>0 to 0.255</x:v>
      </x:c>
      <x:c r="L34" s="231" t="str">
        <x:v>Solicited Mode 21 / ISO-TP; flow control may be required</x:v>
      </x:c>
      <x:c r="M34" s="248" t="str">
        <x:v>READ_ONLY_DIAGNOSTIC</x:v>
      </x:c>
      <x:c r="N34" s="248" t="str">
        <x:v>CANDIDATE</x:v>
      </x:c>
      <x:c r="O34" s="231" t="str">
        <x:v>NEW AHV40 PID series. Formula resembles ZVW35 /1000 resistance candidates but uses different PID/header topology.</x:v>
      </x:c>
      <x:c r="P34" s="231" t="str">
        <x:v>2007-2011 camry hybrid PID table - Google Search.pdf, p.4</x:v>
      </x:c>
      <x:c r="Q34" s="218" t="str">
        <x:v>Compare all 17 values with Techstream/AP200 and repeated load tests. The PDF's &gt;0.03 ohm warning is an unverified general claim, not a promotion threshold.</x:v>
      </x:c>
    </x:row>
    <x:row r="35">
      <x:c r="A35" s="217" t="str">
        <x:v>CAMRY_HYBRID_GEN1 / AHV40 (2007-2011)</x:v>
      </x:c>
      <x:c r="B35" s="231" t="str">
        <x:v>7E3 (hex)</x:v>
      </x:c>
      <x:c r="C35" s="231" t="str">
        <x:v>7EB (hex)</x:v>
      </x:c>
      <x:c r="D35" s="231" t="str">
        <x:v>21 46</x:v>
      </x:c>
      <x:c r="E35" s="231" t="str">
        <x:v>Battery ECU</x:v>
      </x:c>
      <x:c r="F35" s="231" t="str">
        <x:v>Battery block internal resistance 6</x:v>
      </x:c>
      <x:c r="G35" s="231" t="str">
        <x:v>B</x:v>
      </x:c>
      <x:c r="H35" s="231" t="str">
        <x:v>uint8</x:v>
      </x:c>
      <x:c r="I35" s="231" t="str">
        <x:v>B / 1000</x:v>
      </x:c>
      <x:c r="J35" s="231" t="str">
        <x:v>ohm</x:v>
      </x:c>
      <x:c r="K35" s="231" t="str">
        <x:v>0 to 0.255</x:v>
      </x:c>
      <x:c r="L35" s="231" t="str">
        <x:v>Solicited Mode 21 / ISO-TP; flow control may be required</x:v>
      </x:c>
      <x:c r="M35" s="248" t="str">
        <x:v>READ_ONLY_DIAGNOSTIC</x:v>
      </x:c>
      <x:c r="N35" s="248" t="str">
        <x:v>CANDIDATE</x:v>
      </x:c>
      <x:c r="O35" s="231" t="str">
        <x:v>NEW AHV40 PID series. Formula resembles ZVW35 /1000 resistance candidates but uses different PID/header topology.</x:v>
      </x:c>
      <x:c r="P35" s="231" t="str">
        <x:v>2007-2011 camry hybrid PID table - Google Search.pdf, p.4</x:v>
      </x:c>
      <x:c r="Q35" s="218" t="str">
        <x:v>Compare all 17 values with Techstream/AP200 and repeated load tests. The PDF's &gt;0.03 ohm warning is an unverified general claim, not a promotion threshold.</x:v>
      </x:c>
    </x:row>
    <x:row r="36">
      <x:c r="A36" s="217" t="str">
        <x:v>CAMRY_HYBRID_GEN1 / AHV40 (2007-2011)</x:v>
      </x:c>
      <x:c r="B36" s="231" t="str">
        <x:v>7E3 (hex)</x:v>
      </x:c>
      <x:c r="C36" s="231" t="str">
        <x:v>7EB (hex)</x:v>
      </x:c>
      <x:c r="D36" s="231" t="str">
        <x:v>21 46</x:v>
      </x:c>
      <x:c r="E36" s="231" t="str">
        <x:v>Battery ECU</x:v>
      </x:c>
      <x:c r="F36" s="231" t="str">
        <x:v>Battery block internal resistance 7</x:v>
      </x:c>
      <x:c r="G36" s="231" t="str">
        <x:v>C</x:v>
      </x:c>
      <x:c r="H36" s="231" t="str">
        <x:v>uint8</x:v>
      </x:c>
      <x:c r="I36" s="231" t="str">
        <x:v>C / 1000</x:v>
      </x:c>
      <x:c r="J36" s="231" t="str">
        <x:v>ohm</x:v>
      </x:c>
      <x:c r="K36" s="231" t="str">
        <x:v>0 to 0.255</x:v>
      </x:c>
      <x:c r="L36" s="231" t="str">
        <x:v>Solicited Mode 21 / ISO-TP; flow control may be required</x:v>
      </x:c>
      <x:c r="M36" s="248" t="str">
        <x:v>READ_ONLY_DIAGNOSTIC</x:v>
      </x:c>
      <x:c r="N36" s="248" t="str">
        <x:v>CANDIDATE</x:v>
      </x:c>
      <x:c r="O36" s="231" t="str">
        <x:v>NEW AHV40 PID series. Formula resembles ZVW35 /1000 resistance candidates but uses different PID/header topology.</x:v>
      </x:c>
      <x:c r="P36" s="231" t="str">
        <x:v>2007-2011 camry hybrid PID table - Google Search.pdf, p.4</x:v>
      </x:c>
      <x:c r="Q36" s="218" t="str">
        <x:v>Compare all 17 values with Techstream/AP200 and repeated load tests. The PDF's &gt;0.03 ohm warning is an unverified general claim, not a promotion threshold.</x:v>
      </x:c>
    </x:row>
    <x:row r="37">
      <x:c r="A37" s="217" t="str">
        <x:v>CAMRY_HYBRID_GEN1 / AHV40 (2007-2011)</x:v>
      </x:c>
      <x:c r="B37" s="231" t="str">
        <x:v>7E3 (hex)</x:v>
      </x:c>
      <x:c r="C37" s="231" t="str">
        <x:v>7EB (hex)</x:v>
      </x:c>
      <x:c r="D37" s="231" t="str">
        <x:v>21 46</x:v>
      </x:c>
      <x:c r="E37" s="231" t="str">
        <x:v>Battery ECU</x:v>
      </x:c>
      <x:c r="F37" s="231" t="str">
        <x:v>Battery block internal resistance 8</x:v>
      </x:c>
      <x:c r="G37" s="231" t="str">
        <x:v>D</x:v>
      </x:c>
      <x:c r="H37" s="231" t="str">
        <x:v>uint8</x:v>
      </x:c>
      <x:c r="I37" s="231" t="str">
        <x:v>D / 1000</x:v>
      </x:c>
      <x:c r="J37" s="231" t="str">
        <x:v>ohm</x:v>
      </x:c>
      <x:c r="K37" s="231" t="str">
        <x:v>0 to 0.255</x:v>
      </x:c>
      <x:c r="L37" s="231" t="str">
        <x:v>Solicited Mode 21 / ISO-TP; flow control may be required</x:v>
      </x:c>
      <x:c r="M37" s="248" t="str">
        <x:v>READ_ONLY_DIAGNOSTIC</x:v>
      </x:c>
      <x:c r="N37" s="248" t="str">
        <x:v>CANDIDATE</x:v>
      </x:c>
      <x:c r="O37" s="231" t="str">
        <x:v>NEW AHV40 PID series. Formula resembles ZVW35 /1000 resistance candidates but uses different PID/header topology.</x:v>
      </x:c>
      <x:c r="P37" s="231" t="str">
        <x:v>2007-2011 camry hybrid PID table - Google Search.pdf, p.4</x:v>
      </x:c>
      <x:c r="Q37" s="218" t="str">
        <x:v>Compare all 17 values with Techstream/AP200 and repeated load tests. The PDF's &gt;0.03 ohm warning is an unverified general claim, not a promotion threshold.</x:v>
      </x:c>
    </x:row>
    <x:row r="38">
      <x:c r="A38" s="217" t="str">
        <x:v>CAMRY_HYBRID_GEN1 / AHV40 (2007-2011)</x:v>
      </x:c>
      <x:c r="B38" s="231" t="str">
        <x:v>7E3 (hex)</x:v>
      </x:c>
      <x:c r="C38" s="231" t="str">
        <x:v>7EB (hex)</x:v>
      </x:c>
      <x:c r="D38" s="231" t="str">
        <x:v>21 46</x:v>
      </x:c>
      <x:c r="E38" s="231" t="str">
        <x:v>Battery ECU</x:v>
      </x:c>
      <x:c r="F38" s="231" t="str">
        <x:v>Battery block internal resistance 9</x:v>
      </x:c>
      <x:c r="G38" s="231" t="str">
        <x:v>E</x:v>
      </x:c>
      <x:c r="H38" s="231" t="str">
        <x:v>uint8</x:v>
      </x:c>
      <x:c r="I38" s="231" t="str">
        <x:v>E / 1000</x:v>
      </x:c>
      <x:c r="J38" s="231" t="str">
        <x:v>ohm</x:v>
      </x:c>
      <x:c r="K38" s="231" t="str">
        <x:v>0 to 0.255</x:v>
      </x:c>
      <x:c r="L38" s="231" t="str">
        <x:v>Solicited Mode 21 / ISO-TP; flow control may be required</x:v>
      </x:c>
      <x:c r="M38" s="248" t="str">
        <x:v>READ_ONLY_DIAGNOSTIC</x:v>
      </x:c>
      <x:c r="N38" s="248" t="str">
        <x:v>CANDIDATE</x:v>
      </x:c>
      <x:c r="O38" s="231" t="str">
        <x:v>NEW AHV40 PID series. Formula resembles ZVW35 /1000 resistance candidates but uses different PID/header topology.</x:v>
      </x:c>
      <x:c r="P38" s="231" t="str">
        <x:v>2007-2011 camry hybrid PID table - Google Search.pdf, p.4</x:v>
      </x:c>
      <x:c r="Q38" s="218" t="str">
        <x:v>Compare all 17 values with Techstream/AP200 and repeated load tests. The PDF's &gt;0.03 ohm warning is an unverified general claim, not a promotion threshold.</x:v>
      </x:c>
    </x:row>
    <x:row r="39">
      <x:c r="A39" s="217" t="str">
        <x:v>CAMRY_HYBRID_GEN1 / AHV40 (2007-2011)</x:v>
      </x:c>
      <x:c r="B39" s="231" t="str">
        <x:v>7E3 (hex)</x:v>
      </x:c>
      <x:c r="C39" s="231" t="str">
        <x:v>7EB (hex)</x:v>
      </x:c>
      <x:c r="D39" s="231" t="str">
        <x:v>21 47</x:v>
      </x:c>
      <x:c r="E39" s="231" t="str">
        <x:v>Battery ECU</x:v>
      </x:c>
      <x:c r="F39" s="231" t="str">
        <x:v>Battery block internal resistance 10</x:v>
      </x:c>
      <x:c r="G39" s="231" t="str">
        <x:v>A</x:v>
      </x:c>
      <x:c r="H39" s="231" t="str">
        <x:v>uint8</x:v>
      </x:c>
      <x:c r="I39" s="231" t="str">
        <x:v>A / 1000</x:v>
      </x:c>
      <x:c r="J39" s="231" t="str">
        <x:v>ohm</x:v>
      </x:c>
      <x:c r="K39" s="231" t="str">
        <x:v>0 to 0.255</x:v>
      </x:c>
      <x:c r="L39" s="231" t="str">
        <x:v>Solicited Mode 21 / ISO-TP; flow control may be required</x:v>
      </x:c>
      <x:c r="M39" s="248" t="str">
        <x:v>READ_ONLY_DIAGNOSTIC</x:v>
      </x:c>
      <x:c r="N39" s="248" t="str">
        <x:v>CANDIDATE</x:v>
      </x:c>
      <x:c r="O39" s="231" t="str">
        <x:v>NEW AHV40 PID series. Formula resembles ZVW35 /1000 resistance candidates but uses different PID/header topology.</x:v>
      </x:c>
      <x:c r="P39" s="231" t="str">
        <x:v>2007-2011 camry hybrid PID table - Google Search.pdf, p.4</x:v>
      </x:c>
      <x:c r="Q39" s="218" t="str">
        <x:v>Compare all 17 values with Techstream/AP200 and repeated load tests. The PDF's &gt;0.03 ohm warning is an unverified general claim, not a promotion threshold.</x:v>
      </x:c>
    </x:row>
    <x:row r="40">
      <x:c r="A40" s="217" t="str">
        <x:v>CAMRY_HYBRID_GEN1 / AHV40 (2007-2011)</x:v>
      </x:c>
      <x:c r="B40" s="231" t="str">
        <x:v>7E3 (hex)</x:v>
      </x:c>
      <x:c r="C40" s="231" t="str">
        <x:v>7EB (hex)</x:v>
      </x:c>
      <x:c r="D40" s="231" t="str">
        <x:v>21 47</x:v>
      </x:c>
      <x:c r="E40" s="231" t="str">
        <x:v>Battery ECU</x:v>
      </x:c>
      <x:c r="F40" s="231" t="str">
        <x:v>Battery block internal resistance 11</x:v>
      </x:c>
      <x:c r="G40" s="231" t="str">
        <x:v>B</x:v>
      </x:c>
      <x:c r="H40" s="231" t="str">
        <x:v>uint8</x:v>
      </x:c>
      <x:c r="I40" s="231" t="str">
        <x:v>B / 1000</x:v>
      </x:c>
      <x:c r="J40" s="231" t="str">
        <x:v>ohm</x:v>
      </x:c>
      <x:c r="K40" s="231" t="str">
        <x:v>0 to 0.255</x:v>
      </x:c>
      <x:c r="L40" s="231" t="str">
        <x:v>Solicited Mode 21 / ISO-TP; flow control may be required</x:v>
      </x:c>
      <x:c r="M40" s="248" t="str">
        <x:v>READ_ONLY_DIAGNOSTIC</x:v>
      </x:c>
      <x:c r="N40" s="248" t="str">
        <x:v>CANDIDATE</x:v>
      </x:c>
      <x:c r="O40" s="231" t="str">
        <x:v>NEW AHV40 PID series. Formula resembles ZVW35 /1000 resistance candidates but uses different PID/header topology.</x:v>
      </x:c>
      <x:c r="P40" s="231" t="str">
        <x:v>2007-2011 camry hybrid PID table - Google Search.pdf, p.4</x:v>
      </x:c>
      <x:c r="Q40" s="218" t="str">
        <x:v>Compare all 17 values with Techstream/AP200 and repeated load tests. The PDF's &gt;0.03 ohm warning is an unverified general claim, not a promotion threshold.</x:v>
      </x:c>
    </x:row>
    <x:row r="41">
      <x:c r="A41" s="217" t="str">
        <x:v>CAMRY_HYBRID_GEN1 / AHV40 (2007-2011)</x:v>
      </x:c>
      <x:c r="B41" s="231" t="str">
        <x:v>7E3 (hex)</x:v>
      </x:c>
      <x:c r="C41" s="231" t="str">
        <x:v>7EB (hex)</x:v>
      </x:c>
      <x:c r="D41" s="231" t="str">
        <x:v>21 47</x:v>
      </x:c>
      <x:c r="E41" s="231" t="str">
        <x:v>Battery ECU</x:v>
      </x:c>
      <x:c r="F41" s="231" t="str">
        <x:v>Battery block internal resistance 12</x:v>
      </x:c>
      <x:c r="G41" s="231" t="str">
        <x:v>C</x:v>
      </x:c>
      <x:c r="H41" s="231" t="str">
        <x:v>uint8</x:v>
      </x:c>
      <x:c r="I41" s="231" t="str">
        <x:v>C / 1000</x:v>
      </x:c>
      <x:c r="J41" s="231" t="str">
        <x:v>ohm</x:v>
      </x:c>
      <x:c r="K41" s="231" t="str">
        <x:v>0 to 0.255</x:v>
      </x:c>
      <x:c r="L41" s="231" t="str">
        <x:v>Solicited Mode 21 / ISO-TP; flow control may be required</x:v>
      </x:c>
      <x:c r="M41" s="248" t="str">
        <x:v>READ_ONLY_DIAGNOSTIC</x:v>
      </x:c>
      <x:c r="N41" s="248" t="str">
        <x:v>CANDIDATE</x:v>
      </x:c>
      <x:c r="O41" s="231" t="str">
        <x:v>NEW AHV40 PID series. Formula resembles ZVW35 /1000 resistance candidates but uses different PID/header topology.</x:v>
      </x:c>
      <x:c r="P41" s="231" t="str">
        <x:v>2007-2011 camry hybrid PID table - Google Search.pdf, p.4</x:v>
      </x:c>
      <x:c r="Q41" s="218" t="str">
        <x:v>Compare all 17 values with Techstream/AP200 and repeated load tests. The PDF's &gt;0.03 ohm warning is an unverified general claim, not a promotion threshold.</x:v>
      </x:c>
    </x:row>
    <x:row r="42">
      <x:c r="A42" s="217" t="str">
        <x:v>CAMRY_HYBRID_GEN1 / AHV40 (2007-2011)</x:v>
      </x:c>
      <x:c r="B42" s="231" t="str">
        <x:v>7E3 (hex)</x:v>
      </x:c>
      <x:c r="C42" s="231" t="str">
        <x:v>7EB (hex)</x:v>
      </x:c>
      <x:c r="D42" s="231" t="str">
        <x:v>21 47</x:v>
      </x:c>
      <x:c r="E42" s="231" t="str">
        <x:v>Battery ECU</x:v>
      </x:c>
      <x:c r="F42" s="231" t="str">
        <x:v>Battery block internal resistance 13</x:v>
      </x:c>
      <x:c r="G42" s="231" t="str">
        <x:v>D</x:v>
      </x:c>
      <x:c r="H42" s="231" t="str">
        <x:v>uint8</x:v>
      </x:c>
      <x:c r="I42" s="231" t="str">
        <x:v>D / 1000</x:v>
      </x:c>
      <x:c r="J42" s="231" t="str">
        <x:v>ohm</x:v>
      </x:c>
      <x:c r="K42" s="231" t="str">
        <x:v>0 to 0.255</x:v>
      </x:c>
      <x:c r="L42" s="231" t="str">
        <x:v>Solicited Mode 21 / ISO-TP; flow control may be required</x:v>
      </x:c>
      <x:c r="M42" s="248" t="str">
        <x:v>READ_ONLY_DIAGNOSTIC</x:v>
      </x:c>
      <x:c r="N42" s="248" t="str">
        <x:v>CANDIDATE</x:v>
      </x:c>
      <x:c r="O42" s="231" t="str">
        <x:v>NEW AHV40 PID series. Formula resembles ZVW35 /1000 resistance candidates but uses different PID/header topology.</x:v>
      </x:c>
      <x:c r="P42" s="231" t="str">
        <x:v>2007-2011 camry hybrid PID table - Google Search.pdf, p.4</x:v>
      </x:c>
      <x:c r="Q42" s="218" t="str">
        <x:v>Compare all 17 values with Techstream/AP200 and repeated load tests. The PDF's &gt;0.03 ohm warning is an unverified general claim, not a promotion threshold.</x:v>
      </x:c>
    </x:row>
    <x:row r="43">
      <x:c r="A43" s="217" t="str">
        <x:v>CAMRY_HYBRID_GEN1 / AHV40 (2007-2011)</x:v>
      </x:c>
      <x:c r="B43" s="231" t="str">
        <x:v>7E3 (hex)</x:v>
      </x:c>
      <x:c r="C43" s="231" t="str">
        <x:v>7EB (hex)</x:v>
      </x:c>
      <x:c r="D43" s="231" t="str">
        <x:v>21 48</x:v>
      </x:c>
      <x:c r="E43" s="231" t="str">
        <x:v>Battery ECU</x:v>
      </x:c>
      <x:c r="F43" s="231" t="str">
        <x:v>Battery block internal resistance 14</x:v>
      </x:c>
      <x:c r="G43" s="231" t="str">
        <x:v>A</x:v>
      </x:c>
      <x:c r="H43" s="231" t="str">
        <x:v>uint8</x:v>
      </x:c>
      <x:c r="I43" s="231" t="str">
        <x:v>A / 1000</x:v>
      </x:c>
      <x:c r="J43" s="231" t="str">
        <x:v>ohm</x:v>
      </x:c>
      <x:c r="K43" s="231" t="str">
        <x:v>0 to 0.255</x:v>
      </x:c>
      <x:c r="L43" s="231" t="str">
        <x:v>Solicited Mode 21 / ISO-TP; flow control may be required</x:v>
      </x:c>
      <x:c r="M43" s="248" t="str">
        <x:v>READ_ONLY_DIAGNOSTIC</x:v>
      </x:c>
      <x:c r="N43" s="248" t="str">
        <x:v>CANDIDATE</x:v>
      </x:c>
      <x:c r="O43" s="231" t="str">
        <x:v>NEW AHV40 PID series. Formula resembles ZVW35 /1000 resistance candidates but uses different PID/header topology.</x:v>
      </x:c>
      <x:c r="P43" s="231" t="str">
        <x:v>2007-2011 camry hybrid PID table - Google Search.pdf, p.4</x:v>
      </x:c>
      <x:c r="Q43" s="218" t="str">
        <x:v>Compare all 17 values with Techstream/AP200 and repeated load tests. The PDF's &gt;0.03 ohm warning is an unverified general claim, not a promotion threshold.</x:v>
      </x:c>
    </x:row>
    <x:row r="44">
      <x:c r="A44" s="217" t="str">
        <x:v>CAMRY_HYBRID_GEN1 / AHV40 (2007-2011)</x:v>
      </x:c>
      <x:c r="B44" s="231" t="str">
        <x:v>7E3 (hex)</x:v>
      </x:c>
      <x:c r="C44" s="231" t="str">
        <x:v>7EB (hex)</x:v>
      </x:c>
      <x:c r="D44" s="231" t="str">
        <x:v>21 48</x:v>
      </x:c>
      <x:c r="E44" s="231" t="str">
        <x:v>Battery ECU</x:v>
      </x:c>
      <x:c r="F44" s="231" t="str">
        <x:v>Battery block internal resistance 15</x:v>
      </x:c>
      <x:c r="G44" s="231" t="str">
        <x:v>B</x:v>
      </x:c>
      <x:c r="H44" s="231" t="str">
        <x:v>uint8</x:v>
      </x:c>
      <x:c r="I44" s="231" t="str">
        <x:v>B / 1000</x:v>
      </x:c>
      <x:c r="J44" s="231" t="str">
        <x:v>ohm</x:v>
      </x:c>
      <x:c r="K44" s="231" t="str">
        <x:v>0 to 0.255</x:v>
      </x:c>
      <x:c r="L44" s="231" t="str">
        <x:v>Solicited Mode 21 / ISO-TP; flow control may be required</x:v>
      </x:c>
      <x:c r="M44" s="248" t="str">
        <x:v>READ_ONLY_DIAGNOSTIC</x:v>
      </x:c>
      <x:c r="N44" s="248" t="str">
        <x:v>CANDIDATE</x:v>
      </x:c>
      <x:c r="O44" s="231" t="str">
        <x:v>NEW AHV40 PID series. Formula resembles ZVW35 /1000 resistance candidates but uses different PID/header topology.</x:v>
      </x:c>
      <x:c r="P44" s="231" t="str">
        <x:v>2007-2011 camry hybrid PID table - Google Search.pdf, p.4</x:v>
      </x:c>
      <x:c r="Q44" s="218" t="str">
        <x:v>Compare all 17 values with Techstream/AP200 and repeated load tests. The PDF's &gt;0.03 ohm warning is an unverified general claim, not a promotion threshold.</x:v>
      </x:c>
    </x:row>
    <x:row r="45">
      <x:c r="A45" s="217" t="str">
        <x:v>CAMRY_HYBRID_GEN1 / AHV40 (2007-2011)</x:v>
      </x:c>
      <x:c r="B45" s="231" t="str">
        <x:v>7E3 (hex)</x:v>
      </x:c>
      <x:c r="C45" s="231" t="str">
        <x:v>7EB (hex)</x:v>
      </x:c>
      <x:c r="D45" s="231" t="str">
        <x:v>21 48</x:v>
      </x:c>
      <x:c r="E45" s="231" t="str">
        <x:v>Battery ECU</x:v>
      </x:c>
      <x:c r="F45" s="231" t="str">
        <x:v>Battery block internal resistance 16</x:v>
      </x:c>
      <x:c r="G45" s="231" t="str">
        <x:v>C</x:v>
      </x:c>
      <x:c r="H45" s="231" t="str">
        <x:v>uint8</x:v>
      </x:c>
      <x:c r="I45" s="231" t="str">
        <x:v>C / 1000</x:v>
      </x:c>
      <x:c r="J45" s="231" t="str">
        <x:v>ohm</x:v>
      </x:c>
      <x:c r="K45" s="231" t="str">
        <x:v>0 to 0.255</x:v>
      </x:c>
      <x:c r="L45" s="231" t="str">
        <x:v>Solicited Mode 21 / ISO-TP; flow control may be required</x:v>
      </x:c>
      <x:c r="M45" s="248" t="str">
        <x:v>READ_ONLY_DIAGNOSTIC</x:v>
      </x:c>
      <x:c r="N45" s="248" t="str">
        <x:v>CANDIDATE</x:v>
      </x:c>
      <x:c r="O45" s="231" t="str">
        <x:v>NEW AHV40 PID series. Formula resembles ZVW35 /1000 resistance candidates but uses different PID/header topology.</x:v>
      </x:c>
      <x:c r="P45" s="231" t="str">
        <x:v>2007-2011 camry hybrid PID table - Google Search.pdf, p.4</x:v>
      </x:c>
      <x:c r="Q45" s="218" t="str">
        <x:v>Compare all 17 values with Techstream/AP200 and repeated load tests. The PDF's &gt;0.03 ohm warning is an unverified general claim, not a promotion threshold.</x:v>
      </x:c>
    </x:row>
    <x:row r="46">
      <x:c r="A46" s="219" t="str">
        <x:v>CAMRY_HYBRID_GEN1 / AHV40 (2007-2011)</x:v>
      </x:c>
      <x:c r="B46" s="247" t="str">
        <x:v>7E3 (hex)</x:v>
      </x:c>
      <x:c r="C46" s="247" t="str">
        <x:v>7EB (hex)</x:v>
      </x:c>
      <x:c r="D46" s="247" t="str">
        <x:v>21 48</x:v>
      </x:c>
      <x:c r="E46" s="247" t="str">
        <x:v>Battery ECU</x:v>
      </x:c>
      <x:c r="F46" s="247" t="str">
        <x:v>Battery block internal resistance 17</x:v>
      </x:c>
      <x:c r="G46" s="247" t="str">
        <x:v>D</x:v>
      </x:c>
      <x:c r="H46" s="247" t="str">
        <x:v>uint8</x:v>
      </x:c>
      <x:c r="I46" s="247" t="str">
        <x:v>D / 1000</x:v>
      </x:c>
      <x:c r="J46" s="247" t="str">
        <x:v>ohm</x:v>
      </x:c>
      <x:c r="K46" s="247" t="str">
        <x:v>0 to 0.255</x:v>
      </x:c>
      <x:c r="L46" s="247" t="str">
        <x:v>Solicited Mode 21 / ISO-TP; flow control may be required</x:v>
      </x:c>
      <x:c r="M46" s="249" t="str">
        <x:v>READ_ONLY_DIAGNOSTIC</x:v>
      </x:c>
      <x:c r="N46" s="249" t="str">
        <x:v>CANDIDATE</x:v>
      </x:c>
      <x:c r="O46" s="247" t="str">
        <x:v>NEW AHV40 PID series. Formula resembles ZVW35 /1000 resistance candidates but uses different PID/header topology.</x:v>
      </x:c>
      <x:c r="P46" s="247" t="str">
        <x:v>2007-2011 camry hybrid PID table - Google Search.pdf, p.4</x:v>
      </x:c>
      <x:c r="Q46" s="220" t="str">
        <x:v>Compare all 17 values with Techstream/AP200 and repeated load tests. The PDF's &gt;0.03 ohm warning is an unverified general claim, not a promotion threshold.</x:v>
      </x:c>
    </x:row>
  </x:sheetData>
  <x:pageMargins left="0.7" right="0.7" top="0.75" bottom="0.75" header="0.3" footer="0.3"/>
  <x:tableParts count="1">
    <x:tablePart xmlns:r="http://schemas.openxmlformats.org/officeDocument/2006/relationships" r:id="R855d2189f8434764"/>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72" hidden="0" customWidth="1"/>
    <x:col min="4" max="4" width="72" hidden="0" customWidth="1"/>
    <x:col min="5" max="5" width="58" hidden="0" customWidth="1"/>
  </x:cols>
  <x:sheetData>
    <x:row r="1" ht="38" customHeight="1">
      <x:c r="A1" s="244" t="str">
        <x:v>Record</x:v>
      </x:c>
      <x:c r="B1" s="245" t="str">
        <x:v>Topic</x:v>
      </x:c>
      <x:c r="C1" s="245" t="str">
        <x:v>Finding</x:v>
      </x:c>
      <x:c r="D1" s="245" t="str">
        <x:v>Decision</x:v>
      </x:c>
      <x:c r="E1" s="246" t="str">
        <x:v>Source / Link</x:v>
      </x:c>
    </x:row>
    <x:row r="2">
      <x:c r="A2" s="250" t="str">
        <x:v>S26</x:v>
      </x:c>
      <x:c r="B2" s="251" t="str">
        <x:v>Source snapshot</x:v>
      </x:c>
      <x:c r="C2" s="251" t="str">
        <x:v>2007-2011 camry hybrid PID table - Google Search.pdf; 4 pages; 182,482 bytes; SHA-256 0cff173f219af53c0137714988a457209583e712e5a62686e4c71c5a01ff3e3a</x:v>
      </x:c>
      <x:c r="D2" s="251" t="str">
        <x:v>Preserve unchanged as source evidence</x:v>
      </x:c>
      <x:c r="E2" s="252" t="str">
        <x:v>https://www.google.com/search?q=2007-2011+camry+hybrid+PID+table</x:v>
      </x:c>
    </x:row>
    <x:row r="3">
      <x:c r="A3" s="106" t="str">
        <x:v>S26</x:v>
      </x:c>
      <x:c r="B3" s="107" t="str">
        <x:v>Profile</x:v>
      </x:c>
      <x:c r="C3" s="107" t="str">
        <x:v>Title explicitly scopes the table to 2007-2011 Camry Hybrid</x:v>
      </x:c>
      <x:c r="D3" s="107" t="str">
        <x:v>Assign only to CAMRY_HYBRID_GEN1 / AHV40</x:v>
      </x:c>
      <x:c r="E3" s="108" t="str">
        <x:v>2007-2011 camry hybrid PID table - Google Search.pdf</x:v>
      </x:c>
    </x:row>
    <x:row r="4">
      <x:c r="A4" s="256" t="str">
        <x:v>S26</x:v>
      </x:c>
      <x:c r="B4" s="257" t="str">
        <x:v>Authority</x:v>
      </x:c>
      <x:c r="C4" s="257" t="str">
        <x:v>Browser print of a Google Search answer rather than Toyota service information or an attributable PID file</x:v>
      </x:c>
      <x:c r="D4" s="257" t="str">
        <x:v>Keep all 45 definitions CANDIDATE</x:v>
      </x:c>
      <x:c r="E4" s="258" t="str">
        <x:v>https://www.google.com/search?q=2007-2011+camry+hybrid+PID+table</x:v>
      </x:c>
    </x:row>
    <x:row r="5">
      <x:c r="A5" s="256" t="str">
        <x:v>S26</x:v>
      </x:c>
      <x:c r="B5" s="257" t="str">
        <x:v>Transport</x:v>
      </x:c>
      <x:c r="C5" s="257" t="str">
        <x:v>Requests use 7E2 Hybrid ECU or 7E3 Battery ECU with Mode 21 and may require ISO-TP flow control</x:v>
      </x:c>
      <x:c r="D5" s="257" t="str">
        <x:v>READ_ONLY_DIAGNOSTIC; never reinterpret as passive frames</x:v>
      </x:c>
      <x:c r="E5" s="258" t="str">
        <x:v>2007-2011 camry hybrid PID table - Google Search.pdf pp.1-4</x:v>
      </x:c>
    </x:row>
    <x:row r="6">
      <x:c r="A6" s="256" t="str">
        <x:v>S26</x:v>
      </x:c>
      <x:c r="B6" s="257" t="str">
        <x:v>Existing v0.5 comparison</x:v>
      </x:c>
      <x:c r="C6" s="257" t="str">
        <x:v>Related NHW20 and ZVW35 signals use different PID/header/field layouts</x:v>
      </x:c>
      <x:c r="D6" s="257" t="str">
        <x:v>Retain disagreements by profile; no automatic merge</x:v>
      </x:c>
      <x:c r="E6" s="258" t="str">
        <x:v>Toyota_Hybrid_CAN_Database_v0.5.xlsx</x:v>
      </x:c>
    </x:row>
    <x:row r="7">
      <x:c r="A7" s="256" t="str">
        <x:v>S26</x:v>
      </x:c>
      <x:c r="B7" s="257" t="str">
        <x:v>General OBD citation</x:v>
      </x:c>
      <x:c r="C7" s="257" t="str">
        <x:v>Search result shows OBD2 Australia beside the header explanation but does not prove the exact table</x:v>
      </x:c>
      <x:c r="D7" s="257" t="str">
        <x:v>Context only; not independent PID confirmation</x:v>
      </x:c>
      <x:c r="E7" s="258" t="str">
        <x:v>https://obd2australia.com.au/obd2-pids/</x:v>
      </x:c>
    </x:row>
    <x:row r="8">
      <x:c r="A8" s="256" t="str">
        <x:v>S26</x:v>
      </x:c>
      <x:c r="B8" s="257" t="str">
        <x:v>Battery-health citation</x:v>
      </x:c>
      <x:c r="C8" s="257" t="str">
        <x:v>Search result shows Turnage Auto Care beside general voltage-delta/resistance advice</x:v>
      </x:c>
      <x:c r="D8" s="257" t="str">
        <x:v>Do not treat 0.2-0.3 V or 0.03 ohm as validated AHV40 thresholds</x:v>
      </x:c>
      <x:c r="E8" s="258" t="str">
        <x:v>https://www.turnageautocare.com/what-does-check-hybrid-system-mean-on-a-toyota-camry-hybrid</x:v>
      </x:c>
    </x:row>
    <x:row r="9">
      <x:c r="A9" s="217" t="str">
        <x:v>S26</x:v>
      </x:c>
      <x:c r="B9" s="231" t="str">
        <x:v>Firmware boundary</x:v>
      </x:c>
      <x:c r="C9" s="231" t="str">
        <x:v>CYD Logger v2.4.2 keeps Camry passive-only</x:v>
      </x:c>
      <x:c r="D9" s="231" t="str">
        <x:v>Do not add these candidates to automatic queries</x:v>
      </x:c>
      <x:c r="E9" s="218" t="str">
        <x:v>Toyota Hybrid CYD35 Diagnostic CAN Logger v2.4.2</x:v>
      </x:c>
    </x:row>
    <x:row r="10">
      <x:c r="A10" s="217" t="str">
        <x:v>S26</x:v>
      </x:c>
      <x:c r="B10" s="231" t="str">
        <x:v>Promotion rule</x:v>
      </x:c>
      <x:c r="C10" s="231" t="str">
        <x:v>A plausible reply alone is insufficient</x:v>
      </x:c>
      <x:c r="D10" s="231" t="str">
        <x:v>Require exact AHV40 response, physical bounds, dynamic correlation, and independent AP200/Techstream agreement</x:v>
      </x:c>
      <x:c r="E10" s="218" t="str">
        <x:v>Controlled stationary test first</x:v>
      </x:c>
    </x:row>
    <x:row r="11">
      <x:c r="A11" s="219" t="str">
        <x:v>Rollback</x:v>
      </x:c>
      <x:c r="B11" s="247" t="str">
        <x:v>Database</x:v>
      </x:c>
      <x:c r="C11" s="247" t="str">
        <x:v>v0.5 remains unchanged</x:v>
      </x:c>
      <x:c r="D11" s="247" t="str">
        <x:v>Return to Toyota_Hybrid_CAN_Database_v0.5.xlsx if v0.5.1 candidates are unsuitable</x:v>
      </x:c>
      <x:c r="E11" s="220" t="str">
        <x:v>Toyota_Hybrid_CAN_Database_v0.5.xlsx</x:v>
      </x:c>
    </x:row>
  </x:sheetData>
  <x:pageMargins left="0.7" right="0.7" top="0.75" bottom="0.75" header="0.3" footer="0.3"/>
  <x:tableParts count="1">
    <x:tablePart xmlns:r="http://schemas.openxmlformats.org/officeDocument/2006/relationships" r:id="Rd760e10e85964954"/>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4" hidden="0" customWidth="1"/>
    <x:col min="4" max="4" width="34" hidden="0" customWidth="1"/>
    <x:col min="5" max="5" width="75" hidden="0" customWidth="1"/>
  </x:cols>
  <x:sheetData>
    <x:row r="1" ht="15" hidden="0" customHeight="1">
      <x:c r="A1" s="268" t="str">
        <x:v>Record</x:v>
      </x:c>
      <x:c r="B1" s="268" t="str">
        <x:v>Type</x:v>
      </x:c>
      <x:c r="C1" s="268" t="str">
        <x:v>Source / Profile</x:v>
      </x:c>
      <x:c r="D1" s="268" t="str">
        <x:v>Evidence / Safety</x:v>
      </x:c>
      <x:c r="E1" s="268" t="str">
        <x:v>Details</x:v>
      </x:c>
    </x:row>
    <x:row r="2" ht="15" hidden="0" customHeight="1">
      <x:c r="A2" s="297" t="str">
        <x:v>v0.5.2</x:v>
      </x:c>
      <x:c r="B2" s="298" t="str">
        <x:v>Version</x:v>
      </x:c>
      <x:c r="C2" s="298" t="str">
        <x:v>Database</x:v>
      </x:c>
      <x:c r="D2" s="298" t="str">
        <x:v>Validated checkpoint</x:v>
      </x:c>
      <x:c r="E2" s="299" t="str">
        <x:v>2026-08-30; preserves v0.5.1 as rollback</x:v>
      </x:c>
    </x:row>
    <x:row r="3" ht="15" hidden="0" customHeight="1">
      <x:c r="A3" s="291" t="str">
        <x:v>S0010</x:v>
      </x:c>
      <x:c r="B3" s="292" t="str">
        <x:v>Capture</x:v>
      </x:c>
      <x:c r="C3" s="292" t="str">
        <x:v>2007 Camry Hybrid / AHV40</x:v>
      </x:c>
      <x:c r="D3" s="292" t="str">
        <x:v>PASSIVE capture</x:v>
      </x:c>
      <x:c r="E3" s="293" t="str">
        <x:v>CYD logger v2.4.2; 364,076 raw frames; zero session TX; zero logged drops; 95% profile confidence</x:v>
      </x:c>
    </x:row>
    <x:row r="4" ht="15" hidden="0" customHeight="1">
      <x:c r="A4" s="291" t="str">
        <x:v>21CE</x:v>
      </x:c>
      <x:c r="B4" s="292" t="str">
        <x:v>Observed diagnostic</x:v>
      </x:c>
      <x:c r="C4" s="292" t="str">
        <x:v>7E2 request / 7EA response</x:v>
      </x:c>
      <x:c r="D4" s="292" t="str">
        <x:v>PROBABLE / READ_ONLY_DIAGNOSTIC</x:v>
      </x:c>
      <x:c r="E4" s="293" t="str">
        <x:v>61CE + 3 preamble bytes + 17 uint16 BE block values; (raw - 0x8000) / 100 V</x:v>
      </x:c>
    </x:row>
    <x:row r="5" ht="26.399999618530273" hidden="0" customHeight="1">
      <x:c r="A5" s="291" t="str">
        <x:v>ISO-TP</x:v>
      </x:c>
      <x:c r="B5" s="292" t="str">
        <x:v>Processor evidence</x:v>
      </x:c>
      <x:c r="C5" s="292" t="str">
        <x:v>S0010 EXTERNAL_DIAGNOSTICS.CSV</x:v>
      </x:c>
      <x:c r="D5" s="292" t="str">
        <x:v>Observed only</x:v>
      </x:c>
      <x:c r="E5" s="293" t="str">
        <x:v>1,679 reconstructed transactions; incomplete, unmatched, and unanswered requests remain explicitly classified</x:v>
      </x:c>
    </x:row>
    <x:row r="6" ht="26.399999618530273" hidden="0" customHeight="1">
      <x:c r="A6" s="291" t="str">
        <x:v>Graph</x:v>
      </x:c>
      <x:c r="B6" s="292" t="str">
        <x:v>Independent display correlation</x:v>
      </x:c>
      <x:c r="C6" s="292" t="str">
        <x:v>Hybrid Assistant Battery Check</x:v>
      </x:c>
      <x:c r="D6" s="292" t="str">
        <x:v>PROBABLE</x:v>
      </x:c>
      <x:c r="E6" s="293" t="str">
        <x:v>32/32 graph frames BLE-matched to decoded CAN; graph axes fitted from OCR tick labels and geometry</x:v>
      </x:c>
    </x:row>
    <x:row r="7" ht="15" hidden="0" customHeight="1">
      <x:c r="A7" s="291" t="str">
        <x:v>OCR</x:v>
      </x:c>
      <x:c r="B7" s="292" t="str">
        <x:v>Evidence Builder v1.0.1</x:v>
      </x:c>
      <x:c r="C7" s="292" t="str">
        <x:v>Hybrid Assistant / Dr. Prius layouts</x:v>
      </x:c>
      <x:c r="D7" s="292" t="str">
        <x:v>Audit-preserving</x:v>
      </x:c>
      <x:c r="E7" s="293" t="str">
        <x:v>Exports battery graph values, source crops, confidence, axis-fit error, and CAN comparison deltas</x:v>
      </x:c>
    </x:row>
    <x:row r="8" ht="26.399999618530273" hidden="0" customHeight="1">
      <x:c r="A8" s="291" t="str">
        <x:v>Power QC</x:v>
      </x:c>
      <x:c r="B8" s="292" t="str">
        <x:v>OCR consistency</x:v>
      </x:c>
      <x:c r="C8" s="292" t="str">
        <x:v>Battery graph screen</x:v>
      </x:c>
      <x:c r="D8" s="292" t="str">
        <x:v>Validation</x:v>
      </x:c>
      <x:c r="E8" s="293" t="str">
        <x:v>Checks displayed power against graph pack-sum × displayed current to flag 520 W / 920 W type OCR errors</x:v>
      </x:c>
    </x:row>
    <x:row r="9" ht="26.399999618530273" hidden="0" customHeight="1">
      <x:c r="A9" s="291" t="str">
        <x:v>Catalog PIDs</x:v>
      </x:c>
      <x:c r="B9" s="292" t="str">
        <x:v>Unchanged candidates</x:v>
      </x:c>
      <x:c r="C9" s="292" t="str">
        <x:v>AHV40 7E3 2101/2102/2141-2148; 7E2 2122/212B</x:v>
      </x:c>
      <x:c r="D9" s="292" t="str">
        <x:v>CANDIDATE / READ_ONLY_DIAGNOSTIC</x:v>
      </x:c>
      <x:c r="E9" s="293" t="str">
        <x:v>Not observed in S0010; kept separate from the observed 7E2/21CE decoder</x:v>
      </x:c>
    </x:row>
    <x:row r="10" ht="15" hidden="0" customHeight="1">
      <x:c r="A10" s="291" t="str">
        <x:v>Control writes</x:v>
      </x:c>
      <x:c r="B10" s="292" t="str">
        <x:v>Safety</x:v>
      </x:c>
      <x:c r="C10" s="292" t="str">
        <x:v>All profiles</x:v>
      </x:c>
      <x:c r="D10" s="292" t="str">
        <x:v>CONTROL_WRITE_QUARANTINED</x:v>
      </x:c>
      <x:c r="E10" s="293" t="str">
        <x:v>No control, clear-code, reset, fan override, actuator, or configuration command was promoted</x:v>
      </x:c>
    </x:row>
    <x:row r="11" ht="15" hidden="0" customHeight="1">
      <x:c r="A11" s="294" t="str">
        <x:v>JSON export</x:v>
      </x:c>
      <x:c r="B11" s="295" t="str">
        <x:v>Machine-readable</x:v>
      </x:c>
      <x:c r="C11" s="295" t="str">
        <x:v>toyota_hybrid_can_db_v0.5.2.json</x:v>
      </x:c>
      <x:c r="D11" s="295" t="str">
        <x:v>Schema 1.0.0</x:v>
      </x:c>
      <x:c r="E11" s="296" t="str">
        <x:v>Version-checked decoder definitions reusable by Evidence Builder and future Android work</x:v>
      </x:c>
    </x:row>
  </x:sheetData>
  <x:pageMargins left="0.7" right="0.7" top="0.75" bottom="0.75" header="0.3" footer="0.3"/>
  <x:tableParts count="1">
    <x:tablePart xmlns:r="http://schemas.openxmlformats.org/officeDocument/2006/relationships" r:id="R5d7a7ec50d7a4bc3"/>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10" hidden="0" customWidth="1"/>
    <x:col min="5" max="5" width="12.890000343322754" hidden="0" customWidth="1"/>
    <x:col min="6" max="6" width="5.110000133514404" hidden="0" customWidth="1"/>
    <x:col min="7" max="7" width="13.109999656677246" hidden="0" customWidth="1"/>
    <x:col min="8" max="8" width="11.329999923706055" hidden="0" customWidth="1"/>
    <x:col min="9" max="9" width="11.5600004196167" hidden="0" customWidth="1"/>
    <x:col min="10" max="10" width="42" hidden="0" customWidth="1"/>
    <x:col min="11" max="11" width="72" hidden="0" customWidth="1"/>
  </x:cols>
  <x:sheetData>
    <x:row r="1" ht="15" hidden="0" customHeight="1">
      <x:c r="A1" s="268" t="str">
        <x:v>Request ID</x:v>
      </x:c>
      <x:c r="B1" s="268" t="str">
        <x:v>Response ID</x:v>
      </x:c>
      <x:c r="C1" s="268" t="str">
        <x:v>Service</x:v>
      </x:c>
      <x:c r="D1" s="268" t="str">
        <x:v>PID</x:v>
      </x:c>
      <x:c r="E1" s="268" t="str">
        <x:v>Transactions</x:v>
      </x:c>
      <x:c r="F1" s="268" t="str">
        <x:v>OK</x:v>
      </x:c>
      <x:c r="G1" s="268" t="str">
        <x:v>No Response</x:v>
      </x:c>
      <x:c r="H1" s="268" t="str">
        <x:v>Incomplete</x:v>
      </x:c>
      <x:c r="I1" s="268" t="str">
        <x:v>Unmatched</x:v>
      </x:c>
      <x:c r="J1" s="268" t="str">
        <x:v>Status Detail</x:v>
      </x:c>
      <x:c r="K1" s="268" t="str">
        <x:v>Interpretation</x:v>
      </x:c>
    </x:row>
    <x:row r="2" ht="15" hidden="0" customHeight="1">
      <x:c r="A2" s="303" t="str"/>
      <x:c r="B2" s="304" t="str">
        <x:v>7E8h</x:v>
      </x:c>
      <x:c r="C2" s="304" t="str"/>
      <x:c r="D2" s="304" t="str"/>
      <x:c r="E2" s="300" t="n">
        <x:v>2</x:v>
      </x:c>
      <x:c r="F2" s="300" t="n">
        <x:v>0</x:v>
      </x:c>
      <x:c r="G2" s="300" t="n">
        <x:v>0</x:v>
      </x:c>
      <x:c r="H2" s="300" t="n">
        <x:v>0</x:v>
      </x:c>
      <x:c r="I2" s="300" t="n">
        <x:v>2</x:v>
      </x:c>
      <x:c r="J2" s="289" t="str">
        <x:v>UNMATCHED_RESPONSE=2</x:v>
      </x:c>
      <x:c r="K2" s="290" t="str">
        <x:v>Transport inventory only; no signal formula promoted</x:v>
      </x:c>
    </x:row>
    <x:row r="3" ht="15" hidden="0" customHeight="1">
      <x:c r="A3" s="305" t="str">
        <x:v>7DFh</x:v>
      </x:c>
      <x:c r="B3" s="306" t="str"/>
      <x:c r="C3" s="306" t="str">
        <x:v>09h</x:v>
      </x:c>
      <x:c r="D3" s="306" t="str">
        <x:v>02h</x:v>
      </x:c>
      <x:c r="E3" s="301" t="n">
        <x:v>1</x:v>
      </x:c>
      <x:c r="F3" s="301" t="n">
        <x:v>0</x:v>
      </x:c>
      <x:c r="G3" s="301" t="n">
        <x:v>1</x:v>
      </x:c>
      <x:c r="H3" s="301" t="n">
        <x:v>0</x:v>
      </x:c>
      <x:c r="I3" s="301" t="n">
        <x:v>0</x:v>
      </x:c>
      <x:c r="J3" s="292" t="str">
        <x:v>NO_RESPONSE=1</x:v>
      </x:c>
      <x:c r="K3" s="293" t="str">
        <x:v>Transport inventory only; no signal formula promoted</x:v>
      </x:c>
    </x:row>
    <x:row r="4" ht="15" hidden="0" customHeight="1">
      <x:c r="A4" s="305" t="str">
        <x:v>7DFh</x:v>
      </x:c>
      <x:c r="B4" s="306" t="str">
        <x:v>7EAh</x:v>
      </x:c>
      <x:c r="C4" s="306" t="str">
        <x:v>03h</x:v>
      </x:c>
      <x:c r="D4" s="306" t="str"/>
      <x:c r="E4" s="301" t="n">
        <x:v>2</x:v>
      </x:c>
      <x:c r="F4" s="301" t="n">
        <x:v>2</x:v>
      </x:c>
      <x:c r="G4" s="301" t="n">
        <x:v>0</x:v>
      </x:c>
      <x:c r="H4" s="301" t="n">
        <x:v>0</x:v>
      </x:c>
      <x:c r="I4" s="301" t="n">
        <x:v>0</x:v>
      </x:c>
      <x:c r="J4" s="292" t="str">
        <x:v>OK=2</x:v>
      </x:c>
      <x:c r="K4" s="293" t="str">
        <x:v>Transport inventory only; no signal formula promoted</x:v>
      </x:c>
    </x:row>
    <x:row r="5" ht="15" hidden="0" customHeight="1">
      <x:c r="A5" s="305" t="str">
        <x:v>7DFh</x:v>
      </x:c>
      <x:c r="B5" s="306" t="str">
        <x:v>7EAh</x:v>
      </x:c>
      <x:c r="C5" s="306" t="str">
        <x:v>09h</x:v>
      </x:c>
      <x:c r="D5" s="306" t="str">
        <x:v>02h</x:v>
      </x:c>
      <x:c r="E5" s="301" t="n">
        <x:v>3</x:v>
      </x:c>
      <x:c r="F5" s="301" t="n">
        <x:v>3</x:v>
      </x:c>
      <x:c r="G5" s="301" t="n">
        <x:v>0</x:v>
      </x:c>
      <x:c r="H5" s="301" t="n">
        <x:v>0</x:v>
      </x:c>
      <x:c r="I5" s="301" t="n">
        <x:v>0</x:v>
      </x:c>
      <x:c r="J5" s="292" t="str">
        <x:v>OK=3</x:v>
      </x:c>
      <x:c r="K5" s="293" t="str">
        <x:v>Transport inventory only; no signal formula promoted</x:v>
      </x:c>
    </x:row>
    <x:row r="6" ht="15" hidden="0" customHeight="1">
      <x:c r="A6" s="305" t="str">
        <x:v>7E0h</x:v>
      </x:c>
      <x:c r="B6" s="306" t="str"/>
      <x:c r="C6" s="306" t="str">
        <x:v>01h</x:v>
      </x:c>
      <x:c r="D6" s="306" t="str">
        <x:v>04h</x:v>
      </x:c>
      <x:c r="E6" s="301" t="n">
        <x:v>74</x:v>
      </x:c>
      <x:c r="F6" s="301" t="n">
        <x:v>0</x:v>
      </x:c>
      <x:c r="G6" s="301" t="n">
        <x:v>74</x:v>
      </x:c>
      <x:c r="H6" s="301" t="n">
        <x:v>0</x:v>
      </x:c>
      <x:c r="I6" s="301" t="n">
        <x:v>0</x:v>
      </x:c>
      <x:c r="J6" s="292" t="str">
        <x:v>NO_RESPONSE=74</x:v>
      </x:c>
      <x:c r="K6" s="293" t="str">
        <x:v>Transport inventory only; no signal formula promoted</x:v>
      </x:c>
    </x:row>
    <x:row r="7" ht="15" hidden="0" customHeight="1">
      <x:c r="A7" s="305" t="str">
        <x:v>7E0h</x:v>
      </x:c>
      <x:c r="B7" s="306" t="str"/>
      <x:c r="C7" s="306" t="str">
        <x:v>01h</x:v>
      </x:c>
      <x:c r="D7" s="306" t="str">
        <x:v>05h</x:v>
      </x:c>
      <x:c r="E7" s="301" t="n">
        <x:v>14</x:v>
      </x:c>
      <x:c r="F7" s="301" t="n">
        <x:v>0</x:v>
      </x:c>
      <x:c r="G7" s="301" t="n">
        <x:v>14</x:v>
      </x:c>
      <x:c r="H7" s="301" t="n">
        <x:v>0</x:v>
      </x:c>
      <x:c r="I7" s="301" t="n">
        <x:v>0</x:v>
      </x:c>
      <x:c r="J7" s="292" t="str">
        <x:v>NO_RESPONSE=14</x:v>
      </x:c>
      <x:c r="K7" s="293" t="str">
        <x:v>Transport inventory only; no signal formula promoted</x:v>
      </x:c>
    </x:row>
    <x:row r="8" ht="15" hidden="0" customHeight="1">
      <x:c r="A8" s="305" t="str">
        <x:v>7E0h</x:v>
      </x:c>
      <x:c r="B8" s="306" t="str"/>
      <x:c r="C8" s="306" t="str">
        <x:v>01h</x:v>
      </x:c>
      <x:c r="D8" s="306" t="str">
        <x:v>31h</x:v>
      </x:c>
      <x:c r="E8" s="301" t="n">
        <x:v>15</x:v>
      </x:c>
      <x:c r="F8" s="301" t="n">
        <x:v>0</x:v>
      </x:c>
      <x:c r="G8" s="301" t="n">
        <x:v>15</x:v>
      </x:c>
      <x:c r="H8" s="301" t="n">
        <x:v>0</x:v>
      </x:c>
      <x:c r="I8" s="301" t="n">
        <x:v>0</x:v>
      </x:c>
      <x:c r="J8" s="292" t="str">
        <x:v>NO_RESPONSE=15</x:v>
      </x:c>
      <x:c r="K8" s="293" t="str">
        <x:v>Transport inventory only; no signal formula promoted</x:v>
      </x:c>
    </x:row>
    <x:row r="9" ht="15" hidden="0" customHeight="1">
      <x:c r="A9" s="305" t="str">
        <x:v>7E0h</x:v>
      </x:c>
      <x:c r="B9" s="306" t="str"/>
      <x:c r="C9" s="306" t="str">
        <x:v>01h</x:v>
      </x:c>
      <x:c r="D9" s="306" t="str">
        <x:v>46h</x:v>
      </x:c>
      <x:c r="E9" s="301" t="n">
        <x:v>11</x:v>
      </x:c>
      <x:c r="F9" s="301" t="n">
        <x:v>0</x:v>
      </x:c>
      <x:c r="G9" s="301" t="n">
        <x:v>11</x:v>
      </x:c>
      <x:c r="H9" s="301" t="n">
        <x:v>0</x:v>
      </x:c>
      <x:c r="I9" s="301" t="n">
        <x:v>0</x:v>
      </x:c>
      <x:c r="J9" s="292" t="str">
        <x:v>NO_RESPONSE=11</x:v>
      </x:c>
      <x:c r="K9" s="293" t="str">
        <x:v>Transport inventory only; no signal formula promoted</x:v>
      </x:c>
    </x:row>
    <x:row r="10" ht="15" hidden="0" customHeight="1">
      <x:c r="A10" s="305" t="str">
        <x:v>7E0h</x:v>
      </x:c>
      <x:c r="B10" s="306" t="str"/>
      <x:c r="C10" s="306" t="str">
        <x:v>21h</x:v>
      </x:c>
      <x:c r="D10" s="306" t="str">
        <x:v>CDh</x:v>
      </x:c>
      <x:c r="E10" s="301" t="n">
        <x:v>44</x:v>
      </x:c>
      <x:c r="F10" s="301" t="n">
        <x:v>0</x:v>
      </x:c>
      <x:c r="G10" s="301" t="n">
        <x:v>44</x:v>
      </x:c>
      <x:c r="H10" s="301" t="n">
        <x:v>0</x:v>
      </x:c>
      <x:c r="I10" s="301" t="n">
        <x:v>0</x:v>
      </x:c>
      <x:c r="J10" s="292" t="str">
        <x:v>NO_RESPONSE=44</x:v>
      </x:c>
      <x:c r="K10" s="293" t="str">
        <x:v>Transport inventory only; no signal formula promoted</x:v>
      </x:c>
    </x:row>
    <x:row r="11" ht="15" hidden="0" customHeight="1">
      <x:c r="A11" s="305" t="str">
        <x:v>7E0h</x:v>
      </x:c>
      <x:c r="B11" s="306" t="str">
        <x:v>7E8h</x:v>
      </x:c>
      <x:c r="C11" s="306" t="str">
        <x:v>01h</x:v>
      </x:c>
      <x:c r="D11" s="306" t="str">
        <x:v>04h</x:v>
      </x:c>
      <x:c r="E11" s="301" t="n">
        <x:v>251</x:v>
      </x:c>
      <x:c r="F11" s="301" t="n">
        <x:v>249</x:v>
      </x:c>
      <x:c r="G11" s="301" t="n">
        <x:v>0</x:v>
      </x:c>
      <x:c r="H11" s="301" t="n">
        <x:v>2</x:v>
      </x:c>
      <x:c r="I11" s="301" t="n">
        <x:v>0</x:v>
      </x:c>
      <x:c r="J11" s="292" t="str">
        <x:v>INCOMPLETE_SEQUENCE=2;OK=249</x:v>
      </x:c>
      <x:c r="K11" s="293" t="str">
        <x:v>Transport inventory only; no signal formula promoted</x:v>
      </x:c>
    </x:row>
    <x:row r="12" ht="15" hidden="0" customHeight="1">
      <x:c r="A12" s="305" t="str">
        <x:v>7E0h</x:v>
      </x:c>
      <x:c r="B12" s="306" t="str">
        <x:v>7E8h</x:v>
      </x:c>
      <x:c r="C12" s="306" t="str">
        <x:v>01h</x:v>
      </x:c>
      <x:c r="D12" s="306" t="str">
        <x:v>05h</x:v>
      </x:c>
      <x:c r="E12" s="301" t="n">
        <x:v>40</x:v>
      </x:c>
      <x:c r="F12" s="301" t="n">
        <x:v>40</x:v>
      </x:c>
      <x:c r="G12" s="301" t="n">
        <x:v>0</x:v>
      </x:c>
      <x:c r="H12" s="301" t="n">
        <x:v>0</x:v>
      </x:c>
      <x:c r="I12" s="301" t="n">
        <x:v>0</x:v>
      </x:c>
      <x:c r="J12" s="292" t="str">
        <x:v>OK=40</x:v>
      </x:c>
      <x:c r="K12" s="293" t="str">
        <x:v>Transport inventory only; no signal formula promoted</x:v>
      </x:c>
    </x:row>
    <x:row r="13" ht="15" hidden="0" customHeight="1">
      <x:c r="A13" s="305" t="str">
        <x:v>7E0h</x:v>
      </x:c>
      <x:c r="B13" s="306" t="str">
        <x:v>7E8h</x:v>
      </x:c>
      <x:c r="C13" s="306" t="str">
        <x:v>01h</x:v>
      </x:c>
      <x:c r="D13" s="306" t="str">
        <x:v>31h</x:v>
      </x:c>
      <x:c r="E13" s="301" t="n">
        <x:v>113</x:v>
      </x:c>
      <x:c r="F13" s="301" t="n">
        <x:v>113</x:v>
      </x:c>
      <x:c r="G13" s="301" t="n">
        <x:v>0</x:v>
      </x:c>
      <x:c r="H13" s="301" t="n">
        <x:v>0</x:v>
      </x:c>
      <x:c r="I13" s="301" t="n">
        <x:v>0</x:v>
      </x:c>
      <x:c r="J13" s="292" t="str">
        <x:v>OK=113</x:v>
      </x:c>
      <x:c r="K13" s="293" t="str">
        <x:v>Transport inventory only; no signal formula promoted</x:v>
      </x:c>
    </x:row>
    <x:row r="14" ht="15" hidden="0" customHeight="1">
      <x:c r="A14" s="305" t="str">
        <x:v>7E0h</x:v>
      </x:c>
      <x:c r="B14" s="306" t="str">
        <x:v>7E8h</x:v>
      </x:c>
      <x:c r="C14" s="306" t="str">
        <x:v>21h</x:v>
      </x:c>
      <x:c r="D14" s="306" t="str">
        <x:v>C1h</x:v>
      </x:c>
      <x:c r="E14" s="301" t="n">
        <x:v>2</x:v>
      </x:c>
      <x:c r="F14" s="301" t="n">
        <x:v>2</x:v>
      </x:c>
      <x:c r="G14" s="301" t="n">
        <x:v>0</x:v>
      </x:c>
      <x:c r="H14" s="301" t="n">
        <x:v>0</x:v>
      </x:c>
      <x:c r="I14" s="301" t="n">
        <x:v>0</x:v>
      </x:c>
      <x:c r="J14" s="292" t="str">
        <x:v>OK=2</x:v>
      </x:c>
      <x:c r="K14" s="293" t="str">
        <x:v>Transport inventory only; no signal formula promoted</x:v>
      </x:c>
    </x:row>
    <x:row r="15" ht="15" hidden="0" customHeight="1">
      <x:c r="A15" s="305" t="str">
        <x:v>7E0h</x:v>
      </x:c>
      <x:c r="B15" s="306" t="str">
        <x:v>7E8h</x:v>
      </x:c>
      <x:c r="C15" s="306" t="str">
        <x:v>21h</x:v>
      </x:c>
      <x:c r="D15" s="306" t="str">
        <x:v>CDh</x:v>
      </x:c>
      <x:c r="E15" s="301" t="n">
        <x:v>281</x:v>
      </x:c>
      <x:c r="F15" s="301" t="n">
        <x:v>280</x:v>
      </x:c>
      <x:c r="G15" s="301" t="n">
        <x:v>0</x:v>
      </x:c>
      <x:c r="H15" s="301" t="n">
        <x:v>1</x:v>
      </x:c>
      <x:c r="I15" s="301" t="n">
        <x:v>0</x:v>
      </x:c>
      <x:c r="J15" s="292" t="str">
        <x:v>INCOMPLETE_SEQUENCE=1;OK=280</x:v>
      </x:c>
      <x:c r="K15" s="293" t="str">
        <x:v>Transport inventory only; no signal formula promoted</x:v>
      </x:c>
    </x:row>
    <x:row r="16" ht="15" hidden="0" customHeight="1">
      <x:c r="A16" s="305" t="str">
        <x:v>7E2h</x:v>
      </x:c>
      <x:c r="B16" s="306" t="str"/>
      <x:c r="C16" s="306" t="str">
        <x:v>21h</x:v>
      </x:c>
      <x:c r="D16" s="306" t="str">
        <x:v>92h</x:v>
      </x:c>
      <x:c r="E16" s="301" t="n">
        <x:v>2</x:v>
      </x:c>
      <x:c r="F16" s="301" t="n">
        <x:v>0</x:v>
      </x:c>
      <x:c r="G16" s="301" t="n">
        <x:v>2</x:v>
      </x:c>
      <x:c r="H16" s="301" t="n">
        <x:v>0</x:v>
      </x:c>
      <x:c r="I16" s="301" t="n">
        <x:v>0</x:v>
      </x:c>
      <x:c r="J16" s="292" t="str">
        <x:v>NO_RESPONSE=2</x:v>
      </x:c>
      <x:c r="K16" s="293" t="str">
        <x:v>Transport inventory only; no signal formula promoted</x:v>
      </x:c>
    </x:row>
    <x:row r="17" ht="15" hidden="0" customHeight="1">
      <x:c r="A17" s="305" t="str">
        <x:v>7E2h</x:v>
      </x:c>
      <x:c r="B17" s="306" t="str"/>
      <x:c r="C17" s="306" t="str">
        <x:v>21h</x:v>
      </x:c>
      <x:c r="D17" s="306" t="str">
        <x:v>C3h</x:v>
      </x:c>
      <x:c r="E17" s="301" t="n">
        <x:v>49</x:v>
      </x:c>
      <x:c r="F17" s="301" t="n">
        <x:v>0</x:v>
      </x:c>
      <x:c r="G17" s="301" t="n">
        <x:v>49</x:v>
      </x:c>
      <x:c r="H17" s="301" t="n">
        <x:v>0</x:v>
      </x:c>
      <x:c r="I17" s="301" t="n">
        <x:v>0</x:v>
      </x:c>
      <x:c r="J17" s="292" t="str">
        <x:v>NO_RESPONSE=49</x:v>
      </x:c>
      <x:c r="K17" s="293" t="str">
        <x:v>Observed Hybrid Assistant request/response; payload meaning unresolved</x:v>
      </x:c>
    </x:row>
    <x:row r="18" ht="15" hidden="0" customHeight="1">
      <x:c r="A18" s="305" t="str">
        <x:v>7E2h</x:v>
      </x:c>
      <x:c r="B18" s="306" t="str"/>
      <x:c r="C18" s="306" t="str">
        <x:v>21h</x:v>
      </x:c>
      <x:c r="D18" s="306" t="str">
        <x:v>C4h</x:v>
      </x:c>
      <x:c r="E18" s="301" t="n">
        <x:v>39</x:v>
      </x:c>
      <x:c r="F18" s="301" t="n">
        <x:v>0</x:v>
      </x:c>
      <x:c r="G18" s="301" t="n">
        <x:v>39</x:v>
      </x:c>
      <x:c r="H18" s="301" t="n">
        <x:v>0</x:v>
      </x:c>
      <x:c r="I18" s="301" t="n">
        <x:v>0</x:v>
      </x:c>
      <x:c r="J18" s="292" t="str">
        <x:v>NO_RESPONSE=39</x:v>
      </x:c>
      <x:c r="K18" s="293" t="str">
        <x:v>Observed Hybrid Assistant request/response; payload meaning unresolved</x:v>
      </x:c>
    </x:row>
    <x:row r="19" ht="15" hidden="0" customHeight="1">
      <x:c r="A19" s="305" t="str">
        <x:v>7E2h</x:v>
      </x:c>
      <x:c r="B19" s="306" t="str"/>
      <x:c r="C19" s="306" t="str">
        <x:v>21h</x:v>
      </x:c>
      <x:c r="D19" s="306" t="str">
        <x:v>CEh</x:v>
      </x:c>
      <x:c r="E19" s="301" t="n">
        <x:v>8</x:v>
      </x:c>
      <x:c r="F19" s="301" t="n">
        <x:v>0</x:v>
      </x:c>
      <x:c r="G19" s="301" t="n">
        <x:v>8</x:v>
      </x:c>
      <x:c r="H19" s="301" t="n">
        <x:v>0</x:v>
      </x:c>
      <x:c r="I19" s="301" t="n">
        <x:v>0</x:v>
      </x:c>
      <x:c r="J19" s="292" t="str">
        <x:v>NO_RESPONSE=8</x:v>
      </x:c>
      <x:c r="K19" s="293" t="str">
        <x:v>Transport inventory only; no signal formula promoted</x:v>
      </x:c>
    </x:row>
    <x:row r="20" ht="15" hidden="0" customHeight="1">
      <x:c r="A20" s="305" t="str">
        <x:v>7E2h</x:v>
      </x:c>
      <x:c r="B20" s="306" t="str"/>
      <x:c r="C20" s="306" t="str">
        <x:v>21h</x:v>
      </x:c>
      <x:c r="D20" s="306" t="str">
        <x:v>CFh</x:v>
      </x:c>
      <x:c r="E20" s="301" t="n">
        <x:v>6</x:v>
      </x:c>
      <x:c r="F20" s="301" t="n">
        <x:v>0</x:v>
      </x:c>
      <x:c r="G20" s="301" t="n">
        <x:v>6</x:v>
      </x:c>
      <x:c r="H20" s="301" t="n">
        <x:v>0</x:v>
      </x:c>
      <x:c r="I20" s="301" t="n">
        <x:v>0</x:v>
      </x:c>
      <x:c r="J20" s="292" t="str">
        <x:v>NO_RESPONSE=6</x:v>
      </x:c>
      <x:c r="K20" s="293" t="str">
        <x:v>Observed Hybrid Assistant request/response; payload meaning unresolved</x:v>
      </x:c>
    </x:row>
    <x:row r="21" ht="15" hidden="0" customHeight="1">
      <x:c r="A21" s="305" t="str">
        <x:v>7E2h</x:v>
      </x:c>
      <x:c r="B21" s="306" t="str">
        <x:v>7EAh</x:v>
      </x:c>
      <x:c r="C21" s="306" t="str">
        <x:v>21h</x:v>
      </x:c>
      <x:c r="D21" s="306" t="str">
        <x:v>C3h</x:v>
      </x:c>
      <x:c r="E21" s="301" t="n">
        <x:v>275</x:v>
      </x:c>
      <x:c r="F21" s="301" t="n">
        <x:v>272</x:v>
      </x:c>
      <x:c r="G21" s="301" t="n">
        <x:v>0</x:v>
      </x:c>
      <x:c r="H21" s="301" t="n">
        <x:v>3</x:v>
      </x:c>
      <x:c r="I21" s="301" t="n">
        <x:v>0</x:v>
      </x:c>
      <x:c r="J21" s="292" t="str">
        <x:v>INCOMPLETE_SEQUENCE=3;OK=272</x:v>
      </x:c>
      <x:c r="K21" s="293" t="str">
        <x:v>Observed Hybrid Assistant request/response; payload meaning unresolved</x:v>
      </x:c>
    </x:row>
    <x:row r="22" ht="15" hidden="0" customHeight="1">
      <x:c r="A22" s="305" t="str">
        <x:v>7E2h</x:v>
      </x:c>
      <x:c r="B22" s="306" t="str">
        <x:v>7EAh</x:v>
      </x:c>
      <x:c r="C22" s="306" t="str">
        <x:v>21h</x:v>
      </x:c>
      <x:c r="D22" s="306" t="str">
        <x:v>C4h</x:v>
      </x:c>
      <x:c r="E22" s="301" t="n">
        <x:v>285</x:v>
      </x:c>
      <x:c r="F22" s="301" t="n">
        <x:v>283</x:v>
      </x:c>
      <x:c r="G22" s="301" t="n">
        <x:v>0</x:v>
      </x:c>
      <x:c r="H22" s="301" t="n">
        <x:v>2</x:v>
      </x:c>
      <x:c r="I22" s="301" t="n">
        <x:v>0</x:v>
      </x:c>
      <x:c r="J22" s="292" t="str">
        <x:v>INCOMPLETE_SEQUENCE=2;OK=283</x:v>
      </x:c>
      <x:c r="K22" s="293" t="str">
        <x:v>Observed Hybrid Assistant request/response; payload meaning unresolved</x:v>
      </x:c>
    </x:row>
    <x:row r="23" ht="15" hidden="0" customHeight="1">
      <x:c r="A23" s="305" t="str">
        <x:v>7E2h</x:v>
      </x:c>
      <x:c r="B23" s="306" t="str">
        <x:v>7EAh</x:v>
      </x:c>
      <x:c r="C23" s="306" t="str">
        <x:v>21h</x:v>
      </x:c>
      <x:c r="D23" s="306" t="str">
        <x:v>CEh</x:v>
      </x:c>
      <x:c r="E23" s="301" t="n">
        <x:v>134</x:v>
      </x:c>
      <x:c r="F23" s="301" t="n">
        <x:v>133</x:v>
      </x:c>
      <x:c r="G23" s="301" t="n">
        <x:v>0</x:v>
      </x:c>
      <x:c r="H23" s="301" t="n">
        <x:v>1</x:v>
      </x:c>
      <x:c r="I23" s="301" t="n">
        <x:v>0</x:v>
      </x:c>
      <x:c r="J23" s="292" t="str">
        <x:v>INCOMPLETE_SEQUENCE=1;OK=133</x:v>
      </x:c>
      <x:c r="K23" s="293" t="str">
        <x:v>Observed 17-block voltage response; decoded as PROBABLE</x:v>
      </x:c>
    </x:row>
    <x:row r="24" ht="15" hidden="0" customHeight="1">
      <x:c r="A24" s="305" t="str">
        <x:v>7E2h</x:v>
      </x:c>
      <x:c r="B24" s="306" t="str">
        <x:v>7EAh</x:v>
      </x:c>
      <x:c r="C24" s="306" t="str">
        <x:v>21h</x:v>
      </x:c>
      <x:c r="D24" s="306" t="str">
        <x:v>CFh</x:v>
      </x:c>
      <x:c r="E24" s="301" t="n">
        <x:v>26</x:v>
      </x:c>
      <x:c r="F24" s="301" t="n">
        <x:v>26</x:v>
      </x:c>
      <x:c r="G24" s="301" t="n">
        <x:v>0</x:v>
      </x:c>
      <x:c r="H24" s="301" t="n">
        <x:v>0</x:v>
      </x:c>
      <x:c r="I24" s="301" t="n">
        <x:v>0</x:v>
      </x:c>
      <x:c r="J24" s="292" t="str">
        <x:v>OK=26</x:v>
      </x:c>
      <x:c r="K24" s="293" t="str">
        <x:v>Observed Hybrid Assistant request/response; payload meaning unresolved</x:v>
      </x:c>
    </x:row>
    <x:row r="25" ht="15" hidden="0" customHeight="1">
      <x:c r="A25" s="307" t="str">
        <x:v>7E4h</x:v>
      </x:c>
      <x:c r="B25" s="308" t="str"/>
      <x:c r="C25" s="308" t="str">
        <x:v>22h</x:v>
      </x:c>
      <x:c r="D25" s="308" t="str">
        <x:v>01h</x:v>
      </x:c>
      <x:c r="E25" s="302" t="n">
        <x:v>2</x:v>
      </x:c>
      <x:c r="F25" s="302" t="n">
        <x:v>0</x:v>
      </x:c>
      <x:c r="G25" s="302" t="n">
        <x:v>2</x:v>
      </x:c>
      <x:c r="H25" s="302" t="n">
        <x:v>0</x:v>
      </x:c>
      <x:c r="I25" s="302" t="n">
        <x:v>0</x:v>
      </x:c>
      <x:c r="J25" s="295" t="str">
        <x:v>NO_RESPONSE=2</x:v>
      </x:c>
      <x:c r="K25" s="296" t="str">
        <x:v>Transport inventory only; no signal formula promoted</x:v>
      </x:c>
    </x:row>
  </x:sheetData>
  <x:pageMargins left="0.7" right="0.7" top="0.75" bottom="0.75" header="0.3" footer="0.3"/>
  <x:tableParts count="1">
    <x:tablePart xmlns:r="http://schemas.openxmlformats.org/officeDocument/2006/relationships" r:id="R9642f6f4acfd4824"/>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4" hidden="0" customWidth="1"/>
    <x:col min="5" max="5" width="23.889999389648438" hidden="0" customWidth="1"/>
    <x:col min="6" max="6" width="7.670000076293945" hidden="0" customWidth="1"/>
    <x:col min="7" max="7" width="12.670000076293945" hidden="0" customWidth="1"/>
    <x:col min="8" max="8" width="7.670000076293945" hidden="0" customWidth="1"/>
    <x:col min="9" max="9" width="7.670000076293945" hidden="0" customWidth="1"/>
    <x:col min="10" max="10" width="7.670000076293945" hidden="0" customWidth="1"/>
    <x:col min="11" max="11" width="7.670000076293945" hidden="0" customWidth="1"/>
    <x:col min="12" max="12" width="7.670000076293945" hidden="0" customWidth="1"/>
    <x:col min="13" max="13" width="7.670000076293945" hidden="0" customWidth="1"/>
    <x:col min="14" max="14" width="7.670000076293945" hidden="0" customWidth="1"/>
    <x:col min="15" max="15" width="7.670000076293945" hidden="0" customWidth="1"/>
    <x:col min="16" max="16" width="7.670000076293945" hidden="0" customWidth="1"/>
    <x:col min="17" max="17" width="7.670000076293945" hidden="0" customWidth="1"/>
    <x:col min="18" max="18" width="7.670000076293945" hidden="0" customWidth="1"/>
    <x:col min="19" max="19" width="7.670000076293945" hidden="0" customWidth="1"/>
    <x:col min="20" max="20" width="7.670000076293945" hidden="0" customWidth="1"/>
    <x:col min="21" max="21" width="7.670000076293945" hidden="0" customWidth="1"/>
    <x:col min="22" max="22" width="12" hidden="0" customWidth="1"/>
    <x:col min="23" max="23" width="11.109999656677246" hidden="0" customWidth="1"/>
    <x:col min="24" max="24" width="11.890000343322754" hidden="0" customWidth="1"/>
    <x:col min="25" max="25" width="12.220000267028809" hidden="0" customWidth="1"/>
    <x:col min="26" max="26" width="12.670000076293945" hidden="0" customWidth="1"/>
    <x:col min="27" max="27" width="16" hidden="0" customWidth="1"/>
    <x:col min="28" max="28" width="95" hidden="0" customWidth="1"/>
  </x:cols>
  <x:sheetData>
    <x:row r="1" ht="15" hidden="0" customHeight="1">
      <x:c r="A1" s="311" t="str">
        <x:v>S0010 AHV40 observed 7E2 / 21CE block-voltage evidence</x:v>
      </x:c>
      <x:c r="B1" s="311"/>
      <x:c r="C1" s="311"/>
      <x:c r="D1" s="311"/>
      <x:c r="E1" s="311"/>
      <x:c r="F1" s="311"/>
      <x:c r="G1" s="311"/>
      <x:c r="H1" s="311"/>
      <x:c r="I1" s="311"/>
      <x:c r="J1" s="311"/>
      <x:c r="K1" s="311"/>
      <x:c r="L1" s="311"/>
      <x:c r="M1" s="311"/>
      <x:c r="N1" s="311"/>
      <x:c r="O1" s="311"/>
      <x:c r="P1" s="311"/>
      <x:c r="Q1" s="311"/>
      <x:c r="R1" s="311"/>
      <x:c r="S1" s="311"/>
      <x:c r="T1" s="311"/>
      <x:c r="U1" s="311"/>
      <x:c r="V1" s="311"/>
      <x:c r="W1" s="311"/>
      <x:c r="X1" s="311"/>
      <x:c r="Y1" s="311"/>
      <x:c r="Z1" s="311"/>
      <x:c r="AA1" s="311"/>
      <x:c r="AB1" s="311"/>
    </x:row>
    <x:row r="2" ht="26.399999618530273" hidden="0" customHeight="1">
      <x:c r="A2" s="262" t="str">
        <x:v>Complete samples</x:v>
      </x:c>
      <x:c r="B2" s="262"/>
      <x:c r="C2" s="262" t="str">
        <x:v>Mean block average</x:v>
      </x:c>
      <x:c r="D2" s="262"/>
      <x:c r="E2" s="262" t="str">
        <x:v>Maximum observed difference</x:v>
      </x:c>
      <x:c r="F2" s="262"/>
      <x:c r="G2" s="262" t="str">
        <x:v>Mean pack sum</x:v>
      </x:c>
      <x:c r="H2" s="262"/>
    </x:row>
    <x:row r="3" ht="15" hidden="0" customHeight="1">
      <x:c r="A3" s="312"/>
      <x:c r="B3" s="312" t="n">
        <x:f>COUNTA(A7:A139)</x:f>
        <x:v>133</x:v>
      </x:c>
      <x:c r="C3" s="312"/>
      <x:c r="D3" s="313" t="n">
        <x:f>AVERAGE(W7:W139)</x:f>
        <x:v>15.149133135338344</x:v>
      </x:c>
      <x:c r="E3" s="313"/>
      <x:c r="F3" s="313" t="n">
        <x:f>MAX(Z7:Z139)</x:f>
        <x:v>0.15</x:v>
      </x:c>
      <x:c r="G3" s="313"/>
      <x:c r="H3" s="313" t="n">
        <x:f>AVERAGE(V7:V139)</x:f>
        <x:v>257.53526315789486</x:v>
      </x:c>
    </x:row>
    <x:row r="4"/>
    <x:row r="5" ht="15" hidden="0" customHeight="1">
      <x:c r="A5" s="316" t="str">
        <x:v>Formula: response payload 61 CE + 3 preamble bytes + 17 × uint16 big-endian; Block_V = (raw - 32768) / 100. Evidence grade PROBABLE; READ_ONLY_DIAGNOSTIC; source frames and payload retained.</x:v>
      </x:c>
      <x:c r="B5" s="316"/>
      <x:c r="C5" s="316"/>
      <x:c r="D5" s="316"/>
      <x:c r="E5" s="316"/>
      <x:c r="F5" s="316"/>
      <x:c r="G5" s="316"/>
      <x:c r="H5" s="316"/>
      <x:c r="I5" s="316"/>
      <x:c r="J5" s="316"/>
      <x:c r="K5" s="316"/>
      <x:c r="L5" s="316"/>
      <x:c r="M5" s="316"/>
      <x:c r="N5" s="316"/>
      <x:c r="O5" s="316"/>
      <x:c r="P5" s="316"/>
      <x:c r="Q5" s="316"/>
      <x:c r="R5" s="316"/>
      <x:c r="S5" s="316"/>
      <x:c r="T5" s="316"/>
      <x:c r="U5" s="316"/>
      <x:c r="V5" s="316"/>
      <x:c r="W5" s="316"/>
      <x:c r="X5" s="316"/>
      <x:c r="Y5" s="316"/>
      <x:c r="Z5" s="316"/>
      <x:c r="AA5" s="316"/>
      <x:c r="AB5" s="316"/>
    </x:row>
    <x:row r="6" ht="15" hidden="0" customHeight="1">
      <x:c r="A6" s="268" t="str">
        <x:v>RequestTime_us</x:v>
      </x:c>
      <x:c r="B6" s="268" t="str">
        <x:v>ResponseTime_us</x:v>
      </x:c>
      <x:c r="C6" s="268" t="str">
        <x:v>Video_s</x:v>
      </x:c>
      <x:c r="D6" s="268" t="str">
        <x:v>PreambleHex</x:v>
      </x:c>
      <x:c r="E6" s="268" t="str">
        <x:v>B01_V</x:v>
      </x:c>
      <x:c r="F6" s="268" t="str">
        <x:v>B02_V</x:v>
      </x:c>
      <x:c r="G6" s="268" t="str">
        <x:v>B03_V</x:v>
      </x:c>
      <x:c r="H6" s="268" t="str">
        <x:v>B04_V</x:v>
      </x:c>
      <x:c r="I6" s="268" t="str">
        <x:v>B05_V</x:v>
      </x:c>
      <x:c r="J6" s="268" t="str">
        <x:v>B06_V</x:v>
      </x:c>
      <x:c r="K6" s="268" t="str">
        <x:v>B07_V</x:v>
      </x:c>
      <x:c r="L6" s="268" t="str">
        <x:v>B08_V</x:v>
      </x:c>
      <x:c r="M6" s="268" t="str">
        <x:v>B09_V</x:v>
      </x:c>
      <x:c r="N6" s="268" t="str">
        <x:v>B10_V</x:v>
      </x:c>
      <x:c r="O6" s="268" t="str">
        <x:v>B11_V</x:v>
      </x:c>
      <x:c r="P6" s="268" t="str">
        <x:v>B12_V</x:v>
      </x:c>
      <x:c r="Q6" s="268" t="str">
        <x:v>B13_V</x:v>
      </x:c>
      <x:c r="R6" s="268" t="str">
        <x:v>B14_V</x:v>
      </x:c>
      <x:c r="S6" s="268" t="str">
        <x:v>B15_V</x:v>
      </x:c>
      <x:c r="T6" s="268" t="str">
        <x:v>B16_V</x:v>
      </x:c>
      <x:c r="U6" s="268" t="str">
        <x:v>B17_V</x:v>
      </x:c>
      <x:c r="V6" s="268" t="str">
        <x:v>PackSum_V</x:v>
      </x:c>
      <x:c r="W6" s="268" t="str">
        <x:v>Average_V</x:v>
      </x:c>
      <x:c r="X6" s="268" t="str">
        <x:v>Minimum_V</x:v>
      </x:c>
      <x:c r="Y6" s="268" t="str">
        <x:v>Maximum_V</x:v>
      </x:c>
      <x:c r="Z6" s="268" t="str">
        <x:v>Difference_V</x:v>
      </x:c>
      <x:c r="AA6" s="268" t="str">
        <x:v>EvidenceGrade</x:v>
      </x:c>
      <x:c r="AB6" s="268" t="str">
        <x:v>RawResponseHex</x:v>
      </x:c>
    </x:row>
    <x:row r="7" ht="15" hidden="0" customHeight="1">
      <x:c r="A7" s="317" t="n">
        <x:v>220053350</x:v>
      </x:c>
      <x:c r="B7" s="300" t="n">
        <x:v>220055083</x:v>
      </x:c>
      <x:c r="C7" s="320" t="n">
        <x:v>200.320578</x:v>
      </x:c>
      <x:c r="D7" s="289" t="str">
        <x:v>5A810B</x:v>
      </x:c>
      <x:c r="E7" s="323" t="n">
        <x:v>15.31</x:v>
      </x:c>
      <x:c r="F7" s="323" t="n">
        <x:v>15.34</x:v>
      </x:c>
      <x:c r="G7" s="323" t="n">
        <x:v>15.31</x:v>
      </x:c>
      <x:c r="H7" s="323" t="n">
        <x:v>15.36</x:v>
      </x:c>
      <x:c r="I7" s="323" t="n">
        <x:v>15.36</x:v>
      </x:c>
      <x:c r="J7" s="323" t="n">
        <x:v>15.31</x:v>
      </x:c>
      <x:c r="K7" s="323" t="n">
        <x:v>15.31</x:v>
      </x:c>
      <x:c r="L7" s="323" t="n">
        <x:v>15.34</x:v>
      </x:c>
      <x:c r="M7" s="323" t="n">
        <x:v>15.31</x:v>
      </x:c>
      <x:c r="N7" s="323" t="n">
        <x:v>15.29</x:v>
      </x:c>
      <x:c r="O7" s="323" t="n">
        <x:v>15.31</x:v>
      </x:c>
      <x:c r="P7" s="323" t="n">
        <x:v>15.31</x:v>
      </x:c>
      <x:c r="Q7" s="323" t="n">
        <x:v>15.29</x:v>
      </x:c>
      <x:c r="R7" s="323" t="n">
        <x:v>15.34</x:v>
      </x:c>
      <x:c r="S7" s="323" t="n">
        <x:v>15.34</x:v>
      </x:c>
      <x:c r="T7" s="323" t="n">
        <x:v>15.31</x:v>
      </x:c>
      <x:c r="U7" s="323" t="n">
        <x:v>15.24</x:v>
      </x:c>
      <x:c r="V7" s="323" t="n">
        <x:v>260.38</x:v>
      </x:c>
      <x:c r="W7" s="323" t="n">
        <x:v>15.316471</x:v>
      </x:c>
      <x:c r="X7" s="323" t="n">
        <x:v>15.24</x:v>
      </x:c>
      <x:c r="Y7" s="323" t="n">
        <x:v>15.36</x:v>
      </x:c>
      <x:c r="Z7" s="323" t="n">
        <x:v>0.12</x:v>
      </x:c>
      <x:c r="AA7" s="289" t="str">
        <x:v>PROBABLE</x:v>
      </x:c>
      <x:c r="AB7" s="290" t="str">
        <x:v>61CE5A810B85FB85FE85FB8600860085FB85FB85FE85FB85F985FB85FB85F985FE85FE85FB85F4</x:v>
      </x:c>
    </x:row>
    <x:row r="8" ht="15" hidden="0" customHeight="1">
      <x:c r="A8" s="318" t="n">
        <x:v>221162544</x:v>
      </x:c>
      <x:c r="B8" s="301" t="n">
        <x:v>221164916</x:v>
      </x:c>
      <x:c r="C8" s="321" t="n">
        <x:v>201.429761</x:v>
      </x:c>
      <x:c r="D8" s="292" t="str">
        <x:v>598100</x:v>
      </x:c>
      <x:c r="E8" s="324" t="n">
        <x:v>15.31</x:v>
      </x:c>
      <x:c r="F8" s="324" t="n">
        <x:v>15.34</x:v>
      </x:c>
      <x:c r="G8" s="324" t="n">
        <x:v>15.31</x:v>
      </x:c>
      <x:c r="H8" s="324" t="n">
        <x:v>15.34</x:v>
      </x:c>
      <x:c r="I8" s="324" t="n">
        <x:v>15.36</x:v>
      </x:c>
      <x:c r="J8" s="324" t="n">
        <x:v>15.29</x:v>
      </x:c>
      <x:c r="K8" s="324" t="n">
        <x:v>15.31</x:v>
      </x:c>
      <x:c r="L8" s="324" t="n">
        <x:v>15.34</x:v>
      </x:c>
      <x:c r="M8" s="324" t="n">
        <x:v>15.31</x:v>
      </x:c>
      <x:c r="N8" s="324" t="n">
        <x:v>15.27</x:v>
      </x:c>
      <x:c r="O8" s="324" t="n">
        <x:v>15.31</x:v>
      </x:c>
      <x:c r="P8" s="324" t="n">
        <x:v>15.31</x:v>
      </x:c>
      <x:c r="Q8" s="324" t="n">
        <x:v>15.29</x:v>
      </x:c>
      <x:c r="R8" s="324" t="n">
        <x:v>15.31</x:v>
      </x:c>
      <x:c r="S8" s="324" t="n">
        <x:v>15.34</x:v>
      </x:c>
      <x:c r="T8" s="324" t="n">
        <x:v>15.31</x:v>
      </x:c>
      <x:c r="U8" s="324" t="n">
        <x:v>15.24</x:v>
      </x:c>
      <x:c r="V8" s="324" t="n">
        <x:v>260.29</x:v>
      </x:c>
      <x:c r="W8" s="324" t="n">
        <x:v>15.311176</x:v>
      </x:c>
      <x:c r="X8" s="324" t="n">
        <x:v>15.24</x:v>
      </x:c>
      <x:c r="Y8" s="324" t="n">
        <x:v>15.36</x:v>
      </x:c>
      <x:c r="Z8" s="324" t="n">
        <x:v>0.12</x:v>
      </x:c>
      <x:c r="AA8" s="292" t="str">
        <x:v>PROBABLE</x:v>
      </x:c>
      <x:c r="AB8" s="293" t="str">
        <x:v>61CE59810085FB85FE85FB85FE860085F985FB85FE85FB85F785FB85FB85F985FB85FE85FB85F4</x:v>
      </x:c>
    </x:row>
    <x:row r="9" ht="15" hidden="0" customHeight="1">
      <x:c r="A9" s="318" t="n">
        <x:v>221767812</x:v>
      </x:c>
      <x:c r="B9" s="301" t="n">
        <x:v>221771155</x:v>
      </x:c>
      <x:c r="C9" s="321" t="n">
        <x:v>202.035024</x:v>
      </x:c>
      <x:c r="D9" s="292" t="str">
        <x:v>5980F4</x:v>
      </x:c>
      <x:c r="E9" s="324" t="n">
        <x:v>15.34</x:v>
      </x:c>
      <x:c r="F9" s="324" t="n">
        <x:v>15.27</x:v>
      </x:c>
      <x:c r="G9" s="324" t="n">
        <x:v>15.31</x:v>
      </x:c>
      <x:c r="H9" s="324" t="n">
        <x:v>15.31</x:v>
      </x:c>
      <x:c r="I9" s="324" t="n">
        <x:v>15.36</x:v>
      </x:c>
      <x:c r="J9" s="324" t="n">
        <x:v>15.27</x:v>
      </x:c>
      <x:c r="K9" s="324" t="n">
        <x:v>15.29</x:v>
      </x:c>
      <x:c r="L9" s="324" t="n">
        <x:v>15.31</x:v>
      </x:c>
      <x:c r="M9" s="324" t="n">
        <x:v>15.31</x:v>
      </x:c>
      <x:c r="N9" s="324" t="n">
        <x:v>15.27</x:v>
      </x:c>
      <x:c r="O9" s="324" t="n">
        <x:v>15.31</x:v>
      </x:c>
      <x:c r="P9" s="324" t="n">
        <x:v>15.29</x:v>
      </x:c>
      <x:c r="Q9" s="324" t="n">
        <x:v>15.34</x:v>
      </x:c>
      <x:c r="R9" s="324" t="n">
        <x:v>15.31</x:v>
      </x:c>
      <x:c r="S9" s="324" t="n">
        <x:v>15.31</x:v>
      </x:c>
      <x:c r="T9" s="324" t="n">
        <x:v>15.34</x:v>
      </x:c>
      <x:c r="U9" s="324" t="n">
        <x:v>15.29</x:v>
      </x:c>
      <x:c r="V9" s="324" t="n">
        <x:v>260.23</x:v>
      </x:c>
      <x:c r="W9" s="324" t="n">
        <x:v>15.307647</x:v>
      </x:c>
      <x:c r="X9" s="324" t="n">
        <x:v>15.27</x:v>
      </x:c>
      <x:c r="Y9" s="324" t="n">
        <x:v>15.36</x:v>
      </x:c>
      <x:c r="Z9" s="324" t="n">
        <x:v>0.09</x:v>
      </x:c>
      <x:c r="AA9" s="292" t="str">
        <x:v>PROBABLE</x:v>
      </x:c>
      <x:c r="AB9" s="293" t="str">
        <x:v>61CE5980F485FE85F785FB85FB860085F785F985FB85FB85F785FB85F985FE85FB85FB85FE85F9</x:v>
      </x:c>
    </x:row>
    <x:row r="10" ht="15" hidden="0" customHeight="1">
      <x:c r="A10" s="318" t="n">
        <x:v>222356499</x:v>
      </x:c>
      <x:c r="B10" s="301" t="n">
        <x:v>222360767</x:v>
      </x:c>
      <x:c r="C10" s="321" t="n">
        <x:v>202.623705</x:v>
      </x:c>
      <x:c r="D10" s="292" t="str">
        <x:v>598101</x:v>
      </x:c>
      <x:c r="E10" s="324" t="n">
        <x:v>15.34</x:v>
      </x:c>
      <x:c r="F10" s="324" t="n">
        <x:v>15.27</x:v>
      </x:c>
      <x:c r="G10" s="324" t="n">
        <x:v>15.31</x:v>
      </x:c>
      <x:c r="H10" s="324" t="n">
        <x:v>15.29</x:v>
      </x:c>
      <x:c r="I10" s="324" t="n">
        <x:v>15.36</x:v>
      </x:c>
      <x:c r="J10" s="324" t="n">
        <x:v>15.27</x:v>
      </x:c>
      <x:c r="K10" s="324" t="n">
        <x:v>15.29</x:v>
      </x:c>
      <x:c r="L10" s="324" t="n">
        <x:v>15.31</x:v>
      </x:c>
      <x:c r="M10" s="324" t="n">
        <x:v>15.31</x:v>
      </x:c>
      <x:c r="N10" s="324" t="n">
        <x:v>15.27</x:v>
      </x:c>
      <x:c r="O10" s="324" t="n">
        <x:v>15.31</x:v>
      </x:c>
      <x:c r="P10" s="324" t="n">
        <x:v>15.29</x:v>
      </x:c>
      <x:c r="Q10" s="324" t="n">
        <x:v>15.34</x:v>
      </x:c>
      <x:c r="R10" s="324" t="n">
        <x:v>15.29</x:v>
      </x:c>
      <x:c r="S10" s="324" t="n">
        <x:v>15.31</x:v>
      </x:c>
      <x:c r="T10" s="324" t="n">
        <x:v>15.36</x:v>
      </x:c>
      <x:c r="U10" s="324" t="n">
        <x:v>15.29</x:v>
      </x:c>
      <x:c r="V10" s="324" t="n">
        <x:v>260.21</x:v>
      </x:c>
      <x:c r="W10" s="324" t="n">
        <x:v>15.306471</x:v>
      </x:c>
      <x:c r="X10" s="324" t="n">
        <x:v>15.27</x:v>
      </x:c>
      <x:c r="Y10" s="324" t="n">
        <x:v>15.36</x:v>
      </x:c>
      <x:c r="Z10" s="324" t="n">
        <x:v>0.09</x:v>
      </x:c>
      <x:c r="AA10" s="292" t="str">
        <x:v>PROBABLE</x:v>
      </x:c>
      <x:c r="AB10" s="293" t="str">
        <x:v>61CE59810185FE85F785FB85F9860085F785F985FB85FB85F785FB85F985FE85F985FB860085F9</x:v>
      </x:c>
    </x:row>
    <x:row r="11" ht="15" hidden="0" customHeight="1">
      <x:c r="A11" s="318" t="n">
        <x:v>222961502</x:v>
      </x:c>
      <x:c r="B11" s="301" t="n">
        <x:v>222967100</x:v>
      </x:c>
      <x:c r="C11" s="321" t="n">
        <x:v>203.228702</x:v>
      </x:c>
      <x:c r="D11" s="292" t="str">
        <x:v>5980F8</x:v>
      </x:c>
      <x:c r="E11" s="324" t="n">
        <x:v>15.22</x:v>
      </x:c>
      <x:c r="F11" s="324" t="n">
        <x:v>15.36</x:v>
      </x:c>
      <x:c r="G11" s="324" t="n">
        <x:v>15.31</x:v>
      </x:c>
      <x:c r="H11" s="324" t="n">
        <x:v>15.31</x:v>
      </x:c>
      <x:c r="I11" s="324" t="n">
        <x:v>15.34</x:v>
      </x:c>
      <x:c r="J11" s="324" t="n">
        <x:v>15.29</x:v>
      </x:c>
      <x:c r="K11" s="324" t="n">
        <x:v>15.29</x:v>
      </x:c>
      <x:c r="L11" s="324" t="n">
        <x:v>15.31</x:v>
      </x:c>
      <x:c r="M11" s="324" t="n">
        <x:v>15.31</x:v>
      </x:c>
      <x:c r="N11" s="324" t="n">
        <x:v>15.27</x:v>
      </x:c>
      <x:c r="O11" s="324" t="n">
        <x:v>15.31</x:v>
      </x:c>
      <x:c r="P11" s="324" t="n">
        <x:v>15.29</x:v>
      </x:c>
      <x:c r="Q11" s="324" t="n">
        <x:v>15.31</x:v>
      </x:c>
      <x:c r="R11" s="324" t="n">
        <x:v>15.31</x:v>
      </x:c>
      <x:c r="S11" s="324" t="n">
        <x:v>15.31</x:v>
      </x:c>
      <x:c r="T11" s="324" t="n">
        <x:v>15.34</x:v>
      </x:c>
      <x:c r="U11" s="324" t="n">
        <x:v>15.24</x:v>
      </x:c>
      <x:c r="V11" s="324" t="n">
        <x:v>260.12</x:v>
      </x:c>
      <x:c r="W11" s="324" t="n">
        <x:v>15.301176</x:v>
      </x:c>
      <x:c r="X11" s="324" t="n">
        <x:v>15.22</x:v>
      </x:c>
      <x:c r="Y11" s="324" t="n">
        <x:v>15.36</x:v>
      </x:c>
      <x:c r="Z11" s="324" t="n">
        <x:v>0.14</x:v>
      </x:c>
      <x:c r="AA11" s="292" t="str">
        <x:v>PROBABLE</x:v>
      </x:c>
      <x:c r="AB11" s="293" t="str">
        <x:v>61CE5980F885F2860085FB85FB85FE85F985F985FB85FB85F785FB85F985FB85FB85FB85FE85F4</x:v>
      </x:c>
    </x:row>
    <x:row r="12" ht="15" hidden="0" customHeight="1">
      <x:c r="A12" s="318" t="n">
        <x:v>223476549</x:v>
      </x:c>
      <x:c r="B12" s="301" t="n">
        <x:v>223478766</x:v>
      </x:c>
      <x:c r="C12" s="321" t="n">
        <x:v>203.743745</x:v>
      </x:c>
      <x:c r="D12" s="292" t="str">
        <x:v>598113</x:v>
      </x:c>
      <x:c r="E12" s="324" t="n">
        <x:v>15.22</x:v>
      </x:c>
      <x:c r="F12" s="324" t="n">
        <x:v>15.34</x:v>
      </x:c>
      <x:c r="G12" s="324" t="n">
        <x:v>15.31</x:v>
      </x:c>
      <x:c r="H12" s="324" t="n">
        <x:v>15.29</x:v>
      </x:c>
      <x:c r="I12" s="324" t="n">
        <x:v>15.34</x:v>
      </x:c>
      <x:c r="J12" s="324" t="n">
        <x:v>15.29</x:v>
      </x:c>
      <x:c r="K12" s="324" t="n">
        <x:v>15.29</x:v>
      </x:c>
      <x:c r="L12" s="324" t="n">
        <x:v>15.31</x:v>
      </x:c>
      <x:c r="M12" s="324" t="n">
        <x:v>15.31</x:v>
      </x:c>
      <x:c r="N12" s="324" t="n">
        <x:v>15.27</x:v>
      </x:c>
      <x:c r="O12" s="324" t="n">
        <x:v>15.31</x:v>
      </x:c>
      <x:c r="P12" s="324" t="n">
        <x:v>15.29</x:v>
      </x:c>
      <x:c r="Q12" s="324" t="n">
        <x:v>15.34</x:v>
      </x:c>
      <x:c r="R12" s="324" t="n">
        <x:v>15.31</x:v>
      </x:c>
      <x:c r="S12" s="324" t="n">
        <x:v>15.31</x:v>
      </x:c>
      <x:c r="T12" s="324" t="n">
        <x:v>15.36</x:v>
      </x:c>
      <x:c r="U12" s="324" t="n">
        <x:v>15.24</x:v>
      </x:c>
      <x:c r="V12" s="324" t="n">
        <x:v>260.13</x:v>
      </x:c>
      <x:c r="W12" s="324" t="n">
        <x:v>15.301765</x:v>
      </x:c>
      <x:c r="X12" s="324" t="n">
        <x:v>15.22</x:v>
      </x:c>
      <x:c r="Y12" s="324" t="n">
        <x:v>15.36</x:v>
      </x:c>
      <x:c r="Z12" s="324" t="n">
        <x:v>0.14</x:v>
      </x:c>
      <x:c r="AA12" s="292" t="str">
        <x:v>PROBABLE</x:v>
      </x:c>
      <x:c r="AB12" s="293" t="str">
        <x:v>61CE59811385F285FE85FB85F985FE85F985F985FB85FB85F785FB85F985FE85FB85FB860085F4</x:v>
      </x:c>
    </x:row>
    <x:row r="13" ht="15" hidden="0" customHeight="1">
      <x:c r="A13" s="318" t="n">
        <x:v>224067844</x:v>
      </x:c>
      <x:c r="B13" s="301" t="n">
        <x:v>224072596</x:v>
      </x:c>
      <x:c r="C13" s="321" t="n">
        <x:v>204.335034</x:v>
      </x:c>
      <x:c r="D13" s="292" t="str">
        <x:v>59810F</x:v>
      </x:c>
      <x:c r="E13" s="324" t="n">
        <x:v>15.22</x:v>
      </x:c>
      <x:c r="F13" s="324" t="n">
        <x:v>15.34</x:v>
      </x:c>
      <x:c r="G13" s="324" t="n">
        <x:v>15.31</x:v>
      </x:c>
      <x:c r="H13" s="324" t="n">
        <x:v>15.29</x:v>
      </x:c>
      <x:c r="I13" s="324" t="n">
        <x:v>15.31</x:v>
      </x:c>
      <x:c r="J13" s="324" t="n">
        <x:v>15.29</x:v>
      </x:c>
      <x:c r="K13" s="324" t="n">
        <x:v>15.29</x:v>
      </x:c>
      <x:c r="L13" s="324" t="n">
        <x:v>15.31</x:v>
      </x:c>
      <x:c r="M13" s="324" t="n">
        <x:v>15.31</x:v>
      </x:c>
      <x:c r="N13" s="324" t="n">
        <x:v>15.27</x:v>
      </x:c>
      <x:c r="O13" s="324" t="n">
        <x:v>15.29</x:v>
      </x:c>
      <x:c r="P13" s="324" t="n">
        <x:v>15.29</x:v>
      </x:c>
      <x:c r="Q13" s="324" t="n">
        <x:v>15.31</x:v>
      </x:c>
      <x:c r="R13" s="324" t="n">
        <x:v>15.29</x:v>
      </x:c>
      <x:c r="S13" s="324" t="n">
        <x:v>15.31</x:v>
      </x:c>
      <x:c r="T13" s="324" t="n">
        <x:v>15.34</x:v>
      </x:c>
      <x:c r="U13" s="324" t="n">
        <x:v>15.24</x:v>
      </x:c>
      <x:c r="V13" s="324" t="n">
        <x:v>260.01</x:v>
      </x:c>
      <x:c r="W13" s="324" t="n">
        <x:v>15.294706</x:v>
      </x:c>
      <x:c r="X13" s="324" t="n">
        <x:v>15.22</x:v>
      </x:c>
      <x:c r="Y13" s="324" t="n">
        <x:v>15.34</x:v>
      </x:c>
      <x:c r="Z13" s="324" t="n">
        <x:v>0.12</x:v>
      </x:c>
      <x:c r="AA13" s="292" t="str">
        <x:v>PROBABLE</x:v>
      </x:c>
      <x:c r="AB13" s="293" t="str">
        <x:v>61CE59810F85F285FE85FB85F985FB85F985F985FB85FB85F785F985F985FB85F985FB85FE85F4</x:v>
      </x:c>
    </x:row>
    <x:row r="14" ht="15" hidden="0" customHeight="1">
      <x:c r="A14" s="318" t="n">
        <x:v>224659016</x:v>
      </x:c>
      <x:c r="B14" s="301" t="n">
        <x:v>224662574</x:v>
      </x:c>
      <x:c r="C14" s="321" t="n">
        <x:v>204.9262</x:v>
      </x:c>
      <x:c r="D14" s="292" t="str">
        <x:v>59810D</x:v>
      </x:c>
      <x:c r="E14" s="324" t="n">
        <x:v>15.29</x:v>
      </x:c>
      <x:c r="F14" s="324" t="n">
        <x:v>15.34</x:v>
      </x:c>
      <x:c r="G14" s="324" t="n">
        <x:v>15.31</x:v>
      </x:c>
      <x:c r="H14" s="324" t="n">
        <x:v>15.34</x:v>
      </x:c>
      <x:c r="I14" s="324" t="n">
        <x:v>15.29</x:v>
      </x:c>
      <x:c r="J14" s="324" t="n">
        <x:v>15.31</x:v>
      </x:c>
      <x:c r="K14" s="324" t="n">
        <x:v>15.31</x:v>
      </x:c>
      <x:c r="L14" s="324" t="n">
        <x:v>15.27</x:v>
      </x:c>
      <x:c r="M14" s="324" t="n">
        <x:v>15.31</x:v>
      </x:c>
      <x:c r="N14" s="324" t="n">
        <x:v>15.27</x:v>
      </x:c>
      <x:c r="O14" s="324" t="n">
        <x:v>15.31</x:v>
      </x:c>
      <x:c r="P14" s="324" t="n">
        <x:v>15.29</x:v>
      </x:c>
      <x:c r="Q14" s="324" t="n">
        <x:v>15.34</x:v>
      </x:c>
      <x:c r="R14" s="324" t="n">
        <x:v>15.29</x:v>
      </x:c>
      <x:c r="S14" s="324" t="n">
        <x:v>15.31</x:v>
      </x:c>
      <x:c r="T14" s="324" t="n">
        <x:v>15.34</x:v>
      </x:c>
      <x:c r="U14" s="324" t="n">
        <x:v>15.24</x:v>
      </x:c>
      <x:c r="V14" s="324" t="n">
        <x:v>260.16</x:v>
      </x:c>
      <x:c r="W14" s="324" t="n">
        <x:v>15.303529</x:v>
      </x:c>
      <x:c r="X14" s="324" t="n">
        <x:v>15.24</x:v>
      </x:c>
      <x:c r="Y14" s="324" t="n">
        <x:v>15.34</x:v>
      </x:c>
      <x:c r="Z14" s="324" t="n">
        <x:v>0.1</x:v>
      </x:c>
      <x:c r="AA14" s="292" t="str">
        <x:v>PROBABLE</x:v>
      </x:c>
      <x:c r="AB14" s="293" t="str">
        <x:v>61CE59810D85F985FE85FB85FE85F985FB85FB85F785FB85F785FB85F985FE85F985FB85FE85F4</x:v>
      </x:c>
    </x:row>
    <x:row r="15" ht="15" hidden="0" customHeight="1">
      <x:c r="A15" s="318" t="n">
        <x:v>225251515</x:v>
      </x:c>
      <x:c r="B15" s="301" t="n">
        <x:v>225256263</x:v>
      </x:c>
      <x:c r="C15" s="321" t="n">
        <x:v>205.518694</x:v>
      </x:c>
      <x:c r="D15" s="292" t="str">
        <x:v>5980FA</x:v>
      </x:c>
      <x:c r="E15" s="324" t="n">
        <x:v>15.29</x:v>
      </x:c>
      <x:c r="F15" s="324" t="n">
        <x:v>15.34</x:v>
      </x:c>
      <x:c r="G15" s="324" t="n">
        <x:v>15.31</x:v>
      </x:c>
      <x:c r="H15" s="324" t="n">
        <x:v>15.34</x:v>
      </x:c>
      <x:c r="I15" s="324" t="n">
        <x:v>15.27</x:v>
      </x:c>
      <x:c r="J15" s="324" t="n">
        <x:v>15.31</x:v>
      </x:c>
      <x:c r="K15" s="324" t="n">
        <x:v>15.31</x:v>
      </x:c>
      <x:c r="L15" s="324" t="n">
        <x:v>15.27</x:v>
      </x:c>
      <x:c r="M15" s="324" t="n">
        <x:v>15.31</x:v>
      </x:c>
      <x:c r="N15" s="324" t="n">
        <x:v>15.27</x:v>
      </x:c>
      <x:c r="O15" s="324" t="n">
        <x:v>15.31</x:v>
      </x:c>
      <x:c r="P15" s="324" t="n">
        <x:v>15.29</x:v>
      </x:c>
      <x:c r="Q15" s="324" t="n">
        <x:v>15.31</x:v>
      </x:c>
      <x:c r="R15" s="324" t="n">
        <x:v>15.29</x:v>
      </x:c>
      <x:c r="S15" s="324" t="n">
        <x:v>15.31</x:v>
      </x:c>
      <x:c r="T15" s="324" t="n">
        <x:v>15.34</x:v>
      </x:c>
      <x:c r="U15" s="324" t="n">
        <x:v>15.24</x:v>
      </x:c>
      <x:c r="V15" s="324" t="n">
        <x:v>260.11</x:v>
      </x:c>
      <x:c r="W15" s="324" t="n">
        <x:v>15.300588</x:v>
      </x:c>
      <x:c r="X15" s="324" t="n">
        <x:v>15.24</x:v>
      </x:c>
      <x:c r="Y15" s="324" t="n">
        <x:v>15.34</x:v>
      </x:c>
      <x:c r="Z15" s="324" t="n">
        <x:v>0.1</x:v>
      </x:c>
      <x:c r="AA15" s="292" t="str">
        <x:v>PROBABLE</x:v>
      </x:c>
      <x:c r="AB15" s="293" t="str">
        <x:v>61CE5980FA85F985FE85FB85FE85F785FB85FB85F785FB85F785FB85F985FB85F985FB85FE85F4</x:v>
      </x:c>
    </x:row>
    <x:row r="16" ht="15" hidden="0" customHeight="1">
      <x:c r="A16" s="318" t="n">
        <x:v>225873532</x:v>
      </x:c>
      <x:c r="B16" s="301" t="n">
        <x:v>225878626</x:v>
      </x:c>
      <x:c r="C16" s="321" t="n">
        <x:v>206.140705</x:v>
      </x:c>
      <x:c r="D16" s="292" t="str">
        <x:v>598113</x:v>
      </x:c>
      <x:c r="E16" s="324" t="n">
        <x:v>15.29</x:v>
      </x:c>
      <x:c r="F16" s="324" t="n">
        <x:v>15.34</x:v>
      </x:c>
      <x:c r="G16" s="324" t="n">
        <x:v>15.29</x:v>
      </x:c>
      <x:c r="H16" s="324" t="n">
        <x:v>15.34</x:v>
      </x:c>
      <x:c r="I16" s="324" t="n">
        <x:v>15.34</x:v>
      </x:c>
      <x:c r="J16" s="324" t="n">
        <x:v>15.27</x:v>
      </x:c>
      <x:c r="K16" s="324" t="n">
        <x:v>15.27</x:v>
      </x:c>
      <x:c r="L16" s="324" t="n">
        <x:v>15.31</x:v>
      </x:c>
      <x:c r="M16" s="324" t="n">
        <x:v>15.31</x:v>
      </x:c>
      <x:c r="N16" s="324" t="n">
        <x:v>15.27</x:v>
      </x:c>
      <x:c r="O16" s="324" t="n">
        <x:v>15.29</x:v>
      </x:c>
      <x:c r="P16" s="324" t="n">
        <x:v>15.29</x:v>
      </x:c>
      <x:c r="Q16" s="324" t="n">
        <x:v>15.27</x:v>
      </x:c>
      <x:c r="R16" s="324" t="n">
        <x:v>15.31</x:v>
      </x:c>
      <x:c r="S16" s="324" t="n">
        <x:v>15.31</x:v>
      </x:c>
      <x:c r="T16" s="324" t="n">
        <x:v>15.29</x:v>
      </x:c>
      <x:c r="U16" s="324" t="n">
        <x:v>15.22</x:v>
      </x:c>
      <x:c r="V16" s="324" t="n">
        <x:v>260.01</x:v>
      </x:c>
      <x:c r="W16" s="324" t="n">
        <x:v>15.294706</x:v>
      </x:c>
      <x:c r="X16" s="324" t="n">
        <x:v>15.22</x:v>
      </x:c>
      <x:c r="Y16" s="324" t="n">
        <x:v>15.34</x:v>
      </x:c>
      <x:c r="Z16" s="324" t="n">
        <x:v>0.12</x:v>
      </x:c>
      <x:c r="AA16" s="292" t="str">
        <x:v>PROBABLE</x:v>
      </x:c>
      <x:c r="AB16" s="293" t="str">
        <x:v>61CE59811385F985FE85F985FE85FE85F785F785FB85FB85F785F985F985F785FB85FB85F985F2</x:v>
      </x:c>
    </x:row>
    <x:row r="17" ht="15" hidden="0" customHeight="1">
      <x:c r="A17" s="318" t="n">
        <x:v>226482848</x:v>
      </x:c>
      <x:c r="B17" s="301" t="n">
        <x:v>226484738</x:v>
      </x:c>
      <x:c r="C17" s="321" t="n">
        <x:v>206.750015</x:v>
      </x:c>
      <x:c r="D17" s="292" t="str">
        <x:v>598107</x:v>
      </x:c>
      <x:c r="E17" s="324" t="n">
        <x:v>15.34</x:v>
      </x:c>
      <x:c r="F17" s="324" t="n">
        <x:v>15.24</x:v>
      </x:c>
      <x:c r="G17" s="324" t="n">
        <x:v>15.31</x:v>
      </x:c>
      <x:c r="H17" s="324" t="n">
        <x:v>15.29</x:v>
      </x:c>
      <x:c r="I17" s="324" t="n">
        <x:v>15.34</x:v>
      </x:c>
      <x:c r="J17" s="324" t="n">
        <x:v>15.27</x:v>
      </x:c>
      <x:c r="K17" s="324" t="n">
        <x:v>15.27</x:v>
      </x:c>
      <x:c r="L17" s="324" t="n">
        <x:v>15.29</x:v>
      </x:c>
      <x:c r="M17" s="324" t="n">
        <x:v>15.31</x:v>
      </x:c>
      <x:c r="N17" s="324" t="n">
        <x:v>15.27</x:v>
      </x:c>
      <x:c r="O17" s="324" t="n">
        <x:v>15.29</x:v>
      </x:c>
      <x:c r="P17" s="324" t="n">
        <x:v>15.27</x:v>
      </x:c>
      <x:c r="Q17" s="324" t="n">
        <x:v>15.31</x:v>
      </x:c>
      <x:c r="R17" s="324" t="n">
        <x:v>15.27</x:v>
      </x:c>
      <x:c r="S17" s="324" t="n">
        <x:v>15.31</x:v>
      </x:c>
      <x:c r="T17" s="324" t="n">
        <x:v>15.34</x:v>
      </x:c>
      <x:c r="U17" s="324" t="n">
        <x:v>15.27</x:v>
      </x:c>
      <x:c r="V17" s="324" t="n">
        <x:v>259.99</x:v>
      </x:c>
      <x:c r="W17" s="324" t="n">
        <x:v>15.293529</x:v>
      </x:c>
      <x:c r="X17" s="324" t="n">
        <x:v>15.24</x:v>
      </x:c>
      <x:c r="Y17" s="324" t="n">
        <x:v>15.34</x:v>
      </x:c>
      <x:c r="Z17" s="324" t="n">
        <x:v>0.1</x:v>
      </x:c>
      <x:c r="AA17" s="292" t="str">
        <x:v>PROBABLE</x:v>
      </x:c>
      <x:c r="AB17" s="293" t="str">
        <x:v>61CE59810785FE85F485FB85F985FE85F785F785F985FB85F785F985F785FB85F785FB85FE85F7</x:v>
      </x:c>
    </x:row>
    <x:row r="18" ht="15" hidden="0" customHeight="1">
      <x:c r="A18" s="318" t="n">
        <x:v>227604026</x:v>
      </x:c>
      <x:c r="B18" s="301" t="n">
        <x:v>227607099</x:v>
      </x:c>
      <x:c r="C18" s="321" t="n">
        <x:v>207.871182</x:v>
      </x:c>
      <x:c r="D18" s="292" t="str">
        <x:v>59810D</x:v>
      </x:c>
      <x:c r="E18" s="324" t="n">
        <x:v>15.22</x:v>
      </x:c>
      <x:c r="F18" s="324" t="n">
        <x:v>15.34</x:v>
      </x:c>
      <x:c r="G18" s="324" t="n">
        <x:v>15.31</x:v>
      </x:c>
      <x:c r="H18" s="324" t="n">
        <x:v>15.29</x:v>
      </x:c>
      <x:c r="I18" s="324" t="n">
        <x:v>15.31</x:v>
      </x:c>
      <x:c r="J18" s="324" t="n">
        <x:v>15.27</x:v>
      </x:c>
      <x:c r="K18" s="324" t="n">
        <x:v>15.27</x:v>
      </x:c>
      <x:c r="L18" s="324" t="n">
        <x:v>15.29</x:v>
      </x:c>
      <x:c r="M18" s="324" t="n">
        <x:v>15.29</x:v>
      </x:c>
      <x:c r="N18" s="324" t="n">
        <x:v>15.27</x:v>
      </x:c>
      <x:c r="O18" s="324" t="n">
        <x:v>15.29</x:v>
      </x:c>
      <x:c r="P18" s="324" t="n">
        <x:v>15.27</x:v>
      </x:c>
      <x:c r="Q18" s="324" t="n">
        <x:v>15.31</x:v>
      </x:c>
      <x:c r="R18" s="324" t="n">
        <x:v>15.29</x:v>
      </x:c>
      <x:c r="S18" s="324" t="n">
        <x:v>15.31</x:v>
      </x:c>
      <x:c r="T18" s="324" t="n">
        <x:v>15.34</x:v>
      </x:c>
      <x:c r="U18" s="324" t="n">
        <x:v>15.24</x:v>
      </x:c>
      <x:c r="V18" s="324" t="n">
        <x:v>259.91</x:v>
      </x:c>
      <x:c r="W18" s="324" t="n">
        <x:v>15.288824</x:v>
      </x:c>
      <x:c r="X18" s="324" t="n">
        <x:v>15.22</x:v>
      </x:c>
      <x:c r="Y18" s="324" t="n">
        <x:v>15.34</x:v>
      </x:c>
      <x:c r="Z18" s="324" t="n">
        <x:v>0.12</x:v>
      </x:c>
      <x:c r="AA18" s="292" t="str">
        <x:v>PROBABLE</x:v>
      </x:c>
      <x:c r="AB18" s="293" t="str">
        <x:v>61CE59810D85F285FE85FB85F985FB85F785F785F985F985F785F985F785FB85F985FB85FE85F4</x:v>
      </x:c>
    </x:row>
    <x:row r="19" ht="15" hidden="0" customHeight="1">
      <x:c r="A19" s="318" t="n">
        <x:v>228212772</x:v>
      </x:c>
      <x:c r="B19" s="301" t="n">
        <x:v>228217049</x:v>
      </x:c>
      <x:c r="C19" s="321" t="n">
        <x:v>208.479923</x:v>
      </x:c>
      <x:c r="D19" s="292" t="str">
        <x:v>598105</x:v>
      </x:c>
      <x:c r="E19" s="324" t="n">
        <x:v>15.22</x:v>
      </x:c>
      <x:c r="F19" s="324" t="n">
        <x:v>15.34</x:v>
      </x:c>
      <x:c r="G19" s="324" t="n">
        <x:v>15.29</x:v>
      </x:c>
      <x:c r="H19" s="324" t="n">
        <x:v>15.29</x:v>
      </x:c>
      <x:c r="I19" s="324" t="n">
        <x:v>15.31</x:v>
      </x:c>
      <x:c r="J19" s="324" t="n">
        <x:v>15.27</x:v>
      </x:c>
      <x:c r="K19" s="324" t="n">
        <x:v>15.27</x:v>
      </x:c>
      <x:c r="L19" s="324" t="n">
        <x:v>15.29</x:v>
      </x:c>
      <x:c r="M19" s="324" t="n">
        <x:v>15.29</x:v>
      </x:c>
      <x:c r="N19" s="324" t="n">
        <x:v>15.27</x:v>
      </x:c>
      <x:c r="O19" s="324" t="n">
        <x:v>15.27</x:v>
      </x:c>
      <x:c r="P19" s="324" t="n">
        <x:v>15.27</x:v>
      </x:c>
      <x:c r="Q19" s="324" t="n">
        <x:v>15.31</x:v>
      </x:c>
      <x:c r="R19" s="324" t="n">
        <x:v>15.27</x:v>
      </x:c>
      <x:c r="S19" s="324" t="n">
        <x:v>15.29</x:v>
      </x:c>
      <x:c r="T19" s="324" t="n">
        <x:v>15.34</x:v>
      </x:c>
      <x:c r="U19" s="324" t="n">
        <x:v>15.24</x:v>
      </x:c>
      <x:c r="V19" s="324" t="n">
        <x:v>259.83</x:v>
      </x:c>
      <x:c r="W19" s="324" t="n">
        <x:v>15.284118</x:v>
      </x:c>
      <x:c r="X19" s="324" t="n">
        <x:v>15.22</x:v>
      </x:c>
      <x:c r="Y19" s="324" t="n">
        <x:v>15.34</x:v>
      </x:c>
      <x:c r="Z19" s="324" t="n">
        <x:v>0.12</x:v>
      </x:c>
      <x:c r="AA19" s="292" t="str">
        <x:v>PROBABLE</x:v>
      </x:c>
      <x:c r="AB19" s="293" t="str">
        <x:v>61CE59810585F285FE85F985F985FB85F785F785F985F985F785F785F785FB85F785F985FE85F4</x:v>
      </x:c>
    </x:row>
    <x:row r="20" ht="15" hidden="0" customHeight="1">
      <x:c r="A20" s="318" t="n">
        <x:v>228849193</x:v>
      </x:c>
      <x:c r="B20" s="301" t="n">
        <x:v>228851826</x:v>
      </x:c>
      <x:c r="C20" s="321" t="n">
        <x:v>209.116338</x:v>
      </x:c>
      <x:c r="D20" s="292" t="str">
        <x:v>598113</x:v>
      </x:c>
      <x:c r="E20" s="324" t="n">
        <x:v>15.29</x:v>
      </x:c>
      <x:c r="F20" s="324" t="n">
        <x:v>15.31</x:v>
      </x:c>
      <x:c r="G20" s="324" t="n">
        <x:v>15.29</x:v>
      </x:c>
      <x:c r="H20" s="324" t="n">
        <x:v>15.34</x:v>
      </x:c>
      <x:c r="I20" s="324" t="n">
        <x:v>15.27</x:v>
      </x:c>
      <x:c r="J20" s="324" t="n">
        <x:v>15.29</x:v>
      </x:c>
      <x:c r="K20" s="324" t="n">
        <x:v>15.29</x:v>
      </x:c>
      <x:c r="L20" s="324" t="n">
        <x:v>15.27</x:v>
      </x:c>
      <x:c r="M20" s="324" t="n">
        <x:v>15.29</x:v>
      </x:c>
      <x:c r="N20" s="324" t="n">
        <x:v>15.27</x:v>
      </x:c>
      <x:c r="O20" s="324" t="n">
        <x:v>15.29</x:v>
      </x:c>
      <x:c r="P20" s="324" t="n">
        <x:v>15.27</x:v>
      </x:c>
      <x:c r="Q20" s="324" t="n">
        <x:v>15.31</x:v>
      </x:c>
      <x:c r="R20" s="324" t="n">
        <x:v>15.27</x:v>
      </x:c>
      <x:c r="S20" s="324" t="n">
        <x:v>15.29</x:v>
      </x:c>
      <x:c r="T20" s="324" t="n">
        <x:v>15.34</x:v>
      </x:c>
      <x:c r="U20" s="324" t="n">
        <x:v>15.24</x:v>
      </x:c>
      <x:c r="V20" s="324" t="n">
        <x:v>259.92</x:v>
      </x:c>
      <x:c r="W20" s="324" t="n">
        <x:v>15.289412</x:v>
      </x:c>
      <x:c r="X20" s="324" t="n">
        <x:v>15.24</x:v>
      </x:c>
      <x:c r="Y20" s="324" t="n">
        <x:v>15.34</x:v>
      </x:c>
      <x:c r="Z20" s="324" t="n">
        <x:v>0.1</x:v>
      </x:c>
      <x:c r="AA20" s="292" t="str">
        <x:v>PROBABLE</x:v>
      </x:c>
      <x:c r="AB20" s="293" t="str">
        <x:v>61CE59811385F985FB85F985FE85F785F985F985F785F985F785F985F785FB85F785F985FE85F4</x:v>
      </x:c>
    </x:row>
    <x:row r="21" ht="15" hidden="0" customHeight="1">
      <x:c r="A21" s="318" t="n">
        <x:v>229364052</x:v>
      </x:c>
      <x:c r="B21" s="301" t="n">
        <x:v>229368038</x:v>
      </x:c>
      <x:c r="C21" s="321" t="n">
        <x:v>209.631192</x:v>
      </x:c>
      <x:c r="D21" s="292" t="str">
        <x:v>598100</x:v>
      </x:c>
      <x:c r="E21" s="324" t="n">
        <x:v>15.29</x:v>
      </x:c>
      <x:c r="F21" s="324" t="n">
        <x:v>15.31</x:v>
      </x:c>
      <x:c r="G21" s="324" t="n">
        <x:v>15.27</x:v>
      </x:c>
      <x:c r="H21" s="324" t="n">
        <x:v>15.31</x:v>
      </x:c>
      <x:c r="I21" s="324" t="n">
        <x:v>15.27</x:v>
      </x:c>
      <x:c r="J21" s="324" t="n">
        <x:v>15.27</x:v>
      </x:c>
      <x:c r="K21" s="324" t="n">
        <x:v>15.27</x:v>
      </x:c>
      <x:c r="L21" s="324" t="n">
        <x:v>15.24</x:v>
      </x:c>
      <x:c r="M21" s="324" t="n">
        <x:v>15.29</x:v>
      </x:c>
      <x:c r="N21" s="324" t="n">
        <x:v>15.24</x:v>
      </x:c>
      <x:c r="O21" s="324" t="n">
        <x:v>15.27</x:v>
      </x:c>
      <x:c r="P21" s="324" t="n">
        <x:v>15.27</x:v>
      </x:c>
      <x:c r="Q21" s="324" t="n">
        <x:v>15.31</x:v>
      </x:c>
      <x:c r="R21" s="324" t="n">
        <x:v>15.27</x:v>
      </x:c>
      <x:c r="S21" s="324" t="n">
        <x:v>15.29</x:v>
      </x:c>
      <x:c r="T21" s="324" t="n">
        <x:v>15.31</x:v>
      </x:c>
      <x:c r="U21" s="324" t="n">
        <x:v>15.22</x:v>
      </x:c>
      <x:c r="V21" s="324" t="n">
        <x:v>259.7</x:v>
      </x:c>
      <x:c r="W21" s="324" t="n">
        <x:v>15.276471</x:v>
      </x:c>
      <x:c r="X21" s="324" t="n">
        <x:v>15.22</x:v>
      </x:c>
      <x:c r="Y21" s="324" t="n">
        <x:v>15.31</x:v>
      </x:c>
      <x:c r="Z21" s="324" t="n">
        <x:v>0.09</x:v>
      </x:c>
      <x:c r="AA21" s="292" t="str">
        <x:v>PROBABLE</x:v>
      </x:c>
      <x:c r="AB21" s="293" t="str">
        <x:v>61CE59810085F985FB85F785FB85F785F785F785F485F985F485F785F785FB85F785F985FB85F2</x:v>
      </x:c>
    </x:row>
    <x:row r="22" ht="15" hidden="0" customHeight="1">
      <x:c r="A22" s="318" t="n">
        <x:v>229947783</x:v>
      </x:c>
      <x:c r="B22" s="301" t="n">
        <x:v>229949361</x:v>
      </x:c>
      <x:c r="C22" s="321" t="n">
        <x:v>210.214917</x:v>
      </x:c>
      <x:c r="D22" s="292" t="str">
        <x:v>59810F</x:v>
      </x:c>
      <x:c r="E22" s="324" t="n">
        <x:v>15.27</x:v>
      </x:c>
      <x:c r="F22" s="324" t="n">
        <x:v>15.31</x:v>
      </x:c>
      <x:c r="G22" s="324" t="n">
        <x:v>15.27</x:v>
      </x:c>
      <x:c r="H22" s="324" t="n">
        <x:v>15.31</x:v>
      </x:c>
      <x:c r="I22" s="324" t="n">
        <x:v>15.31</x:v>
      </x:c>
      <x:c r="J22" s="324" t="n">
        <x:v>15.27</x:v>
      </x:c>
      <x:c r="K22" s="324" t="n">
        <x:v>15.27</x:v>
      </x:c>
      <x:c r="L22" s="324" t="n">
        <x:v>15.29</x:v>
      </x:c>
      <x:c r="M22" s="324" t="n">
        <x:v>15.22</x:v>
      </x:c>
      <x:c r="N22" s="324" t="n">
        <x:v>15.27</x:v>
      </x:c>
      <x:c r="O22" s="324" t="n">
        <x:v>15.29</x:v>
      </x:c>
      <x:c r="P22" s="324" t="n">
        <x:v>15.22</x:v>
      </x:c>
      <x:c r="Q22" s="324" t="n">
        <x:v>15.31</x:v>
      </x:c>
      <x:c r="R22" s="324" t="n">
        <x:v>15.27</x:v>
      </x:c>
      <x:c r="S22" s="324" t="n">
        <x:v>15.29</x:v>
      </x:c>
      <x:c r="T22" s="324" t="n">
        <x:v>15.31</x:v>
      </x:c>
      <x:c r="U22" s="324" t="n">
        <x:v>15.22</x:v>
      </x:c>
      <x:c r="V22" s="324" t="n">
        <x:v>259.7</x:v>
      </x:c>
      <x:c r="W22" s="324" t="n">
        <x:v>15.276471</x:v>
      </x:c>
      <x:c r="X22" s="324" t="n">
        <x:v>15.22</x:v>
      </x:c>
      <x:c r="Y22" s="324" t="n">
        <x:v>15.31</x:v>
      </x:c>
      <x:c r="Z22" s="324" t="n">
        <x:v>0.09</x:v>
      </x:c>
      <x:c r="AA22" s="292" t="str">
        <x:v>PROBABLE</x:v>
      </x:c>
      <x:c r="AB22" s="293" t="str">
        <x:v>61CE59810F85F785FB85F785FB85FB85F785F785F985F285F785F985F285FB85F785F985FB85F2</x:v>
      </x:c>
    </x:row>
    <x:row r="23" ht="15" hidden="0" customHeight="1">
      <x:c r="A23" s="318" t="n">
        <x:v>230461549</x:v>
      </x:c>
      <x:c r="B23" s="301" t="n">
        <x:v>230465381</x:v>
      </x:c>
      <x:c r="C23" s="321" t="n">
        <x:v>210.728678</x:v>
      </x:c>
      <x:c r="D23" s="292" t="str">
        <x:v>598113</x:v>
      </x:c>
      <x:c r="E23" s="324" t="n">
        <x:v>15.27</x:v>
      </x:c>
      <x:c r="F23" s="324" t="n">
        <x:v>15.31</x:v>
      </x:c>
      <x:c r="G23" s="324" t="n">
        <x:v>15.27</x:v>
      </x:c>
      <x:c r="H23" s="324" t="n">
        <x:v>15.31</x:v>
      </x:c>
      <x:c r="I23" s="324" t="n">
        <x:v>15.27</x:v>
      </x:c>
      <x:c r="J23" s="324" t="n">
        <x:v>15.27</x:v>
      </x:c>
      <x:c r="K23" s="324" t="n">
        <x:v>15.29</x:v>
      </x:c>
      <x:c r="L23" s="324" t="n">
        <x:v>15.24</x:v>
      </x:c>
      <x:c r="M23" s="324" t="n">
        <x:v>15.27</x:v>
      </x:c>
      <x:c r="N23" s="324" t="n">
        <x:v>15.24</x:v>
      </x:c>
      <x:c r="O23" s="324" t="n">
        <x:v>15.27</x:v>
      </x:c>
      <x:c r="P23" s="324" t="n">
        <x:v>15.27</x:v>
      </x:c>
      <x:c r="Q23" s="324" t="n">
        <x:v>15.31</x:v>
      </x:c>
      <x:c r="R23" s="324" t="n">
        <x:v>15.27</x:v>
      </x:c>
      <x:c r="S23" s="324" t="n">
        <x:v>15.29</x:v>
      </x:c>
      <x:c r="T23" s="324" t="n">
        <x:v>15.31</x:v>
      </x:c>
      <x:c r="U23" s="324" t="n">
        <x:v>15.22</x:v>
      </x:c>
      <x:c r="V23" s="324" t="n">
        <x:v>259.68</x:v>
      </x:c>
      <x:c r="W23" s="324" t="n">
        <x:v>15.275294</x:v>
      </x:c>
      <x:c r="X23" s="324" t="n">
        <x:v>15.22</x:v>
      </x:c>
      <x:c r="Y23" s="324" t="n">
        <x:v>15.31</x:v>
      </x:c>
      <x:c r="Z23" s="324" t="n">
        <x:v>0.09</x:v>
      </x:c>
      <x:c r="AA23" s="292" t="str">
        <x:v>PROBABLE</x:v>
      </x:c>
      <x:c r="AB23" s="293" t="str">
        <x:v>61CE59811385F785FB85F785FB85F785F785F985F485F785F485F785F785FB85F785F985FB85F2</x:v>
      </x:c>
    </x:row>
    <x:row r="24" ht="15" hidden="0" customHeight="1">
      <x:c r="A24" s="318" t="n">
        <x:v>231051913</x:v>
      </x:c>
      <x:c r="B24" s="301" t="n">
        <x:v>231055105</x:v>
      </x:c>
      <x:c r="C24" s="321" t="n">
        <x:v>211.319037</x:v>
      </x:c>
      <x:c r="D24" s="292" t="str">
        <x:v>598113</x:v>
      </x:c>
      <x:c r="E24" s="324" t="n">
        <x:v>15.27</x:v>
      </x:c>
      <x:c r="F24" s="324" t="n">
        <x:v>15.31</x:v>
      </x:c>
      <x:c r="G24" s="324" t="n">
        <x:v>15.27</x:v>
      </x:c>
      <x:c r="H24" s="324" t="n">
        <x:v>15.31</x:v>
      </x:c>
      <x:c r="I24" s="324" t="n">
        <x:v>15.31</x:v>
      </x:c>
      <x:c r="J24" s="324" t="n">
        <x:v>15.29</x:v>
      </x:c>
      <x:c r="K24" s="324" t="n">
        <x:v>15.27</x:v>
      </x:c>
      <x:c r="L24" s="324" t="n">
        <x:v>15.29</x:v>
      </x:c>
      <x:c r="M24" s="324" t="n">
        <x:v>15.22</x:v>
      </x:c>
      <x:c r="N24" s="324" t="n">
        <x:v>15.29</x:v>
      </x:c>
      <x:c r="O24" s="324" t="n">
        <x:v>15.29</x:v>
      </x:c>
      <x:c r="P24" s="324" t="n">
        <x:v>15.22</x:v>
      </x:c>
      <x:c r="Q24" s="324" t="n">
        <x:v>15.31</x:v>
      </x:c>
      <x:c r="R24" s="324" t="n">
        <x:v>15.29</x:v>
      </x:c>
      <x:c r="S24" s="324" t="n">
        <x:v>15.27</x:v>
      </x:c>
      <x:c r="T24" s="324" t="n">
        <x:v>15.31</x:v>
      </x:c>
      <x:c r="U24" s="324" t="n">
        <x:v>15.22</x:v>
      </x:c>
      <x:c r="V24" s="324" t="n">
        <x:v>259.74</x:v>
      </x:c>
      <x:c r="W24" s="324" t="n">
        <x:v>15.278824</x:v>
      </x:c>
      <x:c r="X24" s="324" t="n">
        <x:v>15.22</x:v>
      </x:c>
      <x:c r="Y24" s="324" t="n">
        <x:v>15.31</x:v>
      </x:c>
      <x:c r="Z24" s="324" t="n">
        <x:v>0.09</x:v>
      </x:c>
      <x:c r="AA24" s="292" t="str">
        <x:v>PROBABLE</x:v>
      </x:c>
      <x:c r="AB24" s="293" t="str">
        <x:v>61CE59811385F785FB85F785FB85FB85F985F785F985F285F985F985F285FB85F985F785FB85F2</x:v>
      </x:c>
    </x:row>
    <x:row r="25" ht="15" hidden="0" customHeight="1">
      <x:c r="A25" s="318" t="n">
        <x:v>231633087</x:v>
      </x:c>
      <x:c r="B25" s="301" t="n">
        <x:v>231636627</x:v>
      </x:c>
      <x:c r="C25" s="321" t="n">
        <x:v>211.900205</x:v>
      </x:c>
      <x:c r="D25" s="292" t="str">
        <x:v>598113</x:v>
      </x:c>
      <x:c r="E25" s="324" t="n">
        <x:v>15.27</x:v>
      </x:c>
      <x:c r="F25" s="324" t="n">
        <x:v>15.29</x:v>
      </x:c>
      <x:c r="G25" s="324" t="n">
        <x:v>15.27</x:v>
      </x:c>
      <x:c r="H25" s="324" t="n">
        <x:v>15.31</x:v>
      </x:c>
      <x:c r="I25" s="324" t="n">
        <x:v>15.31</x:v>
      </x:c>
      <x:c r="J25" s="324" t="n">
        <x:v>15.27</x:v>
      </x:c>
      <x:c r="K25" s="324" t="n">
        <x:v>15.27</x:v>
      </x:c>
      <x:c r="L25" s="324" t="n">
        <x:v>15.29</x:v>
      </x:c>
      <x:c r="M25" s="324" t="n">
        <x:v>15.22</x:v>
      </x:c>
      <x:c r="N25" s="324" t="n">
        <x:v>15.27</x:v>
      </x:c>
      <x:c r="O25" s="324" t="n">
        <x:v>15.27</x:v>
      </x:c>
      <x:c r="P25" s="324" t="n">
        <x:v>15.22</x:v>
      </x:c>
      <x:c r="Q25" s="324" t="n">
        <x:v>15.31</x:v>
      </x:c>
      <x:c r="R25" s="324" t="n">
        <x:v>15.27</x:v>
      </x:c>
      <x:c r="S25" s="324" t="n">
        <x:v>15.27</x:v>
      </x:c>
      <x:c r="T25" s="324" t="n">
        <x:v>15.31</x:v>
      </x:c>
      <x:c r="U25" s="324" t="n">
        <x:v>15.19</x:v>
      </x:c>
      <x:c r="V25" s="324" t="n">
        <x:v>259.61</x:v>
      </x:c>
      <x:c r="W25" s="324" t="n">
        <x:v>15.271176</x:v>
      </x:c>
      <x:c r="X25" s="324" t="n">
        <x:v>15.19</x:v>
      </x:c>
      <x:c r="Y25" s="324" t="n">
        <x:v>15.31</x:v>
      </x:c>
      <x:c r="Z25" s="324" t="n">
        <x:v>0.12</x:v>
      </x:c>
      <x:c r="AA25" s="292" t="str">
        <x:v>PROBABLE</x:v>
      </x:c>
      <x:c r="AB25" s="293" t="str">
        <x:v>61CE59811385F785F985F785FB85FB85F785F785F985F285F785F785F285FB85F785F785FB85EF</x:v>
      </x:c>
    </x:row>
    <x:row r="26" ht="15" hidden="0" customHeight="1">
      <x:c r="A26" s="318" t="n">
        <x:v>232219491</x:v>
      </x:c>
      <x:c r="B26" s="301" t="n">
        <x:v>232223154</x:v>
      </x:c>
      <x:c r="C26" s="321" t="n">
        <x:v>212.486604</x:v>
      </x:c>
      <x:c r="D26" s="292" t="str">
        <x:v>598113</x:v>
      </x:c>
      <x:c r="E26" s="324" t="n">
        <x:v>15.27</x:v>
      </x:c>
      <x:c r="F26" s="324" t="n">
        <x:v>15.29</x:v>
      </x:c>
      <x:c r="G26" s="324" t="n">
        <x:v>15.27</x:v>
      </x:c>
      <x:c r="H26" s="324" t="n">
        <x:v>15.31</x:v>
      </x:c>
      <x:c r="I26" s="324" t="n">
        <x:v>15.31</x:v>
      </x:c>
      <x:c r="J26" s="324" t="n">
        <x:v>15.27</x:v>
      </x:c>
      <x:c r="K26" s="324" t="n">
        <x:v>15.27</x:v>
      </x:c>
      <x:c r="L26" s="324" t="n">
        <x:v>15.29</x:v>
      </x:c>
      <x:c r="M26" s="324" t="n">
        <x:v>15.27</x:v>
      </x:c>
      <x:c r="N26" s="324" t="n">
        <x:v>15.22</x:v>
      </x:c>
      <x:c r="O26" s="324" t="n">
        <x:v>15.27</x:v>
      </x:c>
      <x:c r="P26" s="324" t="n">
        <x:v>15.27</x:v>
      </x:c>
      <x:c r="Q26" s="324" t="n">
        <x:v>15.24</x:v>
      </x:c>
      <x:c r="R26" s="324" t="n">
        <x:v>15.29</x:v>
      </x:c>
      <x:c r="S26" s="324" t="n">
        <x:v>15.31</x:v>
      </x:c>
      <x:c r="T26" s="324" t="n">
        <x:v>15.27</x:v>
      </x:c>
      <x:c r="U26" s="324" t="n">
        <x:v>15.19</x:v>
      </x:c>
      <x:c r="V26" s="324" t="n">
        <x:v>259.61</x:v>
      </x:c>
      <x:c r="W26" s="324" t="n">
        <x:v>15.271176</x:v>
      </x:c>
      <x:c r="X26" s="324" t="n">
        <x:v>15.19</x:v>
      </x:c>
      <x:c r="Y26" s="324" t="n">
        <x:v>15.31</x:v>
      </x:c>
      <x:c r="Z26" s="324" t="n">
        <x:v>0.12</x:v>
      </x:c>
      <x:c r="AA26" s="292" t="str">
        <x:v>PROBABLE</x:v>
      </x:c>
      <x:c r="AB26" s="293" t="str">
        <x:v>61CE59811385F785F985F785FB85FB85F785F785F985F785F285F785F785F485F985FB85F785EF</x:v>
      </x:c>
    </x:row>
    <x:row r="27" ht="15" hidden="0" customHeight="1">
      <x:c r="A27" s="318" t="n">
        <x:v>233038992</x:v>
      </x:c>
      <x:c r="B27" s="301" t="n">
        <x:v>233042927</x:v>
      </x:c>
      <x:c r="C27" s="321" t="n">
        <x:v>213.306097</x:v>
      </x:c>
      <x:c r="D27" s="292" t="str">
        <x:v>598113</x:v>
      </x:c>
      <x:c r="E27" s="324" t="n">
        <x:v>15.27</x:v>
      </x:c>
      <x:c r="F27" s="324" t="n">
        <x:v>15.29</x:v>
      </x:c>
      <x:c r="G27" s="324" t="n">
        <x:v>15.27</x:v>
      </x:c>
      <x:c r="H27" s="324" t="n">
        <x:v>15.31</x:v>
      </x:c>
      <x:c r="I27" s="324" t="n">
        <x:v>15.27</x:v>
      </x:c>
      <x:c r="J27" s="324" t="n">
        <x:v>15.27</x:v>
      </x:c>
      <x:c r="K27" s="324" t="n">
        <x:v>15.27</x:v>
      </x:c>
      <x:c r="L27" s="324" t="n">
        <x:v>15.24</x:v>
      </x:c>
      <x:c r="M27" s="324" t="n">
        <x:v>15.27</x:v>
      </x:c>
      <x:c r="N27" s="324" t="n">
        <x:v>15.22</x:v>
      </x:c>
      <x:c r="O27" s="324" t="n">
        <x:v>15.27</x:v>
      </x:c>
      <x:c r="P27" s="324" t="n">
        <x:v>15.27</x:v>
      </x:c>
      <x:c r="Q27" s="324" t="n">
        <x:v>15.29</x:v>
      </x:c>
      <x:c r="R27" s="324" t="n">
        <x:v>15.27</x:v>
      </x:c>
      <x:c r="S27" s="324" t="n">
        <x:v>15.27</x:v>
      </x:c>
      <x:c r="T27" s="324" t="n">
        <x:v>15.31</x:v>
      </x:c>
      <x:c r="U27" s="324" t="n">
        <x:v>15.19</x:v>
      </x:c>
      <x:c r="V27" s="324" t="n">
        <x:v>259.55</x:v>
      </x:c>
      <x:c r="W27" s="324" t="n">
        <x:v>15.267647</x:v>
      </x:c>
      <x:c r="X27" s="324" t="n">
        <x:v>15.19</x:v>
      </x:c>
      <x:c r="Y27" s="324" t="n">
        <x:v>15.31</x:v>
      </x:c>
      <x:c r="Z27" s="324" t="n">
        <x:v>0.12</x:v>
      </x:c>
      <x:c r="AA27" s="292" t="str">
        <x:v>PROBABLE</x:v>
      </x:c>
      <x:c r="AB27" s="293" t="str">
        <x:v>61CE59811385F785F985F785FB85F785F785F785F485F785F285F785F785F985F785F785FB85EF</x:v>
      </x:c>
    </x:row>
    <x:row r="28" ht="15" hidden="0" customHeight="1">
      <x:c r="A28" s="318" t="n">
        <x:v>233645122</x:v>
      </x:c>
      <x:c r="B28" s="301" t="n">
        <x:v>233648419</x:v>
      </x:c>
      <x:c r="C28" s="321" t="n">
        <x:v>213.912221</x:v>
      </x:c>
      <x:c r="D28" s="292" t="str">
        <x:v>59810D</x:v>
      </x:c>
      <x:c r="E28" s="324" t="n">
        <x:v>15.22</x:v>
      </x:c>
      <x:c r="F28" s="324" t="n">
        <x:v>15.29</x:v>
      </x:c>
      <x:c r="G28" s="324" t="n">
        <x:v>15.27</x:v>
      </x:c>
      <x:c r="H28" s="324" t="n">
        <x:v>15.31</x:v>
      </x:c>
      <x:c r="I28" s="324" t="n">
        <x:v>15.27</x:v>
      </x:c>
      <x:c r="J28" s="324" t="n">
        <x:v>15.27</x:v>
      </x:c>
      <x:c r="K28" s="324" t="n">
        <x:v>15.27</x:v>
      </x:c>
      <x:c r="L28" s="324" t="n">
        <x:v>15.24</x:v>
      </x:c>
      <x:c r="M28" s="324" t="n">
        <x:v>15.27</x:v>
      </x:c>
      <x:c r="N28" s="324" t="n">
        <x:v>15.22</x:v>
      </x:c>
      <x:c r="O28" s="324" t="n">
        <x:v>15.27</x:v>
      </x:c>
      <x:c r="P28" s="324" t="n">
        <x:v>15.27</x:v>
      </x:c>
      <x:c r="Q28" s="324" t="n">
        <x:v>15.29</x:v>
      </x:c>
      <x:c r="R28" s="324" t="n">
        <x:v>15.27</x:v>
      </x:c>
      <x:c r="S28" s="324" t="n">
        <x:v>15.27</x:v>
      </x:c>
      <x:c r="T28" s="324" t="n">
        <x:v>15.31</x:v>
      </x:c>
      <x:c r="U28" s="324" t="n">
        <x:v>15.19</x:v>
      </x:c>
      <x:c r="V28" s="324" t="n">
        <x:v>259.5</x:v>
      </x:c>
      <x:c r="W28" s="324" t="n">
        <x:v>15.264706</x:v>
      </x:c>
      <x:c r="X28" s="324" t="n">
        <x:v>15.19</x:v>
      </x:c>
      <x:c r="Y28" s="324" t="n">
        <x:v>15.31</x:v>
      </x:c>
      <x:c r="Z28" s="324" t="n">
        <x:v>0.12</x:v>
      </x:c>
      <x:c r="AA28" s="292" t="str">
        <x:v>PROBABLE</x:v>
      </x:c>
      <x:c r="AB28" s="293" t="str">
        <x:v>61CE59810D85F285F985F785FB85F785F785F785F485F785F285F785F785F985F785F785FB85EF</x:v>
      </x:c>
    </x:row>
    <x:row r="29" ht="15" hidden="0" customHeight="1">
      <x:c r="A29" s="318" t="n">
        <x:v>234252815</x:v>
      </x:c>
      <x:c r="B29" s="301" t="n">
        <x:v>234258350</x:v>
      </x:c>
      <x:c r="C29" s="321" t="n">
        <x:v>214.519908</x:v>
      </x:c>
      <x:c r="D29" s="292" t="str">
        <x:v>598113</x:v>
      </x:c>
      <x:c r="E29" s="324" t="n">
        <x:v>15.22</x:v>
      </x:c>
      <x:c r="F29" s="324" t="n">
        <x:v>15.29</x:v>
      </x:c>
      <x:c r="G29" s="324" t="n">
        <x:v>15.27</x:v>
      </x:c>
      <x:c r="H29" s="324" t="n">
        <x:v>15.29</x:v>
      </x:c>
      <x:c r="I29" s="324" t="n">
        <x:v>15.31</x:v>
      </x:c>
      <x:c r="J29" s="324" t="n">
        <x:v>15.24</x:v>
      </x:c>
      <x:c r="K29" s="324" t="n">
        <x:v>15.24</x:v>
      </x:c>
      <x:c r="L29" s="324" t="n">
        <x:v>15.29</x:v>
      </x:c>
      <x:c r="M29" s="324" t="n">
        <x:v>15.22</x:v>
      </x:c>
      <x:c r="N29" s="324" t="n">
        <x:v>15.24</x:v>
      </x:c>
      <x:c r="O29" s="324" t="n">
        <x:v>15.27</x:v>
      </x:c>
      <x:c r="P29" s="324" t="n">
        <x:v>15.19</x:v>
      </x:c>
      <x:c r="Q29" s="324" t="n">
        <x:v>15.29</x:v>
      </x:c>
      <x:c r="R29" s="324" t="n">
        <x:v>15.27</x:v>
      </x:c>
      <x:c r="S29" s="324" t="n">
        <x:v>15.27</x:v>
      </x:c>
      <x:c r="T29" s="324" t="n">
        <x:v>15.31</x:v>
      </x:c>
      <x:c r="U29" s="324" t="n">
        <x:v>15.19</x:v>
      </x:c>
      <x:c r="V29" s="324" t="n">
        <x:v>259.4</x:v>
      </x:c>
      <x:c r="W29" s="324" t="n">
        <x:v>15.258824</x:v>
      </x:c>
      <x:c r="X29" s="324" t="n">
        <x:v>15.19</x:v>
      </x:c>
      <x:c r="Y29" s="324" t="n">
        <x:v>15.31</x:v>
      </x:c>
      <x:c r="Z29" s="324" t="n">
        <x:v>0.12</x:v>
      </x:c>
      <x:c r="AA29" s="292" t="str">
        <x:v>PROBABLE</x:v>
      </x:c>
      <x:c r="AB29" s="293" t="str">
        <x:v>61CE59811385F285F985F785F985FB85F485F485F985F285F485F785EF85F985F785F785FB85EF</x:v>
      </x:c>
    </x:row>
    <x:row r="30" ht="15" hidden="0" customHeight="1">
      <x:c r="A30" s="318" t="n">
        <x:v>234865305</x:v>
      </x:c>
      <x:c r="B30" s="301" t="n">
        <x:v>234867831</x:v>
      </x:c>
      <x:c r="C30" s="321" t="n">
        <x:v>215.132393</x:v>
      </x:c>
      <x:c r="D30" s="292" t="str">
        <x:v>598109</x:v>
      </x:c>
      <x:c r="E30" s="324" t="n">
        <x:v>15.27</x:v>
      </x:c>
      <x:c r="F30" s="324" t="n">
        <x:v>15.29</x:v>
      </x:c>
      <x:c r="G30" s="324" t="n">
        <x:v>15.27</x:v>
      </x:c>
      <x:c r="H30" s="324" t="n">
        <x:v>15.29</x:v>
      </x:c>
      <x:c r="I30" s="324" t="n">
        <x:v>15.31</x:v>
      </x:c>
      <x:c r="J30" s="324" t="n">
        <x:v>15.24</x:v>
      </x:c>
      <x:c r="K30" s="324" t="n">
        <x:v>15.24</x:v>
      </x:c>
      <x:c r="L30" s="324" t="n">
        <x:v>15.27</x:v>
      </x:c>
      <x:c r="M30" s="324" t="n">
        <x:v>15.27</x:v>
      </x:c>
      <x:c r="N30" s="324" t="n">
        <x:v>15.22</x:v>
      </x:c>
      <x:c r="O30" s="324" t="n">
        <x:v>15.27</x:v>
      </x:c>
      <x:c r="P30" s="324" t="n">
        <x:v>15.24</x:v>
      </x:c>
      <x:c r="Q30" s="324" t="n">
        <x:v>15.22</x:v>
      </x:c>
      <x:c r="R30" s="324" t="n">
        <x:v>15.27</x:v>
      </x:c>
      <x:c r="S30" s="324" t="n">
        <x:v>15.29</x:v>
      </x:c>
      <x:c r="T30" s="324" t="n">
        <x:v>15.24</x:v>
      </x:c>
      <x:c r="U30" s="324" t="n">
        <x:v>15.19</x:v>
      </x:c>
      <x:c r="V30" s="324" t="n">
        <x:v>259.39</x:v>
      </x:c>
      <x:c r="W30" s="324" t="n">
        <x:v>15.258235</x:v>
      </x:c>
      <x:c r="X30" s="324" t="n">
        <x:v>15.19</x:v>
      </x:c>
      <x:c r="Y30" s="324" t="n">
        <x:v>15.31</x:v>
      </x:c>
      <x:c r="Z30" s="324" t="n">
        <x:v>0.12</x:v>
      </x:c>
      <x:c r="AA30" s="292" t="str">
        <x:v>PROBABLE</x:v>
      </x:c>
      <x:c r="AB30" s="293" t="str">
        <x:v>61CE59810985F785F985F785F985FB85F485F485F785F785F285F785F485F285F785F985F485EF</x:v>
      </x:c>
    </x:row>
    <x:row r="31" ht="15" hidden="0" customHeight="1">
      <x:c r="A31" s="318" t="n">
        <x:v>235461564</x:v>
      </x:c>
      <x:c r="B31" s="301" t="n">
        <x:v>235465750</x:v>
      </x:c>
      <x:c r="C31" s="321" t="n">
        <x:v>215.728646</x:v>
      </x:c>
      <x:c r="D31" s="292" t="str">
        <x:v>598113</x:v>
      </x:c>
      <x:c r="E31" s="324" t="n">
        <x:v>15.22</x:v>
      </x:c>
      <x:c r="F31" s="324" t="n">
        <x:v>15.29</x:v>
      </x:c>
      <x:c r="G31" s="324" t="n">
        <x:v>15.27</x:v>
      </x:c>
      <x:c r="H31" s="324" t="n">
        <x:v>15.29</x:v>
      </x:c>
      <x:c r="I31" s="324" t="n">
        <x:v>15.29</x:v>
      </x:c>
      <x:c r="J31" s="324" t="n">
        <x:v>15.24</x:v>
      </x:c>
      <x:c r="K31" s="324" t="n">
        <x:v>15.24</x:v>
      </x:c>
      <x:c r="L31" s="324" t="n">
        <x:v>15.27</x:v>
      </x:c>
      <x:c r="M31" s="324" t="n">
        <x:v>15.27</x:v>
      </x:c>
      <x:c r="N31" s="324" t="n">
        <x:v>15.22</x:v>
      </x:c>
      <x:c r="O31" s="324" t="n">
        <x:v>15.27</x:v>
      </x:c>
      <x:c r="P31" s="324" t="n">
        <x:v>15.24</x:v>
      </x:c>
      <x:c r="Q31" s="324" t="n">
        <x:v>15.22</x:v>
      </x:c>
      <x:c r="R31" s="324" t="n">
        <x:v>15.27</x:v>
      </x:c>
      <x:c r="S31" s="324" t="n">
        <x:v>15.29</x:v>
      </x:c>
      <x:c r="T31" s="324" t="n">
        <x:v>15.27</x:v>
      </x:c>
      <x:c r="U31" s="324" t="n">
        <x:v>15.19</x:v>
      </x:c>
      <x:c r="V31" s="324" t="n">
        <x:v>259.35</x:v>
      </x:c>
      <x:c r="W31" s="324" t="n">
        <x:v>15.255882</x:v>
      </x:c>
      <x:c r="X31" s="324" t="n">
        <x:v>15.19</x:v>
      </x:c>
      <x:c r="Y31" s="324" t="n">
        <x:v>15.29</x:v>
      </x:c>
      <x:c r="Z31" s="324" t="n">
        <x:v>0.1</x:v>
      </x:c>
      <x:c r="AA31" s="292" t="str">
        <x:v>PROBABLE</x:v>
      </x:c>
      <x:c r="AB31" s="293" t="str">
        <x:v>61CE59811385F285F985F785F985F985F485F485F785F785F285F785F485F285F785F985F785EF</x:v>
      </x:c>
    </x:row>
    <x:row r="32" ht="15" hidden="0" customHeight="1">
      <x:c r="A32" s="318" t="n">
        <x:v>235972925</x:v>
      </x:c>
      <x:c r="B32" s="301" t="n">
        <x:v>235977659</x:v>
      </x:c>
      <x:c r="C32" s="321" t="n">
        <x:v>216.240002</x:v>
      </x:c>
      <x:c r="D32" s="292" t="str">
        <x:v>598113</x:v>
      </x:c>
      <x:c r="E32" s="324" t="n">
        <x:v>15.22</x:v>
      </x:c>
      <x:c r="F32" s="324" t="n">
        <x:v>15.29</x:v>
      </x:c>
      <x:c r="G32" s="324" t="n">
        <x:v>15.27</x:v>
      </x:c>
      <x:c r="H32" s="324" t="n">
        <x:v>15.29</x:v>
      </x:c>
      <x:c r="I32" s="324" t="n">
        <x:v>15.29</x:v>
      </x:c>
      <x:c r="J32" s="324" t="n">
        <x:v>15.24</x:v>
      </x:c>
      <x:c r="K32" s="324" t="n">
        <x:v>15.24</x:v>
      </x:c>
      <x:c r="L32" s="324" t="n">
        <x:v>15.27</x:v>
      </x:c>
      <x:c r="M32" s="324" t="n">
        <x:v>15.27</x:v>
      </x:c>
      <x:c r="N32" s="324" t="n">
        <x:v>15.22</x:v>
      </x:c>
      <x:c r="O32" s="324" t="n">
        <x:v>15.27</x:v>
      </x:c>
      <x:c r="P32" s="324" t="n">
        <x:v>15.24</x:v>
      </x:c>
      <x:c r="Q32" s="324" t="n">
        <x:v>15.22</x:v>
      </x:c>
      <x:c r="R32" s="324" t="n">
        <x:v>15.27</x:v>
      </x:c>
      <x:c r="S32" s="324" t="n">
        <x:v>15.27</x:v>
      </x:c>
      <x:c r="T32" s="324" t="n">
        <x:v>15.27</x:v>
      </x:c>
      <x:c r="U32" s="324" t="n">
        <x:v>15.19</x:v>
      </x:c>
      <x:c r="V32" s="324" t="n">
        <x:v>259.33</x:v>
      </x:c>
      <x:c r="W32" s="324" t="n">
        <x:v>15.254706</x:v>
      </x:c>
      <x:c r="X32" s="324" t="n">
        <x:v>15.19</x:v>
      </x:c>
      <x:c r="Y32" s="324" t="n">
        <x:v>15.29</x:v>
      </x:c>
      <x:c r="Z32" s="324" t="n">
        <x:v>0.1</x:v>
      </x:c>
      <x:c r="AA32" s="292" t="str">
        <x:v>PROBABLE</x:v>
      </x:c>
      <x:c r="AB32" s="293" t="str">
        <x:v>61CE59811385F285F985F785F985F985F485F485F785F785F285F785F485F285F785F785F785EF</x:v>
      </x:c>
    </x:row>
    <x:row r="33" ht="15" hidden="0" customHeight="1">
      <x:c r="A33" s="318" t="n">
        <x:v>236552813</x:v>
      </x:c>
      <x:c r="B33" s="301" t="n">
        <x:v>236555109</x:v>
      </x:c>
      <x:c r="C33" s="321" t="n">
        <x:v>216.819885</x:v>
      </x:c>
      <x:c r="D33" s="292" t="str">
        <x:v>598113</x:v>
      </x:c>
      <x:c r="E33" s="324" t="n">
        <x:v>15.29</x:v>
      </x:c>
      <x:c r="F33" s="324" t="n">
        <x:v>15.19</x:v>
      </x:c>
      <x:c r="G33" s="324" t="n">
        <x:v>15.27</x:v>
      </x:c>
      <x:c r="H33" s="324" t="n">
        <x:v>15.24</x:v>
      </x:c>
      <x:c r="I33" s="324" t="n">
        <x:v>15.31</x:v>
      </x:c>
      <x:c r="J33" s="324" t="n">
        <x:v>15.22</x:v>
      </x:c>
      <x:c r="K33" s="324" t="n">
        <x:v>15.24</x:v>
      </x:c>
      <x:c r="L33" s="324" t="n">
        <x:v>15.27</x:v>
      </x:c>
      <x:c r="M33" s="324" t="n">
        <x:v>15.27</x:v>
      </x:c>
      <x:c r="N33" s="324" t="n">
        <x:v>15.22</x:v>
      </x:c>
      <x:c r="O33" s="324" t="n">
        <x:v>15.24</x:v>
      </x:c>
      <x:c r="P33" s="324" t="n">
        <x:v>15.24</x:v>
      </x:c>
      <x:c r="Q33" s="324" t="n">
        <x:v>15.27</x:v>
      </x:c>
      <x:c r="R33" s="324" t="n">
        <x:v>15.24</x:v>
      </x:c>
      <x:c r="S33" s="324" t="n">
        <x:v>15.27</x:v>
      </x:c>
      <x:c r="T33" s="324" t="n">
        <x:v>15.31</x:v>
      </x:c>
      <x:c r="U33" s="324" t="n">
        <x:v>15.24</x:v>
      </x:c>
      <x:c r="V33" s="324" t="n">
        <x:v>259.33</x:v>
      </x:c>
      <x:c r="W33" s="324" t="n">
        <x:v>15.254706</x:v>
      </x:c>
      <x:c r="X33" s="324" t="n">
        <x:v>15.19</x:v>
      </x:c>
      <x:c r="Y33" s="324" t="n">
        <x:v>15.31</x:v>
      </x:c>
      <x:c r="Z33" s="324" t="n">
        <x:v>0.12</x:v>
      </x:c>
      <x:c r="AA33" s="292" t="str">
        <x:v>PROBABLE</x:v>
      </x:c>
      <x:c r="AB33" s="293" t="str">
        <x:v>61CE59811385F985EF85F785F485FB85F285F485F785F785F285F485F485F785F485F785FB85F4</x:v>
      </x:c>
    </x:row>
    <x:row r="34" ht="15" hidden="0" customHeight="1">
      <x:c r="A34" s="318" t="n">
        <x:v>237064155</x:v>
      </x:c>
      <x:c r="B34" s="301" t="n">
        <x:v>237067749</x:v>
      </x:c>
      <x:c r="C34" s="321" t="n">
        <x:v>217.331222</x:v>
      </x:c>
      <x:c r="D34" s="292" t="str">
        <x:v>598113</x:v>
      </x:c>
      <x:c r="E34" s="324" t="n">
        <x:v>15.22</x:v>
      </x:c>
      <x:c r="F34" s="324" t="n">
        <x:v>15.29</x:v>
      </x:c>
      <x:c r="G34" s="324" t="n">
        <x:v>15.27</x:v>
      </x:c>
      <x:c r="H34" s="324" t="n">
        <x:v>15.29</x:v>
      </x:c>
      <x:c r="I34" s="324" t="n">
        <x:v>15.29</x:v>
      </x:c>
      <x:c r="J34" s="324" t="n">
        <x:v>15.22</x:v>
      </x:c>
      <x:c r="K34" s="324" t="n">
        <x:v>15.24</x:v>
      </x:c>
      <x:c r="L34" s="324" t="n">
        <x:v>15.27</x:v>
      </x:c>
      <x:c r="M34" s="324" t="n">
        <x:v>15.27</x:v>
      </x:c>
      <x:c r="N34" s="324" t="n">
        <x:v>15.22</x:v>
      </x:c>
      <x:c r="O34" s="324" t="n">
        <x:v>15.27</x:v>
      </x:c>
      <x:c r="P34" s="324" t="n">
        <x:v>15.24</x:v>
      </x:c>
      <x:c r="Q34" s="324" t="n">
        <x:v>15.22</x:v>
      </x:c>
      <x:c r="R34" s="324" t="n">
        <x:v>15.27</x:v>
      </x:c>
      <x:c r="S34" s="324" t="n">
        <x:v>15.27</x:v>
      </x:c>
      <x:c r="T34" s="324" t="n">
        <x:v>15.27</x:v>
      </x:c>
      <x:c r="U34" s="324" t="n">
        <x:v>15.19</x:v>
      </x:c>
      <x:c r="V34" s="324" t="n">
        <x:v>259.31</x:v>
      </x:c>
      <x:c r="W34" s="324" t="n">
        <x:v>15.253529</x:v>
      </x:c>
      <x:c r="X34" s="324" t="n">
        <x:v>15.19</x:v>
      </x:c>
      <x:c r="Y34" s="324" t="n">
        <x:v>15.29</x:v>
      </x:c>
      <x:c r="Z34" s="324" t="n">
        <x:v>0.1</x:v>
      </x:c>
      <x:c r="AA34" s="292" t="str">
        <x:v>PROBABLE</x:v>
      </x:c>
      <x:c r="AB34" s="293" t="str">
        <x:v>61CE59811385F285F985F785F985F985F285F485F785F785F285F785F485F285F785F785F785EF</x:v>
      </x:c>
    </x:row>
    <x:row r="35" ht="15" hidden="0" customHeight="1">
      <x:c r="A35" s="318" t="n">
        <x:v>237679669</x:v>
      </x:c>
      <x:c r="B35" s="301" t="n">
        <x:v>237681971</x:v>
      </x:c>
      <x:c r="C35" s="321" t="n">
        <x:v>217.94673</x:v>
      </x:c>
      <x:c r="D35" s="292" t="str">
        <x:v>59810D</x:v>
      </x:c>
      <x:c r="E35" s="324" t="n">
        <x:v>15.29</x:v>
      </x:c>
      <x:c r="F35" s="324" t="n">
        <x:v>15.19</x:v>
      </x:c>
      <x:c r="G35" s="324" t="n">
        <x:v>15.27</x:v>
      </x:c>
      <x:c r="H35" s="324" t="n">
        <x:v>15.24</x:v>
      </x:c>
      <x:c r="I35" s="324" t="n">
        <x:v>15.29</x:v>
      </x:c>
      <x:c r="J35" s="324" t="n">
        <x:v>15.22</x:v>
      </x:c>
      <x:c r="K35" s="324" t="n">
        <x:v>15.22</x:v>
      </x:c>
      <x:c r="L35" s="324" t="n">
        <x:v>15.24</x:v>
      </x:c>
      <x:c r="M35" s="324" t="n">
        <x:v>15.27</x:v>
      </x:c>
      <x:c r="N35" s="324" t="n">
        <x:v>15.19</x:v>
      </x:c>
      <x:c r="O35" s="324" t="n">
        <x:v>15.24</x:v>
      </x:c>
      <x:c r="P35" s="324" t="n">
        <x:v>15.24</x:v>
      </x:c>
      <x:c r="Q35" s="324" t="n">
        <x:v>15.27</x:v>
      </x:c>
      <x:c r="R35" s="324" t="n">
        <x:v>15.24</x:v>
      </x:c>
      <x:c r="S35" s="324" t="n">
        <x:v>15.27</x:v>
      </x:c>
      <x:c r="T35" s="324" t="n">
        <x:v>15.29</x:v>
      </x:c>
      <x:c r="U35" s="324" t="n">
        <x:v>15.24</x:v>
      </x:c>
      <x:c r="V35" s="324" t="n">
        <x:v>259.21</x:v>
      </x:c>
      <x:c r="W35" s="324" t="n">
        <x:v>15.247647</x:v>
      </x:c>
      <x:c r="X35" s="324" t="n">
        <x:v>15.19</x:v>
      </x:c>
      <x:c r="Y35" s="324" t="n">
        <x:v>15.29</x:v>
      </x:c>
      <x:c r="Z35" s="324" t="n">
        <x:v>0.1</x:v>
      </x:c>
      <x:c r="AA35" s="292" t="str">
        <x:v>PROBABLE</x:v>
      </x:c>
      <x:c r="AB35" s="293" t="str">
        <x:v>61CE59810D85F985EF85F785F485F985F285F285F485F785EF85F485F485F785F485F785F985F4</x:v>
      </x:c>
    </x:row>
    <x:row r="36" ht="15" hidden="0" customHeight="1">
      <x:c r="A36" s="318" t="n">
        <x:v>238249694</x:v>
      </x:c>
      <x:c r="B36" s="301" t="n">
        <x:v>238250568</x:v>
      </x:c>
      <x:c r="C36" s="321" t="n">
        <x:v>218.51675</x:v>
      </x:c>
      <x:c r="D36" s="292" t="str">
        <x:v>598113</x:v>
      </x:c>
      <x:c r="E36" s="324" t="n">
        <x:v>15.29</x:v>
      </x:c>
      <x:c r="F36" s="324" t="n">
        <x:v>15.22</x:v>
      </x:c>
      <x:c r="G36" s="324" t="n">
        <x:v>15.27</x:v>
      </x:c>
      <x:c r="H36" s="324" t="n">
        <x:v>15.24</x:v>
      </x:c>
      <x:c r="I36" s="324" t="n">
        <x:v>15.29</x:v>
      </x:c>
      <x:c r="J36" s="324" t="n">
        <x:v>15.24</x:v>
      </x:c>
      <x:c r="K36" s="324" t="n">
        <x:v>15.22</x:v>
      </x:c>
      <x:c r="L36" s="324" t="n">
        <x:v>15.27</x:v>
      </x:c>
      <x:c r="M36" s="324" t="n">
        <x:v>15.27</x:v>
      </x:c>
      <x:c r="N36" s="324" t="n">
        <x:v>15.22</x:v>
      </x:c>
      <x:c r="O36" s="324" t="n">
        <x:v>15.24</x:v>
      </x:c>
      <x:c r="P36" s="324" t="n">
        <x:v>15.22</x:v>
      </x:c>
      <x:c r="Q36" s="324" t="n">
        <x:v>15.27</x:v>
      </x:c>
      <x:c r="R36" s="324" t="n">
        <x:v>15.24</x:v>
      </x:c>
      <x:c r="S36" s="324" t="n">
        <x:v>15.27</x:v>
      </x:c>
      <x:c r="T36" s="324" t="n">
        <x:v>15.29</x:v>
      </x:c>
      <x:c r="U36" s="324" t="n">
        <x:v>15.24</x:v>
      </x:c>
      <x:c r="V36" s="324" t="n">
        <x:v>259.3</x:v>
      </x:c>
      <x:c r="W36" s="324" t="n">
        <x:v>15.252941</x:v>
      </x:c>
      <x:c r="X36" s="324" t="n">
        <x:v>15.22</x:v>
      </x:c>
      <x:c r="Y36" s="324" t="n">
        <x:v>15.29</x:v>
      </x:c>
      <x:c r="Z36" s="324" t="n">
        <x:v>0.07</x:v>
      </x:c>
      <x:c r="AA36" s="292" t="str">
        <x:v>PROBABLE</x:v>
      </x:c>
      <x:c r="AB36" s="293" t="str">
        <x:v>61CE59811385F985F285F785F485F985F485F285F785F785F285F485F285F785F485F785F985F4</x:v>
      </x:c>
    </x:row>
    <x:row r="37" ht="15" hidden="0" customHeight="1">
      <x:c r="A37" s="318" t="n">
        <x:v>238856573</x:v>
      </x:c>
      <x:c r="B37" s="301" t="n">
        <x:v>238861050</x:v>
      </x:c>
      <x:c r="C37" s="321" t="n">
        <x:v>219.123623</x:v>
      </x:c>
      <x:c r="D37" s="292" t="str">
        <x:v>59810F</x:v>
      </x:c>
      <x:c r="E37" s="324" t="n">
        <x:v>15.17</x:v>
      </x:c>
      <x:c r="F37" s="324" t="n">
        <x:v>15.29</x:v>
      </x:c>
      <x:c r="G37" s="324" t="n">
        <x:v>15.27</x:v>
      </x:c>
      <x:c r="H37" s="324" t="n">
        <x:v>15.24</x:v>
      </x:c>
      <x:c r="I37" s="324" t="n">
        <x:v>15.27</x:v>
      </x:c>
      <x:c r="J37" s="324" t="n">
        <x:v>15.22</x:v>
      </x:c>
      <x:c r="K37" s="324" t="n">
        <x:v>15.24</x:v>
      </x:c>
      <x:c r="L37" s="324" t="n">
        <x:v>15.27</x:v>
      </x:c>
      <x:c r="M37" s="324" t="n">
        <x:v>15.24</x:v>
      </x:c>
      <x:c r="N37" s="324" t="n">
        <x:v>15.22</x:v>
      </x:c>
      <x:c r="O37" s="324" t="n">
        <x:v>15.24</x:v>
      </x:c>
      <x:c r="P37" s="324" t="n">
        <x:v>15.22</x:v>
      </x:c>
      <x:c r="Q37" s="324" t="n">
        <x:v>15.27</x:v>
      </x:c>
      <x:c r="R37" s="324" t="n">
        <x:v>15.24</x:v>
      </x:c>
      <x:c r="S37" s="324" t="n">
        <x:v>15.27</x:v>
      </x:c>
      <x:c r="T37" s="324" t="n">
        <x:v>15.29</x:v>
      </x:c>
      <x:c r="U37" s="324" t="n">
        <x:v>15.19</x:v>
      </x:c>
      <x:c r="V37" s="324" t="n">
        <x:v>259.15</x:v>
      </x:c>
      <x:c r="W37" s="324" t="n">
        <x:v>15.244118</x:v>
      </x:c>
      <x:c r="X37" s="324" t="n">
        <x:v>15.17</x:v>
      </x:c>
      <x:c r="Y37" s="324" t="n">
        <x:v>15.29</x:v>
      </x:c>
      <x:c r="Z37" s="324" t="n">
        <x:v>0.12</x:v>
      </x:c>
      <x:c r="AA37" s="292" t="str">
        <x:v>PROBABLE</x:v>
      </x:c>
      <x:c r="AB37" s="293" t="str">
        <x:v>61CE59810F85ED85F985F785F485F785F285F485F785F485F285F485F285F785F485F785F985EF</x:v>
      </x:c>
    </x:row>
    <x:row r="38" ht="15" hidden="0" customHeight="1">
      <x:c r="A38" s="318" t="n">
        <x:v>239455343</x:v>
      </x:c>
      <x:c r="B38" s="301" t="n">
        <x:v>239458676</x:v>
      </x:c>
      <x:c r="C38" s="321" t="n">
        <x:v>219.722387</x:v>
      </x:c>
      <x:c r="D38" s="292" t="str">
        <x:v>598113</x:v>
      </x:c>
      <x:c r="E38" s="324" t="n">
        <x:v>15.22</x:v>
      </x:c>
      <x:c r="F38" s="324" t="n">
        <x:v>15.29</x:v>
      </x:c>
      <x:c r="G38" s="324" t="n">
        <x:v>15.24</x:v>
      </x:c>
      <x:c r="H38" s="324" t="n">
        <x:v>15.29</x:v>
      </x:c>
      <x:c r="I38" s="324" t="n">
        <x:v>15.22</x:v>
      </x:c>
      <x:c r="J38" s="324" t="n">
        <x:v>15.24</x:v>
      </x:c>
      <x:c r="K38" s="324" t="n">
        <x:v>15.24</x:v>
      </x:c>
      <x:c r="L38" s="324" t="n">
        <x:v>15.22</x:v>
      </x:c>
      <x:c r="M38" s="324" t="n">
        <x:v>15.24</x:v>
      </x:c>
      <x:c r="N38" s="324" t="n">
        <x:v>15.22</x:v>
      </x:c>
      <x:c r="O38" s="324" t="n">
        <x:v>15.22</x:v>
      </x:c>
      <x:c r="P38" s="324" t="n">
        <x:v>15.22</x:v>
      </x:c>
      <x:c r="Q38" s="324" t="n">
        <x:v>15.27</x:v>
      </x:c>
      <x:c r="R38" s="324" t="n">
        <x:v>15.24</x:v>
      </x:c>
      <x:c r="S38" s="324" t="n">
        <x:v>15.27</x:v>
      </x:c>
      <x:c r="T38" s="324" t="n">
        <x:v>15.29</x:v>
      </x:c>
      <x:c r="U38" s="324" t="n">
        <x:v>15.19</x:v>
      </x:c>
      <x:c r="V38" s="324" t="n">
        <x:v>259.12</x:v>
      </x:c>
      <x:c r="W38" s="324" t="n">
        <x:v>15.242353</x:v>
      </x:c>
      <x:c r="X38" s="324" t="n">
        <x:v>15.19</x:v>
      </x:c>
      <x:c r="Y38" s="324" t="n">
        <x:v>15.29</x:v>
      </x:c>
      <x:c r="Z38" s="324" t="n">
        <x:v>0.1</x:v>
      </x:c>
      <x:c r="AA38" s="292" t="str">
        <x:v>PROBABLE</x:v>
      </x:c>
      <x:c r="AB38" s="293" t="str">
        <x:v>61CE59811385F285F985F485F985F285F485F485F285F485F285F285F285F785F485F785F985EF</x:v>
      </x:c>
    </x:row>
    <x:row r="39" ht="15" hidden="0" customHeight="1">
      <x:c r="A39" s="318" t="n">
        <x:v>240059094</x:v>
      </x:c>
      <x:c r="B39" s="301" t="n">
        <x:v>240060685</x:v>
      </x:c>
      <x:c r="C39" s="321" t="n">
        <x:v>220.326132</x:v>
      </x:c>
      <x:c r="D39" s="292" t="str">
        <x:v>59810D</x:v>
      </x:c>
      <x:c r="E39" s="324" t="n">
        <x:v>15.22</x:v>
      </x:c>
      <x:c r="F39" s="324" t="n">
        <x:v>15.27</x:v>
      </x:c>
      <x:c r="G39" s="324" t="n">
        <x:v>15.24</x:v>
      </x:c>
      <x:c r="H39" s="324" t="n">
        <x:v>15.29</x:v>
      </x:c>
      <x:c r="I39" s="324" t="n">
        <x:v>15.22</x:v>
      </x:c>
      <x:c r="J39" s="324" t="n">
        <x:v>15.24</x:v>
      </x:c>
      <x:c r="K39" s="324" t="n">
        <x:v>15.24</x:v>
      </x:c>
      <x:c r="L39" s="324" t="n">
        <x:v>15.22</x:v>
      </x:c>
      <x:c r="M39" s="324" t="n">
        <x:v>15.24</x:v>
      </x:c>
      <x:c r="N39" s="324" t="n">
        <x:v>15.22</x:v>
      </x:c>
      <x:c r="O39" s="324" t="n">
        <x:v>15.24</x:v>
      </x:c>
      <x:c r="P39" s="324" t="n">
        <x:v>15.22</x:v>
      </x:c>
      <x:c r="Q39" s="324" t="n">
        <x:v>15.27</x:v>
      </x:c>
      <x:c r="R39" s="324" t="n">
        <x:v>15.24</x:v>
      </x:c>
      <x:c r="S39" s="324" t="n">
        <x:v>15.27</x:v>
      </x:c>
      <x:c r="T39" s="324" t="n">
        <x:v>15.29</x:v>
      </x:c>
      <x:c r="U39" s="324" t="n">
        <x:v>15.19</x:v>
      </x:c>
      <x:c r="V39" s="324" t="n">
        <x:v>259.12</x:v>
      </x:c>
      <x:c r="W39" s="324" t="n">
        <x:v>15.242353</x:v>
      </x:c>
      <x:c r="X39" s="324" t="n">
        <x:v>15.19</x:v>
      </x:c>
      <x:c r="Y39" s="324" t="n">
        <x:v>15.29</x:v>
      </x:c>
      <x:c r="Z39" s="324" t="n">
        <x:v>0.1</x:v>
      </x:c>
      <x:c r="AA39" s="292" t="str">
        <x:v>PROBABLE</x:v>
      </x:c>
      <x:c r="AB39" s="293" t="str">
        <x:v>61CE59810D85F285F785F485F985F285F485F485F285F485F285F485F285F785F485F785F985EF</x:v>
      </x:c>
    </x:row>
    <x:row r="40" ht="15" hidden="0" customHeight="1">
      <x:c r="A40" s="318" t="n">
        <x:v>241176605</x:v>
      </x:c>
      <x:c r="B40" s="301" t="n">
        <x:v>241178703</x:v>
      </x:c>
      <x:c r="C40" s="321" t="n">
        <x:v>221.443633</x:v>
      </x:c>
      <x:c r="D40" s="292" t="str">
        <x:v>59810B</x:v>
      </x:c>
      <x:c r="E40" s="324" t="n">
        <x:v>15.22</x:v>
      </x:c>
      <x:c r="F40" s="324" t="n">
        <x:v>15.27</x:v>
      </x:c>
      <x:c r="G40" s="324" t="n">
        <x:v>15.24</x:v>
      </x:c>
      <x:c r="H40" s="324" t="n">
        <x:v>15.29</x:v>
      </x:c>
      <x:c r="I40" s="324" t="n">
        <x:v>15.27</x:v>
      </x:c>
      <x:c r="J40" s="324" t="n">
        <x:v>15.22</x:v>
      </x:c>
      <x:c r="K40" s="324" t="n">
        <x:v>15.22</x:v>
      </x:c>
      <x:c r="L40" s="324" t="n">
        <x:v>15.27</x:v>
      </x:c>
      <x:c r="M40" s="324" t="n">
        <x:v>15.17</x:v>
      </x:c>
      <x:c r="N40" s="324" t="n">
        <x:v>15.22</x:v>
      </x:c>
      <x:c r="O40" s="324" t="n">
        <x:v>15.27</x:v>
      </x:c>
      <x:c r="P40" s="324" t="n">
        <x:v>15.17</x:v>
      </x:c>
      <x:c r="Q40" s="324" t="n">
        <x:v>15.27</x:v>
      </x:c>
      <x:c r="R40" s="324" t="n">
        <x:v>15.22</x:v>
      </x:c>
      <x:c r="S40" s="324" t="n">
        <x:v>15.27</x:v>
      </x:c>
      <x:c r="T40" s="324" t="n">
        <x:v>15.29</x:v>
      </x:c>
      <x:c r="U40" s="324" t="n">
        <x:v>15.19</x:v>
      </x:c>
      <x:c r="V40" s="324" t="n">
        <x:v>259.07</x:v>
      </x:c>
      <x:c r="W40" s="324" t="n">
        <x:v>15.239412</x:v>
      </x:c>
      <x:c r="X40" s="324" t="n">
        <x:v>15.17</x:v>
      </x:c>
      <x:c r="Y40" s="324" t="n">
        <x:v>15.29</x:v>
      </x:c>
      <x:c r="Z40" s="324" t="n">
        <x:v>0.12</x:v>
      </x:c>
      <x:c r="AA40" s="292" t="str">
        <x:v>PROBABLE</x:v>
      </x:c>
      <x:c r="AB40" s="293" t="str">
        <x:v>61CE59810B85F285F785F485F985F785F285F285F785ED85F285F785ED85F785F285F785F985EF</x:v>
      </x:c>
    </x:row>
    <x:row r="41" ht="15" hidden="0" customHeight="1">
      <x:c r="A41" s="318" t="n">
        <x:v>241724094</x:v>
      </x:c>
      <x:c r="B41" s="301" t="n">
        <x:v>241728149</x:v>
      </x:c>
      <x:c r="C41" s="321" t="n">
        <x:v>221.991117</x:v>
      </x:c>
      <x:c r="D41" s="292" t="str">
        <x:v>598113</x:v>
      </x:c>
      <x:c r="E41" s="324" t="n">
        <x:v>15.22</x:v>
      </x:c>
      <x:c r="F41" s="324" t="n">
        <x:v>15.27</x:v>
      </x:c>
      <x:c r="G41" s="324" t="n">
        <x:v>15.24</x:v>
      </x:c>
      <x:c r="H41" s="324" t="n">
        <x:v>15.27</x:v>
      </x:c>
      <x:c r="I41" s="324" t="n">
        <x:v>15.29</x:v>
      </x:c>
      <x:c r="J41" s="324" t="n">
        <x:v>15.22</x:v>
      </x:c>
      <x:c r="K41" s="324" t="n">
        <x:v>15.22</x:v>
      </x:c>
      <x:c r="L41" s="324" t="n">
        <x:v>15.24</x:v>
      </x:c>
      <x:c r="M41" s="324" t="n">
        <x:v>15.19</x:v>
      </x:c>
      <x:c r="N41" s="324" t="n">
        <x:v>15.22</x:v>
      </x:c>
      <x:c r="O41" s="324" t="n">
        <x:v>15.27</x:v>
      </x:c>
      <x:c r="P41" s="324" t="n">
        <x:v>15.17</x:v>
      </x:c>
      <x:c r="Q41" s="324" t="n">
        <x:v>15.27</x:v>
      </x:c>
      <x:c r="R41" s="324" t="n">
        <x:v>15.22</x:v>
      </x:c>
      <x:c r="S41" s="324" t="n">
        <x:v>15.27</x:v>
      </x:c>
      <x:c r="T41" s="324" t="n">
        <x:v>15.29</x:v>
      </x:c>
      <x:c r="U41" s="324" t="n">
        <x:v>15.19</x:v>
      </x:c>
      <x:c r="V41" s="324" t="n">
        <x:v>259.06</x:v>
      </x:c>
      <x:c r="W41" s="324" t="n">
        <x:v>15.238824</x:v>
      </x:c>
      <x:c r="X41" s="324" t="n">
        <x:v>15.17</x:v>
      </x:c>
      <x:c r="Y41" s="324" t="n">
        <x:v>15.29</x:v>
      </x:c>
      <x:c r="Z41" s="324" t="n">
        <x:v>0.12</x:v>
      </x:c>
      <x:c r="AA41" s="292" t="str">
        <x:v>PROBABLE</x:v>
      </x:c>
      <x:c r="AB41" s="293" t="str">
        <x:v>61CE59811385F285F785F485F785F985F285F285F485EF85F285F785ED85F785F285F785F985EF</x:v>
      </x:c>
    </x:row>
    <x:row r="42" ht="15" hidden="0" customHeight="1">
      <x:c r="A42" s="318" t="n">
        <x:v>242332050</x:v>
      </x:c>
      <x:c r="B42" s="301" t="n">
        <x:v>242333610</x:v>
      </x:c>
      <x:c r="C42" s="321" t="n">
        <x:v>222.599067</x:v>
      </x:c>
      <x:c r="D42" s="292" t="str">
        <x:v>59810F</x:v>
      </x:c>
      <x:c r="E42" s="324" t="n">
        <x:v>15.22</x:v>
      </x:c>
      <x:c r="F42" s="324" t="n">
        <x:v>15.27</x:v>
      </x:c>
      <x:c r="G42" s="324" t="n">
        <x:v>15.24</x:v>
      </x:c>
      <x:c r="H42" s="324" t="n">
        <x:v>15.27</x:v>
      </x:c>
      <x:c r="I42" s="324" t="n">
        <x:v>15.27</x:v>
      </x:c>
      <x:c r="J42" s="324" t="n">
        <x:v>15.22</x:v>
      </x:c>
      <x:c r="K42" s="324" t="n">
        <x:v>15.22</x:v>
      </x:c>
      <x:c r="L42" s="324" t="n">
        <x:v>15.24</x:v>
      </x:c>
      <x:c r="M42" s="324" t="n">
        <x:v>15.22</x:v>
      </x:c>
      <x:c r="N42" s="324" t="n">
        <x:v>15.19</x:v>
      </x:c>
      <x:c r="O42" s="324" t="n">
        <x:v>15.24</x:v>
      </x:c>
      <x:c r="P42" s="324" t="n">
        <x:v>15.22</x:v>
      </x:c>
      <x:c r="Q42" s="324" t="n">
        <x:v>15.22</x:v>
      </x:c>
      <x:c r="R42" s="324" t="n">
        <x:v>15.27</x:v>
      </x:c>
      <x:c r="S42" s="324" t="n">
        <x:v>15.27</x:v>
      </x:c>
      <x:c r="T42" s="324" t="n">
        <x:v>15.24</x:v>
      </x:c>
      <x:c r="U42" s="324" t="n">
        <x:v>15.17</x:v>
      </x:c>
      <x:c r="V42" s="324" t="n">
        <x:v>258.99</x:v>
      </x:c>
      <x:c r="W42" s="324" t="n">
        <x:v>15.234706</x:v>
      </x:c>
      <x:c r="X42" s="324" t="n">
        <x:v>15.17</x:v>
      </x:c>
      <x:c r="Y42" s="324" t="n">
        <x:v>15.27</x:v>
      </x:c>
      <x:c r="Z42" s="324" t="n">
        <x:v>0.1</x:v>
      </x:c>
      <x:c r="AA42" s="292" t="str">
        <x:v>PROBABLE</x:v>
      </x:c>
      <x:c r="AB42" s="293" t="str">
        <x:v>61CE59810F85F285F785F485F785F785F285F285F485F285EF85F485F285F285F785F785F485ED</x:v>
      </x:c>
    </x:row>
    <x:row r="43" ht="15" hidden="0" customHeight="1">
      <x:c r="A43" s="318" t="n">
        <x:v>242881808</x:v>
      </x:c>
      <x:c r="B43" s="301" t="n">
        <x:v>242886486</x:v>
      </x:c>
      <x:c r="C43" s="321" t="n">
        <x:v>223.14882</x:v>
      </x:c>
      <x:c r="D43" s="292" t="str">
        <x:v>598113</x:v>
      </x:c>
      <x:c r="E43" s="324" t="n">
        <x:v>15.22</x:v>
      </x:c>
      <x:c r="F43" s="324" t="n">
        <x:v>15.27</x:v>
      </x:c>
      <x:c r="G43" s="324" t="n">
        <x:v>15.24</x:v>
      </x:c>
      <x:c r="H43" s="324" t="n">
        <x:v>15.27</x:v>
      </x:c>
      <x:c r="I43" s="324" t="n">
        <x:v>15.27</x:v>
      </x:c>
      <x:c r="J43" s="324" t="n">
        <x:v>15.22</x:v>
      </x:c>
      <x:c r="K43" s="324" t="n">
        <x:v>15.22</x:v>
      </x:c>
      <x:c r="L43" s="324" t="n">
        <x:v>15.24</x:v>
      </x:c>
      <x:c r="M43" s="324" t="n">
        <x:v>15.24</x:v>
      </x:c>
      <x:c r="N43" s="324" t="n">
        <x:v>15.19</x:v>
      </x:c>
      <x:c r="O43" s="324" t="n">
        <x:v>15.22</x:v>
      </x:c>
      <x:c r="P43" s="324" t="n">
        <x:v>15.19</x:v>
      </x:c>
      <x:c r="Q43" s="324" t="n">
        <x:v>15.19</x:v>
      </x:c>
      <x:c r="R43" s="324" t="n">
        <x:v>15.24</x:v>
      </x:c>
      <x:c r="S43" s="324" t="n">
        <x:v>15.27</x:v>
      </x:c>
      <x:c r="T43" s="324" t="n">
        <x:v>15.22</x:v>
      </x:c>
      <x:c r="U43" s="324" t="n">
        <x:v>15.17</x:v>
      </x:c>
      <x:c r="V43" s="324" t="n">
        <x:v>258.88</x:v>
      </x:c>
      <x:c r="W43" s="324" t="n">
        <x:v>15.228235</x:v>
      </x:c>
      <x:c r="X43" s="324" t="n">
        <x:v>15.17</x:v>
      </x:c>
      <x:c r="Y43" s="324" t="n">
        <x:v>15.27</x:v>
      </x:c>
      <x:c r="Z43" s="324" t="n">
        <x:v>0.1</x:v>
      </x:c>
      <x:c r="AA43" s="292" t="str">
        <x:v>PROBABLE</x:v>
      </x:c>
      <x:c r="AB43" s="293" t="str">
        <x:v>61CE59811385F285F785F485F785F785F285F285F485F485EF85F285EF85EF85F485F785F285ED</x:v>
      </x:c>
    </x:row>
    <x:row r="44" ht="15" hidden="0" customHeight="1">
      <x:c r="A44" s="318" t="n">
        <x:v>243465407</x:v>
      </x:c>
      <x:c r="B44" s="301" t="n">
        <x:v>243468001</x:v>
      </x:c>
      <x:c r="C44" s="321" t="n">
        <x:v>223.732413</x:v>
      </x:c>
      <x:c r="D44" s="292" t="str">
        <x:v>598113</x:v>
      </x:c>
      <x:c r="E44" s="324" t="n">
        <x:v>15.22</x:v>
      </x:c>
      <x:c r="F44" s="324" t="n">
        <x:v>15.27</x:v>
      </x:c>
      <x:c r="G44" s="324" t="n">
        <x:v>15.22</x:v>
      </x:c>
      <x:c r="H44" s="324" t="n">
        <x:v>15.27</x:v>
      </x:c>
      <x:c r="I44" s="324" t="n">
        <x:v>15.27</x:v>
      </x:c>
      <x:c r="J44" s="324" t="n">
        <x:v>15.22</x:v>
      </x:c>
      <x:c r="K44" s="324" t="n">
        <x:v>15.22</x:v>
      </x:c>
      <x:c r="L44" s="324" t="n">
        <x:v>15.24</x:v>
      </x:c>
      <x:c r="M44" s="324" t="n">
        <x:v>15.22</x:v>
      </x:c>
      <x:c r="N44" s="324" t="n">
        <x:v>15.19</x:v>
      </x:c>
      <x:c r="O44" s="324" t="n">
        <x:v>15.22</x:v>
      </x:c>
      <x:c r="P44" s="324" t="n">
        <x:v>15.22</x:v>
      </x:c>
      <x:c r="Q44" s="324" t="n">
        <x:v>15.19</x:v>
      </x:c>
      <x:c r="R44" s="324" t="n">
        <x:v>15.24</x:v>
      </x:c>
      <x:c r="S44" s="324" t="n">
        <x:v>15.27</x:v>
      </x:c>
      <x:c r="T44" s="324" t="n">
        <x:v>15.22</x:v>
      </x:c>
      <x:c r="U44" s="324" t="n">
        <x:v>15.14</x:v>
      </x:c>
      <x:c r="V44" s="324" t="n">
        <x:v>258.84</x:v>
      </x:c>
      <x:c r="W44" s="324" t="n">
        <x:v>15.225882</x:v>
      </x:c>
      <x:c r="X44" s="324" t="n">
        <x:v>15.14</x:v>
      </x:c>
      <x:c r="Y44" s="324" t="n">
        <x:v>15.27</x:v>
      </x:c>
      <x:c r="Z44" s="324" t="n">
        <x:v>0.13</x:v>
      </x:c>
      <x:c r="AA44" s="292" t="str">
        <x:v>PROBABLE</x:v>
      </x:c>
      <x:c r="AB44" s="293" t="str">
        <x:v>61CE59811385F285F785F285F785F785F285F285F485F285EF85F285F285EF85F485F785F285EA</x:v>
      </x:c>
    </x:row>
    <x:row r="45" ht="15" hidden="0" customHeight="1">
      <x:c r="A45" s="318" t="n">
        <x:v>244025386</x:v>
      </x:c>
      <x:c r="B45" s="301" t="n">
        <x:v>244029179</x:v>
      </x:c>
      <x:c r="C45" s="321" t="n">
        <x:v>224.292387</x:v>
      </x:c>
      <x:c r="D45" s="292" t="str">
        <x:v>59810D</x:v>
      </x:c>
      <x:c r="E45" s="324" t="n">
        <x:v>15.14</x:v>
      </x:c>
      <x:c r="F45" s="324" t="n">
        <x:v>15.29</x:v>
      </x:c>
      <x:c r="G45" s="324" t="n">
        <x:v>15.24</x:v>
      </x:c>
      <x:c r="H45" s="324" t="n">
        <x:v>15.22</x:v>
      </x:c>
      <x:c r="I45" s="324" t="n">
        <x:v>15.27</x:v>
      </x:c>
      <x:c r="J45" s="324" t="n">
        <x:v>15.22</x:v>
      </x:c>
      <x:c r="K45" s="324" t="n">
        <x:v>15.22</x:v>
      </x:c>
      <x:c r="L45" s="324" t="n">
        <x:v>15.24</x:v>
      </x:c>
      <x:c r="M45" s="324" t="n">
        <x:v>15.24</x:v>
      </x:c>
      <x:c r="N45" s="324" t="n">
        <x:v>15.19</x:v>
      </x:c>
      <x:c r="O45" s="324" t="n">
        <x:v>15.22</x:v>
      </x:c>
      <x:c r="P45" s="324" t="n">
        <x:v>15.22</x:v>
      </x:c>
      <x:c r="Q45" s="324" t="n">
        <x:v>15.27</x:v>
      </x:c>
      <x:c r="R45" s="324" t="n">
        <x:v>15.24</x:v>
      </x:c>
      <x:c r="S45" s="324" t="n">
        <x:v>15.24</x:v>
      </x:c>
      <x:c r="T45" s="324" t="n">
        <x:v>15.27</x:v>
      </x:c>
      <x:c r="U45" s="324" t="n">
        <x:v>15.17</x:v>
      </x:c>
      <x:c r="V45" s="324" t="n">
        <x:v>258.9</x:v>
      </x:c>
      <x:c r="W45" s="324" t="n">
        <x:v>15.229412</x:v>
      </x:c>
      <x:c r="X45" s="324" t="n">
        <x:v>15.14</x:v>
      </x:c>
      <x:c r="Y45" s="324" t="n">
        <x:v>15.29</x:v>
      </x:c>
      <x:c r="Z45" s="324" t="n">
        <x:v>0.15</x:v>
      </x:c>
      <x:c r="AA45" s="292" t="str">
        <x:v>PROBABLE</x:v>
      </x:c>
      <x:c r="AB45" s="293" t="str">
        <x:v>61CE59810D85EA85F985F485F285F785F285F285F485F485EF85F285F285F785F485F485F785ED</x:v>
      </x:c>
    </x:row>
    <x:row r="46" ht="15" hidden="0" customHeight="1">
      <x:c r="A46" s="318" t="n">
        <x:v>244641614</x:v>
      </x:c>
      <x:c r="B46" s="301" t="n">
        <x:v>244643341</x:v>
      </x:c>
      <x:c r="C46" s="321" t="n">
        <x:v>224.908609</x:v>
      </x:c>
      <x:c r="D46" s="292" t="str">
        <x:v>598113</x:v>
      </x:c>
      <x:c r="E46" s="324" t="n">
        <x:v>15.19</x:v>
      </x:c>
      <x:c r="F46" s="324" t="n">
        <x:v>15.24</x:v>
      </x:c>
      <x:c r="G46" s="324" t="n">
        <x:v>15.22</x:v>
      </x:c>
      <x:c r="H46" s="324" t="n">
        <x:v>15.27</x:v>
      </x:c>
      <x:c r="I46" s="324" t="n">
        <x:v>15.22</x:v>
      </x:c>
      <x:c r="J46" s="324" t="n">
        <x:v>15.22</x:v>
      </x:c>
      <x:c r="K46" s="324" t="n">
        <x:v>15.22</x:v>
      </x:c>
      <x:c r="L46" s="324" t="n">
        <x:v>15.19</x:v>
      </x:c>
      <x:c r="M46" s="324" t="n">
        <x:v>15.22</x:v>
      </x:c>
      <x:c r="N46" s="324" t="n">
        <x:v>15.19</x:v>
      </x:c>
      <x:c r="O46" s="324" t="n">
        <x:v>15.22</x:v>
      </x:c>
      <x:c r="P46" s="324" t="n">
        <x:v>15.22</x:v>
      </x:c>
      <x:c r="Q46" s="324" t="n">
        <x:v>15.27</x:v>
      </x:c>
      <x:c r="R46" s="324" t="n">
        <x:v>15.22</x:v>
      </x:c>
      <x:c r="S46" s="324" t="n">
        <x:v>15.22</x:v>
      </x:c>
      <x:c r="T46" s="324" t="n">
        <x:v>15.27</x:v>
      </x:c>
      <x:c r="U46" s="324" t="n">
        <x:v>15.17</x:v>
      </x:c>
      <x:c r="V46" s="324" t="n">
        <x:v>258.77</x:v>
      </x:c>
      <x:c r="W46" s="324" t="n">
        <x:v>15.221765</x:v>
      </x:c>
      <x:c r="X46" s="324" t="n">
        <x:v>15.17</x:v>
      </x:c>
      <x:c r="Y46" s="324" t="n">
        <x:v>15.27</x:v>
      </x:c>
      <x:c r="Z46" s="324" t="n">
        <x:v>0.1</x:v>
      </x:c>
      <x:c r="AA46" s="292" t="str">
        <x:v>PROBABLE</x:v>
      </x:c>
      <x:c r="AB46" s="293" t="str">
        <x:v>61CE59811385EF85F485F285F785F285F285F285EF85F285EF85F285F285F785F285F285F785ED</x:v>
      </x:c>
    </x:row>
    <x:row r="47" ht="15" hidden="0" customHeight="1">
      <x:c r="A47" s="318" t="n">
        <x:v>245207873</x:v>
      </x:c>
      <x:c r="B47" s="301" t="n">
        <x:v>245212622</x:v>
      </x:c>
      <x:c r="C47" s="321" t="n">
        <x:v>225.474863</x:v>
      </x:c>
      <x:c r="D47" s="292" t="str">
        <x:v>598107</x:v>
      </x:c>
      <x:c r="E47" s="324" t="n">
        <x:v>15.19</x:v>
      </x:c>
      <x:c r="F47" s="324" t="n">
        <x:v>15.24</x:v>
      </x:c>
      <x:c r="G47" s="324" t="n">
        <x:v>15.22</x:v>
      </x:c>
      <x:c r="H47" s="324" t="n">
        <x:v>15.27</x:v>
      </x:c>
      <x:c r="I47" s="324" t="n">
        <x:v>15.22</x:v>
      </x:c>
      <x:c r="J47" s="324" t="n">
        <x:v>15.22</x:v>
      </x:c>
      <x:c r="K47" s="324" t="n">
        <x:v>15.22</x:v>
      </x:c>
      <x:c r="L47" s="324" t="n">
        <x:v>15.19</x:v>
      </x:c>
      <x:c r="M47" s="324" t="n">
        <x:v>15.24</x:v>
      </x:c>
      <x:c r="N47" s="324" t="n">
        <x:v>15.17</x:v>
      </x:c>
      <x:c r="O47" s="324" t="n">
        <x:v>15.22</x:v>
      </x:c>
      <x:c r="P47" s="324" t="n">
        <x:v>15.19</x:v>
      </x:c>
      <x:c r="Q47" s="324" t="n">
        <x:v>15.24</x:v>
      </x:c>
      <x:c r="R47" s="324" t="n">
        <x:v>15.22</x:v>
      </x:c>
      <x:c r="S47" s="324" t="n">
        <x:v>15.22</x:v>
      </x:c>
      <x:c r="T47" s="324" t="n">
        <x:v>15.27</x:v>
      </x:c>
      <x:c r="U47" s="324" t="n">
        <x:v>15.17</x:v>
      </x:c>
      <x:c r="V47" s="324" t="n">
        <x:v>258.71</x:v>
      </x:c>
      <x:c r="W47" s="324" t="n">
        <x:v>15.218235</x:v>
      </x:c>
      <x:c r="X47" s="324" t="n">
        <x:v>15.17</x:v>
      </x:c>
      <x:c r="Y47" s="324" t="n">
        <x:v>15.27</x:v>
      </x:c>
      <x:c r="Z47" s="324" t="n">
        <x:v>0.1</x:v>
      </x:c>
      <x:c r="AA47" s="292" t="str">
        <x:v>PROBABLE</x:v>
      </x:c>
      <x:c r="AB47" s="293" t="str">
        <x:v>61CE59810785EF85F485F285F785F285F285F285EF85F485ED85F285EF85F485F285F285F785ED</x:v>
      </x:c>
    </x:row>
    <x:row r="48" ht="15" hidden="0" customHeight="1">
      <x:c r="A48" s="318" t="n">
        <x:v>245794111</x:v>
      </x:c>
      <x:c r="B48" s="301" t="n">
        <x:v>245798231</x:v>
      </x:c>
      <x:c r="C48" s="321" t="n">
        <x:v>226.061095</x:v>
      </x:c>
      <x:c r="D48" s="292" t="str">
        <x:v>598113</x:v>
      </x:c>
      <x:c r="E48" s="324" t="n">
        <x:v>15.19</x:v>
      </x:c>
      <x:c r="F48" s="324" t="n">
        <x:v>15.24</x:v>
      </x:c>
      <x:c r="G48" s="324" t="n">
        <x:v>15.22</x:v>
      </x:c>
      <x:c r="H48" s="324" t="n">
        <x:v>15.27</x:v>
      </x:c>
      <x:c r="I48" s="324" t="n">
        <x:v>15.22</x:v>
      </x:c>
      <x:c r="J48" s="324" t="n">
        <x:v>15.22</x:v>
      </x:c>
      <x:c r="K48" s="324" t="n">
        <x:v>15.22</x:v>
      </x:c>
      <x:c r="L48" s="324" t="n">
        <x:v>15.19</x:v>
      </x:c>
      <x:c r="M48" s="324" t="n">
        <x:v>15.22</x:v>
      </x:c>
      <x:c r="N48" s="324" t="n">
        <x:v>15.17</x:v>
      </x:c>
      <x:c r="O48" s="324" t="n">
        <x:v>15.22</x:v>
      </x:c>
      <x:c r="P48" s="324" t="n">
        <x:v>15.22</x:v>
      </x:c>
      <x:c r="Q48" s="324" t="n">
        <x:v>15.24</x:v>
      </x:c>
      <x:c r="R48" s="324" t="n">
        <x:v>15.22</x:v>
      </x:c>
      <x:c r="S48" s="324" t="n">
        <x:v>15.22</x:v>
      </x:c>
      <x:c r="T48" s="324" t="n">
        <x:v>15.27</x:v>
      </x:c>
      <x:c r="U48" s="324" t="n">
        <x:v>15.14</x:v>
      </x:c>
      <x:c r="V48" s="324" t="n">
        <x:v>258.69</x:v>
      </x:c>
      <x:c r="W48" s="324" t="n">
        <x:v>15.217059</x:v>
      </x:c>
      <x:c r="X48" s="324" t="n">
        <x:v>15.14</x:v>
      </x:c>
      <x:c r="Y48" s="324" t="n">
        <x:v>15.27</x:v>
      </x:c>
      <x:c r="Z48" s="324" t="n">
        <x:v>0.13</x:v>
      </x:c>
      <x:c r="AA48" s="292" t="str">
        <x:v>PROBABLE</x:v>
      </x:c>
      <x:c r="AB48" s="293" t="str">
        <x:v>61CE59811385EF85F485F285F785F285F285F285EF85F285ED85F285F285F485F285F285F785EA</x:v>
      </x:c>
    </x:row>
    <x:row r="49" ht="15" hidden="0" customHeight="1">
      <x:c r="A49" s="318" t="n">
        <x:v>246365357</x:v>
      </x:c>
      <x:c r="B49" s="301" t="n">
        <x:v>246368135</x:v>
      </x:c>
      <x:c r="C49" s="321" t="n">
        <x:v>226.632336</x:v>
      </x:c>
      <x:c r="D49" s="292" t="str">
        <x:v>598113</x:v>
      </x:c>
      <x:c r="E49" s="324" t="n">
        <x:v>15.19</x:v>
      </x:c>
      <x:c r="F49" s="324" t="n">
        <x:v>15.24</x:v>
      </x:c>
      <x:c r="G49" s="324" t="n">
        <x:v>15.22</x:v>
      </x:c>
      <x:c r="H49" s="324" t="n">
        <x:v>15.27</x:v>
      </x:c>
      <x:c r="I49" s="324" t="n">
        <x:v>15.27</x:v>
      </x:c>
      <x:c r="J49" s="324" t="n">
        <x:v>15.19</x:v>
      </x:c>
      <x:c r="K49" s="324" t="n">
        <x:v>15.19</x:v>
      </x:c>
      <x:c r="L49" s="324" t="n">
        <x:v>15.24</x:v>
      </x:c>
      <x:c r="M49" s="324" t="n">
        <x:v>15.17</x:v>
      </x:c>
      <x:c r="N49" s="324" t="n">
        <x:v>15.19</x:v>
      </x:c>
      <x:c r="O49" s="324" t="n">
        <x:v>15.22</x:v>
      </x:c>
      <x:c r="P49" s="324" t="n">
        <x:v>15.14</x:v>
      </x:c>
      <x:c r="Q49" s="324" t="n">
        <x:v>15.24</x:v>
      </x:c>
      <x:c r="R49" s="324" t="n">
        <x:v>15.22</x:v>
      </x:c>
      <x:c r="S49" s="324" t="n">
        <x:v>15.22</x:v>
      </x:c>
      <x:c r="T49" s="324" t="n">
        <x:v>15.27</x:v>
      </x:c>
      <x:c r="U49" s="324" t="n">
        <x:v>15.17</x:v>
      </x:c>
      <x:c r="V49" s="324" t="n">
        <x:v>258.65</x:v>
      </x:c>
      <x:c r="W49" s="324" t="n">
        <x:v>15.214706</x:v>
      </x:c>
      <x:c r="X49" s="324" t="n">
        <x:v>15.14</x:v>
      </x:c>
      <x:c r="Y49" s="324" t="n">
        <x:v>15.27</x:v>
      </x:c>
      <x:c r="Z49" s="324" t="n">
        <x:v>0.13</x:v>
      </x:c>
      <x:c r="AA49" s="292" t="str">
        <x:v>PROBABLE</x:v>
      </x:c>
      <x:c r="AB49" s="293" t="str">
        <x:v>61CE59811385EF85F485F285F785F785EF85EF85F485ED85EF85F285EA85F485F285F285F785ED</x:v>
      </x:c>
    </x:row>
    <x:row r="50" ht="15" hidden="0" customHeight="1">
      <x:c r="A50" s="318" t="n">
        <x:v>246979131</x:v>
      </x:c>
      <x:c r="B50" s="301" t="n">
        <x:v>246982006</x:v>
      </x:c>
      <x:c r="C50" s="321" t="n">
        <x:v>227.246104</x:v>
      </x:c>
      <x:c r="D50" s="292" t="str">
        <x:v>598113</x:v>
      </x:c>
      <x:c r="E50" s="324" t="n">
        <x:v>15.17</x:v>
      </x:c>
      <x:c r="F50" s="324" t="n">
        <x:v>15.27</x:v>
      </x:c>
      <x:c r="G50" s="324" t="n">
        <x:v>15.22</x:v>
      </x:c>
      <x:c r="H50" s="324" t="n">
        <x:v>15.24</x:v>
      </x:c>
      <x:c r="I50" s="324" t="n">
        <x:v>15.27</x:v>
      </x:c>
      <x:c r="J50" s="324" t="n">
        <x:v>15.22</x:v>
      </x:c>
      <x:c r="K50" s="324" t="n">
        <x:v>15.19</x:v>
      </x:c>
      <x:c r="L50" s="324" t="n">
        <x:v>15.22</x:v>
      </x:c>
      <x:c r="M50" s="324" t="n">
        <x:v>15.17</x:v>
      </x:c>
      <x:c r="N50" s="324" t="n">
        <x:v>15.22</x:v>
      </x:c>
      <x:c r="O50" s="324" t="n">
        <x:v>15.22</x:v>
      </x:c>
      <x:c r="P50" s="324" t="n">
        <x:v>15.17</x:v>
      </x:c>
      <x:c r="Q50" s="324" t="n">
        <x:v>15.24</x:v>
      </x:c>
      <x:c r="R50" s="324" t="n">
        <x:v>15.24</x:v>
      </x:c>
      <x:c r="S50" s="324" t="n">
        <x:v>15.22</x:v>
      </x:c>
      <x:c r="T50" s="324" t="n">
        <x:v>15.27</x:v>
      </x:c>
      <x:c r="U50" s="324" t="n">
        <x:v>15.14</x:v>
      </x:c>
      <x:c r="V50" s="324" t="n">
        <x:v>258.69</x:v>
      </x:c>
      <x:c r="W50" s="324" t="n">
        <x:v>15.217059</x:v>
      </x:c>
      <x:c r="X50" s="324" t="n">
        <x:v>15.14</x:v>
      </x:c>
      <x:c r="Y50" s="324" t="n">
        <x:v>15.27</x:v>
      </x:c>
      <x:c r="Z50" s="324" t="n">
        <x:v>0.13</x:v>
      </x:c>
      <x:c r="AA50" s="292" t="str">
        <x:v>PROBABLE</x:v>
      </x:c>
      <x:c r="AB50" s="293" t="str">
        <x:v>61CE59811385ED85F785F285F485F785F285EF85F285ED85F285F285ED85F485F485F285F785EA</x:v>
      </x:c>
    </x:row>
    <x:row r="51" ht="15" hidden="0" customHeight="1">
      <x:c r="A51" s="318" t="n">
        <x:v>247488041</x:v>
      </x:c>
      <x:c r="B51" s="301" t="n">
        <x:v>247490018</x:v>
      </x:c>
      <x:c r="C51" s="321" t="n">
        <x:v>227.755009</x:v>
      </x:c>
      <x:c r="D51" s="292" t="str">
        <x:v>598113</x:v>
      </x:c>
      <x:c r="E51" s="324" t="n">
        <x:v>15.17</x:v>
      </x:c>
      <x:c r="F51" s="324" t="n">
        <x:v>15.24</x:v>
      </x:c>
      <x:c r="G51" s="324" t="n">
        <x:v>15.22</x:v>
      </x:c>
      <x:c r="H51" s="324" t="n">
        <x:v>15.24</x:v>
      </x:c>
      <x:c r="I51" s="324" t="n">
        <x:v>15.27</x:v>
      </x:c>
      <x:c r="J51" s="324" t="n">
        <x:v>15.19</x:v>
      </x:c>
      <x:c r="K51" s="324" t="n">
        <x:v>15.19</x:v>
      </x:c>
      <x:c r="L51" s="324" t="n">
        <x:v>15.22</x:v>
      </x:c>
      <x:c r="M51" s="324" t="n">
        <x:v>15.17</x:v>
      </x:c>
      <x:c r="N51" s="324" t="n">
        <x:v>15.19</x:v>
      </x:c>
      <x:c r="O51" s="324" t="n">
        <x:v>15.22</x:v>
      </x:c>
      <x:c r="P51" s="324" t="n">
        <x:v>15.14</x:v>
      </x:c>
      <x:c r="Q51" s="324" t="n">
        <x:v>15.22</x:v>
      </x:c>
      <x:c r="R51" s="324" t="n">
        <x:v>15.22</x:v>
      </x:c>
      <x:c r="S51" s="324" t="n">
        <x:v>15.22</x:v>
      </x:c>
      <x:c r="T51" s="324" t="n">
        <x:v>15.27</x:v>
      </x:c>
      <x:c r="U51" s="324" t="n">
        <x:v>15.14</x:v>
      </x:c>
      <x:c r="V51" s="324" t="n">
        <x:v>258.53</x:v>
      </x:c>
      <x:c r="W51" s="324" t="n">
        <x:v>15.207647</x:v>
      </x:c>
      <x:c r="X51" s="324" t="n">
        <x:v>15.14</x:v>
      </x:c>
      <x:c r="Y51" s="324" t="n">
        <x:v>15.27</x:v>
      </x:c>
      <x:c r="Z51" s="324" t="n">
        <x:v>0.13</x:v>
      </x:c>
      <x:c r="AA51" s="292" t="str">
        <x:v>PROBABLE</x:v>
      </x:c>
      <x:c r="AB51" s="293" t="str">
        <x:v>61CE59811385ED85F485F285F485F785EF85EF85F285ED85EF85F285EA85F285F285F285F785EA</x:v>
      </x:c>
    </x:row>
    <x:row r="52" ht="15" hidden="0" customHeight="1">
      <x:c r="A52" s="318" t="n">
        <x:v>248062922</x:v>
      </x:c>
      <x:c r="B52" s="301" t="n">
        <x:v>248067712</x:v>
      </x:c>
      <x:c r="C52" s="321" t="n">
        <x:v>228.329885</x:v>
      </x:c>
      <x:c r="D52" s="292" t="str">
        <x:v>598113</x:v>
      </x:c>
      <x:c r="E52" s="324" t="n">
        <x:v>15.19</x:v>
      </x:c>
      <x:c r="F52" s="324" t="n">
        <x:v>15.24</x:v>
      </x:c>
      <x:c r="G52" s="324" t="n">
        <x:v>15.22</x:v>
      </x:c>
      <x:c r="H52" s="324" t="n">
        <x:v>15.24</x:v>
      </x:c>
      <x:c r="I52" s="324" t="n">
        <x:v>15.27</x:v>
      </x:c>
      <x:c r="J52" s="324" t="n">
        <x:v>15.19</x:v>
      </x:c>
      <x:c r="K52" s="324" t="n">
        <x:v>15.19</x:v>
      </x:c>
      <x:c r="L52" s="324" t="n">
        <x:v>15.22</x:v>
      </x:c>
      <x:c r="M52" s="324" t="n">
        <x:v>15.22</x:v>
      </x:c>
      <x:c r="N52" s="324" t="n">
        <x:v>15.17</x:v>
      </x:c>
      <x:c r="O52" s="324" t="n">
        <x:v>15.22</x:v>
      </x:c>
      <x:c r="P52" s="324" t="n">
        <x:v>15.19</x:v>
      </x:c>
      <x:c r="Q52" s="324" t="n">
        <x:v>15.17</x:v>
      </x:c>
      <x:c r="R52" s="324" t="n">
        <x:v>15.22</x:v>
      </x:c>
      <x:c r="S52" s="324" t="n">
        <x:v>15.24</x:v>
      </x:c>
      <x:c r="T52" s="324" t="n">
        <x:v>15.22</x:v>
      </x:c>
      <x:c r="U52" s="324" t="n">
        <x:v>15.14</x:v>
      </x:c>
      <x:c r="V52" s="324" t="n">
        <x:v>258.55</x:v>
      </x:c>
      <x:c r="W52" s="324" t="n">
        <x:v>15.208824</x:v>
      </x:c>
      <x:c r="X52" s="324" t="n">
        <x:v>15.14</x:v>
      </x:c>
      <x:c r="Y52" s="324" t="n">
        <x:v>15.27</x:v>
      </x:c>
      <x:c r="Z52" s="324" t="n">
        <x:v>0.13</x:v>
      </x:c>
      <x:c r="AA52" s="292" t="str">
        <x:v>PROBABLE</x:v>
      </x:c>
      <x:c r="AB52" s="293" t="str">
        <x:v>61CE59811385EF85F485F285F485F785EF85EF85F285F285ED85F285EF85ED85F285F485F285EA</x:v>
      </x:c>
    </x:row>
    <x:row r="53" ht="15" hidden="0" customHeight="1">
      <x:c r="A53" s="318" t="n">
        <x:v>248660319</x:v>
      </x:c>
      <x:c r="B53" s="301" t="n">
        <x:v>248664936</x:v>
      </x:c>
      <x:c r="C53" s="321" t="n">
        <x:v>228.927276</x:v>
      </x:c>
      <x:c r="D53" s="292" t="str">
        <x:v>598113</x:v>
      </x:c>
      <x:c r="E53" s="324" t="n">
        <x:v>15.17</x:v>
      </x:c>
      <x:c r="F53" s="324" t="n">
        <x:v>15.24</x:v>
      </x:c>
      <x:c r="G53" s="324" t="n">
        <x:v>15.22</x:v>
      </x:c>
      <x:c r="H53" s="324" t="n">
        <x:v>15.24</x:v>
      </x:c>
      <x:c r="I53" s="324" t="n">
        <x:v>15.24</x:v>
      </x:c>
      <x:c r="J53" s="324" t="n">
        <x:v>15.19</x:v>
      </x:c>
      <x:c r="K53" s="324" t="n">
        <x:v>15.19</x:v>
      </x:c>
      <x:c r="L53" s="324" t="n">
        <x:v>15.22</x:v>
      </x:c>
      <x:c r="M53" s="324" t="n">
        <x:v>15.22</x:v>
      </x:c>
      <x:c r="N53" s="324" t="n">
        <x:v>15.17</x:v>
      </x:c>
      <x:c r="O53" s="324" t="n">
        <x:v>15.19</x:v>
      </x:c>
      <x:c r="P53" s="324" t="n">
        <x:v>15.19</x:v>
      </x:c>
      <x:c r="Q53" s="324" t="n">
        <x:v>15.17</x:v>
      </x:c>
      <x:c r="R53" s="324" t="n">
        <x:v>15.22</x:v>
      </x:c>
      <x:c r="S53" s="324" t="n">
        <x:v>15.22</x:v>
      </x:c>
      <x:c r="T53" s="324" t="n">
        <x:v>15.22</x:v>
      </x:c>
      <x:c r="U53" s="324" t="n">
        <x:v>15.14</x:v>
      </x:c>
      <x:c r="V53" s="324" t="n">
        <x:v>258.45</x:v>
      </x:c>
      <x:c r="W53" s="324" t="n">
        <x:v>15.202941</x:v>
      </x:c>
      <x:c r="X53" s="324" t="n">
        <x:v>15.14</x:v>
      </x:c>
      <x:c r="Y53" s="324" t="n">
        <x:v>15.24</x:v>
      </x:c>
      <x:c r="Z53" s="324" t="n">
        <x:v>0.1</x:v>
      </x:c>
      <x:c r="AA53" s="292" t="str">
        <x:v>PROBABLE</x:v>
      </x:c>
      <x:c r="AB53" s="293" t="str">
        <x:v>61CE59811385ED85F485F285F485F485EF85EF85F285F285ED85EF85EF85ED85F285F285F285EA</x:v>
      </x:c>
    </x:row>
    <x:row r="54" ht="15" hidden="0" customHeight="1">
      <x:c r="A54" s="318" t="n">
        <x:v>249290663</x:v>
      </x:c>
      <x:c r="B54" s="301" t="n">
        <x:v>249296659</x:v>
      </x:c>
      <x:c r="C54" s="321" t="n">
        <x:v>229.557614</x:v>
      </x:c>
      <x:c r="D54" s="292" t="str">
        <x:v>598113</x:v>
      </x:c>
      <x:c r="E54" s="324" t="n">
        <x:v>15.22</x:v>
      </x:c>
      <x:c r="F54" s="324" t="n">
        <x:v>15.17</x:v>
      </x:c>
      <x:c r="G54" s="324" t="n">
        <x:v>15.22</x:v>
      </x:c>
      <x:c r="H54" s="324" t="n">
        <x:v>15.19</x:v>
      </x:c>
      <x:c r="I54" s="324" t="n">
        <x:v>15.27</x:v>
      </x:c>
      <x:c r="J54" s="324" t="n">
        <x:v>15.17</x:v>
      </x:c>
      <x:c r="K54" s="324" t="n">
        <x:v>15.19</x:v>
      </x:c>
      <x:c r="L54" s="324" t="n">
        <x:v>15.22</x:v>
      </x:c>
      <x:c r="M54" s="324" t="n">
        <x:v>15.22</x:v>
      </x:c>
      <x:c r="N54" s="324" t="n">
        <x:v>15.17</x:v>
      </x:c>
      <x:c r="O54" s="324" t="n">
        <x:v>15.22</x:v>
      </x:c>
      <x:c r="P54" s="324" t="n">
        <x:v>15.19</x:v>
      </x:c>
      <x:c r="Q54" s="324" t="n">
        <x:v>15.24</x:v>
      </x:c>
      <x:c r="R54" s="324" t="n">
        <x:v>15.19</x:v>
      </x:c>
      <x:c r="S54" s="324" t="n">
        <x:v>15.22</x:v>
      </x:c>
      <x:c r="T54" s="324" t="n">
        <x:v>15.27</x:v>
      </x:c>
      <x:c r="U54" s="324" t="n">
        <x:v>15.19</x:v>
      </x:c>
      <x:c r="V54" s="324" t="n">
        <x:v>258.56</x:v>
      </x:c>
      <x:c r="W54" s="324" t="n">
        <x:v>15.209412</x:v>
      </x:c>
      <x:c r="X54" s="324" t="n">
        <x:v>15.17</x:v>
      </x:c>
      <x:c r="Y54" s="324" t="n">
        <x:v>15.27</x:v>
      </x:c>
      <x:c r="Z54" s="324" t="n">
        <x:v>0.1</x:v>
      </x:c>
      <x:c r="AA54" s="292" t="str">
        <x:v>PROBABLE</x:v>
      </x:c>
      <x:c r="AB54" s="293" t="str">
        <x:v>61CE59811385F285ED85F285EF85F785ED85EF85F285F285ED85F285EF85F485EF85F285F785EF</x:v>
      </x:c>
    </x:row>
    <x:row r="55" ht="15" hidden="0" customHeight="1">
      <x:c r="A55" s="318" t="n">
        <x:v>250074238</x:v>
      </x:c>
      <x:c r="B55" s="301" t="n">
        <x:v>250077972</x:v>
      </x:c>
      <x:c r="C55" s="321" t="n">
        <x:v>230.341182</x:v>
      </x:c>
      <x:c r="D55" s="292" t="str">
        <x:v>598113</x:v>
      </x:c>
      <x:c r="E55" s="324" t="n">
        <x:v>15.17</x:v>
      </x:c>
      <x:c r="F55" s="324" t="n">
        <x:v>15.24</x:v>
      </x:c>
      <x:c r="G55" s="324" t="n">
        <x:v>15.22</x:v>
      </x:c>
      <x:c r="H55" s="324" t="n">
        <x:v>15.24</x:v>
      </x:c>
      <x:c r="I55" s="324" t="n">
        <x:v>15.24</x:v>
      </x:c>
      <x:c r="J55" s="324" t="n">
        <x:v>15.17</x:v>
      </x:c>
      <x:c r="K55" s="324" t="n">
        <x:v>15.19</x:v>
      </x:c>
      <x:c r="L55" s="324" t="n">
        <x:v>15.22</x:v>
      </x:c>
      <x:c r="M55" s="324" t="n">
        <x:v>15.14</x:v>
      </x:c>
      <x:c r="N55" s="324" t="n">
        <x:v>15.19</x:v>
      </x:c>
      <x:c r="O55" s="324" t="n">
        <x:v>15.22</x:v>
      </x:c>
      <x:c r="P55" s="324" t="n">
        <x:v>15.14</x:v>
      </x:c>
      <x:c r="Q55" s="324" t="n">
        <x:v>15.22</x:v>
      </x:c>
      <x:c r="R55" s="324" t="n">
        <x:v>15.19</x:v>
      </x:c>
      <x:c r="S55" s="324" t="n">
        <x:v>15.22</x:v>
      </x:c>
      <x:c r="T55" s="324" t="n">
        <x:v>15.27</x:v>
      </x:c>
      <x:c r="U55" s="324" t="n">
        <x:v>15.14</x:v>
      </x:c>
      <x:c r="V55" s="324" t="n">
        <x:v>258.42</x:v>
      </x:c>
      <x:c r="W55" s="324" t="n">
        <x:v>15.201176</x:v>
      </x:c>
      <x:c r="X55" s="324" t="n">
        <x:v>15.14</x:v>
      </x:c>
      <x:c r="Y55" s="324" t="n">
        <x:v>15.27</x:v>
      </x:c>
      <x:c r="Z55" s="324" t="n">
        <x:v>0.13</x:v>
      </x:c>
      <x:c r="AA55" s="292" t="str">
        <x:v>PROBABLE</x:v>
      </x:c>
      <x:c r="AB55" s="293" t="str">
        <x:v>61CE59811385ED85F485F285F485F485ED85EF85F285EA85EF85F285EA85F285EF85F285F785EA</x:v>
      </x:c>
    </x:row>
    <x:row r="56" ht="15" hidden="0" customHeight="1">
      <x:c r="A56" s="318" t="n">
        <x:v>250661578</x:v>
      </x:c>
      <x:c r="B56" s="301" t="n">
        <x:v>250663449</x:v>
      </x:c>
      <x:c r="C56" s="321" t="n">
        <x:v>230.928516</x:v>
      </x:c>
      <x:c r="D56" s="292" t="str">
        <x:v>598113</x:v>
      </x:c>
      <x:c r="E56" s="324" t="n">
        <x:v>15.17</x:v>
      </x:c>
      <x:c r="F56" s="324" t="n">
        <x:v>15.24</x:v>
      </x:c>
      <x:c r="G56" s="324" t="n">
        <x:v>15.22</x:v>
      </x:c>
      <x:c r="H56" s="324" t="n">
        <x:v>15.24</x:v>
      </x:c>
      <x:c r="I56" s="324" t="n">
        <x:v>15.24</x:v>
      </x:c>
      <x:c r="J56" s="324" t="n">
        <x:v>15.17</x:v>
      </x:c>
      <x:c r="K56" s="324" t="n">
        <x:v>15.19</x:v>
      </x:c>
      <x:c r="L56" s="324" t="n">
        <x:v>15.22</x:v>
      </x:c>
      <x:c r="M56" s="324" t="n">
        <x:v>15.14</x:v>
      </x:c>
      <x:c r="N56" s="324" t="n">
        <x:v>15.17</x:v>
      </x:c>
      <x:c r="O56" s="324" t="n">
        <x:v>15.22</x:v>
      </x:c>
      <x:c r="P56" s="324" t="n">
        <x:v>15.14</x:v>
      </x:c>
      <x:c r="Q56" s="324" t="n">
        <x:v>15.22</x:v>
      </x:c>
      <x:c r="R56" s="324" t="n">
        <x:v>15.19</x:v>
      </x:c>
      <x:c r="S56" s="324" t="n">
        <x:v>15.22</x:v>
      </x:c>
      <x:c r="T56" s="324" t="n">
        <x:v>15.27</x:v>
      </x:c>
      <x:c r="U56" s="324" t="n">
        <x:v>15.14</x:v>
      </x:c>
      <x:c r="V56" s="324" t="n">
        <x:v>258.4</x:v>
      </x:c>
      <x:c r="W56" s="324" t="n">
        <x:v>15.2</x:v>
      </x:c>
      <x:c r="X56" s="324" t="n">
        <x:v>15.14</x:v>
      </x:c>
      <x:c r="Y56" s="324" t="n">
        <x:v>15.27</x:v>
      </x:c>
      <x:c r="Z56" s="324" t="n">
        <x:v>0.13</x:v>
      </x:c>
      <x:c r="AA56" s="292" t="str">
        <x:v>PROBABLE</x:v>
      </x:c>
      <x:c r="AB56" s="293" t="str">
        <x:v>61CE59811385ED85F485F285F485F485ED85EF85F285EA85ED85F285EA85F285EF85F285F785EA</x:v>
      </x:c>
    </x:row>
    <x:row r="57" ht="15" hidden="0" customHeight="1">
      <x:c r="A57" s="318" t="n">
        <x:v>251216677</x:v>
      </x:c>
      <x:c r="B57" s="301" t="n">
        <x:v>251220411</x:v>
      </x:c>
      <x:c r="C57" s="321" t="n">
        <x:v>231.48361</x:v>
      </x:c>
      <x:c r="D57" s="292" t="str">
        <x:v>598113</x:v>
      </x:c>
      <x:c r="E57" s="324" t="n">
        <x:v>15.17</x:v>
      </x:c>
      <x:c r="F57" s="324" t="n">
        <x:v>15.24</x:v>
      </x:c>
      <x:c r="G57" s="324" t="n">
        <x:v>15.22</x:v>
      </x:c>
      <x:c r="H57" s="324" t="n">
        <x:v>15.22</x:v>
      </x:c>
      <x:c r="I57" s="324" t="n">
        <x:v>15.24</x:v>
      </x:c>
      <x:c r="J57" s="324" t="n">
        <x:v>15.17</x:v>
      </x:c>
      <x:c r="K57" s="324" t="n">
        <x:v>15.19</x:v>
      </x:c>
      <x:c r="L57" s="324" t="n">
        <x:v>15.19</x:v>
      </x:c>
      <x:c r="M57" s="324" t="n">
        <x:v>15.14</x:v>
      </x:c>
      <x:c r="N57" s="324" t="n">
        <x:v>15.17</x:v>
      </x:c>
      <x:c r="O57" s="324" t="n">
        <x:v>15.22</x:v>
      </x:c>
      <x:c r="P57" s="324" t="n">
        <x:v>15.14</x:v>
      </x:c>
      <x:c r="Q57" s="324" t="n">
        <x:v>15.24</x:v>
      </x:c>
      <x:c r="R57" s="324" t="n">
        <x:v>15.19</x:v>
      </x:c>
      <x:c r="S57" s="324" t="n">
        <x:v>15.22</x:v>
      </x:c>
      <x:c r="T57" s="324" t="n">
        <x:v>15.24</x:v>
      </x:c>
      <x:c r="U57" s="324" t="n">
        <x:v>15.17</x:v>
      </x:c>
      <x:c r="V57" s="324" t="n">
        <x:v>258.37</x:v>
      </x:c>
      <x:c r="W57" s="324" t="n">
        <x:v>15.198235</x:v>
      </x:c>
      <x:c r="X57" s="324" t="n">
        <x:v>15.14</x:v>
      </x:c>
      <x:c r="Y57" s="324" t="n">
        <x:v>15.24</x:v>
      </x:c>
      <x:c r="Z57" s="324" t="n">
        <x:v>0.1</x:v>
      </x:c>
      <x:c r="AA57" s="292" t="str">
        <x:v>PROBABLE</x:v>
      </x:c>
      <x:c r="AB57" s="293" t="str">
        <x:v>61CE59811385ED85F485F285F285F485ED85EF85EF85EA85ED85F285EA85F485EF85F285F485ED</x:v>
      </x:c>
    </x:row>
    <x:row r="58" ht="15" hidden="0" customHeight="1">
      <x:c r="A58" s="318" t="n">
        <x:v>251835388</x:v>
      </x:c>
      <x:c r="B58" s="301" t="n">
        <x:v>251839717</x:v>
      </x:c>
      <x:c r="C58" s="321" t="n">
        <x:v>232.102315</x:v>
      </x:c>
      <x:c r="D58" s="292" t="str">
        <x:v>598113</x:v>
      </x:c>
      <x:c r="E58" s="324" t="n">
        <x:v>15.17</x:v>
      </x:c>
      <x:c r="F58" s="324" t="n">
        <x:v>15.24</x:v>
      </x:c>
      <x:c r="G58" s="324" t="n">
        <x:v>15.22</x:v>
      </x:c>
      <x:c r="H58" s="324" t="n">
        <x:v>15.24</x:v>
      </x:c>
      <x:c r="I58" s="324" t="n">
        <x:v>15.24</x:v>
      </x:c>
      <x:c r="J58" s="324" t="n">
        <x:v>15.17</x:v>
      </x:c>
      <x:c r="K58" s="324" t="n">
        <x:v>15.17</x:v>
      </x:c>
      <x:c r="L58" s="324" t="n">
        <x:v>15.22</x:v>
      </x:c>
      <x:c r="M58" s="324" t="n">
        <x:v>15.22</x:v>
      </x:c>
      <x:c r="N58" s="324" t="n">
        <x:v>15.17</x:v>
      </x:c>
      <x:c r="O58" s="324" t="n">
        <x:v>15.22</x:v>
      </x:c>
      <x:c r="P58" s="324" t="n">
        <x:v>15.19</x:v>
      </x:c>
      <x:c r="Q58" s="324" t="n">
        <x:v>15.17</x:v>
      </x:c>
      <x:c r="R58" s="324" t="n">
        <x:v>15.22</x:v>
      </x:c>
      <x:c r="S58" s="324" t="n">
        <x:v>15.22</x:v>
      </x:c>
      <x:c r="T58" s="324" t="n">
        <x:v>15.19</x:v>
      </x:c>
      <x:c r="U58" s="324" t="n">
        <x:v>15.14</x:v>
      </x:c>
      <x:c r="V58" s="324" t="n">
        <x:v>258.41</x:v>
      </x:c>
      <x:c r="W58" s="324" t="n">
        <x:v>15.200588</x:v>
      </x:c>
      <x:c r="X58" s="324" t="n">
        <x:v>15.14</x:v>
      </x:c>
      <x:c r="Y58" s="324" t="n">
        <x:v>15.24</x:v>
      </x:c>
      <x:c r="Z58" s="324" t="n">
        <x:v>0.1</x:v>
      </x:c>
      <x:c r="AA58" s="292" t="str">
        <x:v>PROBABLE</x:v>
      </x:c>
      <x:c r="AB58" s="293" t="str">
        <x:v>61CE59811385ED85F485F285F485F485ED85ED85F285F285ED85F285EF85ED85F285F285EF85EA</x:v>
      </x:c>
    </x:row>
    <x:row r="59" ht="15" hidden="0" customHeight="1">
      <x:c r="A59" s="318" t="n">
        <x:v>252440535</x:v>
      </x:c>
      <x:c r="B59" s="301" t="n">
        <x:v>252444912</x:v>
      </x:c>
      <x:c r="C59" s="321" t="n">
        <x:v>232.707456</x:v>
      </x:c>
      <x:c r="D59" s="292" t="str">
        <x:v>598113</x:v>
      </x:c>
      <x:c r="E59" s="324" t="n">
        <x:v>15.22</x:v>
      </x:c>
      <x:c r="F59" s="324" t="n">
        <x:v>15.14</x:v>
      </x:c>
      <x:c r="G59" s="324" t="n">
        <x:v>15.22</x:v>
      </x:c>
      <x:c r="H59" s="324" t="n">
        <x:v>15.19</x:v>
      </x:c>
      <x:c r="I59" s="324" t="n">
        <x:v>15.24</x:v>
      </x:c>
      <x:c r="J59" s="324" t="n">
        <x:v>15.17</x:v>
      </x:c>
      <x:c r="K59" s="324" t="n">
        <x:v>15.17</x:v>
      </x:c>
      <x:c r="L59" s="324" t="n">
        <x:v>15.22</x:v>
      </x:c>
      <x:c r="M59" s="324" t="n">
        <x:v>15.22</x:v>
      </x:c>
      <x:c r="N59" s="324" t="n">
        <x:v>15.14</x:v>
      </x:c>
      <x:c r="O59" s="324" t="n">
        <x:v>15.19</x:v>
      </x:c>
      <x:c r="P59" s="324" t="n">
        <x:v>15.17</x:v>
      </x:c>
      <x:c r="Q59" s="324" t="n">
        <x:v>15.22</x:v>
      </x:c>
      <x:c r="R59" s="324" t="n">
        <x:v>15.17</x:v>
      </x:c>
      <x:c r="S59" s="324" t="n">
        <x:v>15.22</x:v>
      </x:c>
      <x:c r="T59" s="324" t="n">
        <x:v>15.24</x:v>
      </x:c>
      <x:c r="U59" s="324" t="n">
        <x:v>15.19</x:v>
      </x:c>
      <x:c r="V59" s="324" t="n">
        <x:v>258.33</x:v>
      </x:c>
      <x:c r="W59" s="324" t="n">
        <x:v>15.195882</x:v>
      </x:c>
      <x:c r="X59" s="324" t="n">
        <x:v>15.14</x:v>
      </x:c>
      <x:c r="Y59" s="324" t="n">
        <x:v>15.24</x:v>
      </x:c>
      <x:c r="Z59" s="324" t="n">
        <x:v>0.1</x:v>
      </x:c>
      <x:c r="AA59" s="292" t="str">
        <x:v>PROBABLE</x:v>
      </x:c>
      <x:c r="AB59" s="293" t="str">
        <x:v>61CE59811385F285EA85F285EF85F485ED85ED85F285F285EA85EF85ED85F285ED85F285F485EF</x:v>
      </x:c>
    </x:row>
    <x:row r="60" ht="15" hidden="0" customHeight="1">
      <x:c r="A60" s="318" t="n">
        <x:v>253046690</x:v>
      </x:c>
      <x:c r="B60" s="301" t="n">
        <x:v>253051024</x:v>
      </x:c>
      <x:c r="C60" s="321" t="n">
        <x:v>233.313605</x:v>
      </x:c>
      <x:c r="D60" s="292" t="str">
        <x:v>598113</x:v>
      </x:c>
      <x:c r="E60" s="324" t="n">
        <x:v>15.22</x:v>
      </x:c>
      <x:c r="F60" s="324" t="n">
        <x:v>15.14</x:v>
      </x:c>
      <x:c r="G60" s="324" t="n">
        <x:v>15.22</x:v>
      </x:c>
      <x:c r="H60" s="324" t="n">
        <x:v>15.19</x:v>
      </x:c>
      <x:c r="I60" s="324" t="n">
        <x:v>15.24</x:v>
      </x:c>
      <x:c r="J60" s="324" t="n">
        <x:v>15.17</x:v>
      </x:c>
      <x:c r="K60" s="324" t="n">
        <x:v>15.17</x:v>
      </x:c>
      <x:c r="L60" s="324" t="n">
        <x:v>15.22</x:v>
      </x:c>
      <x:c r="M60" s="324" t="n">
        <x:v>15.22</x:v>
      </x:c>
      <x:c r="N60" s="324" t="n">
        <x:v>15.14</x:v>
      </x:c>
      <x:c r="O60" s="324" t="n">
        <x:v>15.17</x:v>
      </x:c>
      <x:c r="P60" s="324" t="n">
        <x:v>15.17</x:v>
      </x:c>
      <x:c r="Q60" s="324" t="n">
        <x:v>15.22</x:v>
      </x:c>
      <x:c r="R60" s="324" t="n">
        <x:v>15.17</x:v>
      </x:c>
      <x:c r="S60" s="324" t="n">
        <x:v>15.22</x:v>
      </x:c>
      <x:c r="T60" s="324" t="n">
        <x:v>15.24</x:v>
      </x:c>
      <x:c r="U60" s="324" t="n">
        <x:v>15.19</x:v>
      </x:c>
      <x:c r="V60" s="324" t="n">
        <x:v>258.31</x:v>
      </x:c>
      <x:c r="W60" s="324" t="n">
        <x:v>15.194706</x:v>
      </x:c>
      <x:c r="X60" s="324" t="n">
        <x:v>15.14</x:v>
      </x:c>
      <x:c r="Y60" s="324" t="n">
        <x:v>15.24</x:v>
      </x:c>
      <x:c r="Z60" s="324" t="n">
        <x:v>0.1</x:v>
      </x:c>
      <x:c r="AA60" s="292" t="str">
        <x:v>PROBABLE</x:v>
      </x:c>
      <x:c r="AB60" s="293" t="str">
        <x:v>61CE59811385F285EA85F285EF85F485ED85ED85F285F285EA85ED85ED85F285ED85F285F485EF</x:v>
      </x:c>
    </x:row>
    <x:row r="61" ht="15" hidden="0" customHeight="1">
      <x:c r="A61" s="318" t="n">
        <x:v>253648080</x:v>
      </x:c>
      <x:c r="B61" s="301" t="n">
        <x:v>253653026</x:v>
      </x:c>
      <x:c r="C61" s="321" t="n">
        <x:v>233.91499</x:v>
      </x:c>
      <x:c r="D61" s="292" t="str">
        <x:v>598113</x:v>
      </x:c>
      <x:c r="E61" s="324" t="n">
        <x:v>15.12</x:v>
      </x:c>
      <x:c r="F61" s="324" t="n">
        <x:v>15.24</x:v>
      </x:c>
      <x:c r="G61" s="324" t="n">
        <x:v>15.19</x:v>
      </x:c>
      <x:c r="H61" s="324" t="n">
        <x:v>15.19</x:v>
      </x:c>
      <x:c r="I61" s="324" t="n">
        <x:v>15.22</x:v>
      </x:c>
      <x:c r="J61" s="324" t="n">
        <x:v>15.17</x:v>
      </x:c>
      <x:c r="K61" s="324" t="n">
        <x:v>15.17</x:v>
      </x:c>
      <x:c r="L61" s="324" t="n">
        <x:v>15.19</x:v>
      </x:c>
      <x:c r="M61" s="324" t="n">
        <x:v>15.19</x:v>
      </x:c>
      <x:c r="N61" s="324" t="n">
        <x:v>15.14</x:v>
      </x:c>
      <x:c r="O61" s="324" t="n">
        <x:v>15.19</x:v>
      </x:c>
      <x:c r="P61" s="324" t="n">
        <x:v>15.17</x:v>
      </x:c>
      <x:c r="Q61" s="324" t="n">
        <x:v>15.22</x:v>
      </x:c>
      <x:c r="R61" s="324" t="n">
        <x:v>15.19</x:v>
      </x:c>
      <x:c r="S61" s="324" t="n">
        <x:v>15.22</x:v>
      </x:c>
      <x:c r="T61" s="324" t="n">
        <x:v>15.24</x:v>
      </x:c>
      <x:c r="U61" s="324" t="n">
        <x:v>15.14</x:v>
      </x:c>
      <x:c r="V61" s="324" t="n">
        <x:v>258.19</x:v>
      </x:c>
      <x:c r="W61" s="324" t="n">
        <x:v>15.187647</x:v>
      </x:c>
      <x:c r="X61" s="324" t="n">
        <x:v>15.12</x:v>
      </x:c>
      <x:c r="Y61" s="324" t="n">
        <x:v>15.24</x:v>
      </x:c>
      <x:c r="Z61" s="324" t="n">
        <x:v>0.12</x:v>
      </x:c>
      <x:c r="AA61" s="292" t="str">
        <x:v>PROBABLE</x:v>
      </x:c>
      <x:c r="AB61" s="293" t="str">
        <x:v>61CE59811385E885F485EF85EF85F285ED85ED85EF85EF85EA85EF85ED85F285EF85F285F485EA</x:v>
      </x:c>
    </x:row>
    <x:row r="62" ht="15" hidden="0" customHeight="1">
      <x:c r="A62" s="318" t="n">
        <x:v>254176818</x:v>
      </x:c>
      <x:c r="B62" s="301" t="n">
        <x:v>254181323</x:v>
      </x:c>
      <x:c r="C62" s="321" t="n">
        <x:v>234.443723</x:v>
      </x:c>
      <x:c r="D62" s="292" t="str">
        <x:v>598113</x:v>
      </x:c>
      <x:c r="E62" s="324" t="n">
        <x:v>15.12</x:v>
      </x:c>
      <x:c r="F62" s="324" t="n">
        <x:v>15.27</x:v>
      </x:c>
      <x:c r="G62" s="324" t="n">
        <x:v>15.19</x:v>
      </x:c>
      <x:c r="H62" s="324" t="n">
        <x:v>15.19</x:v>
      </x:c>
      <x:c r="I62" s="324" t="n">
        <x:v>15.22</x:v>
      </x:c>
      <x:c r="J62" s="324" t="n">
        <x:v>15.19</x:v>
      </x:c>
      <x:c r="K62" s="324" t="n">
        <x:v>15.17</x:v>
      </x:c>
      <x:c r="L62" s="324" t="n">
        <x:v>15.19</x:v>
      </x:c>
      <x:c r="M62" s="324" t="n">
        <x:v>15.17</x:v>
      </x:c>
      <x:c r="N62" s="324" t="n">
        <x:v>15.17</x:v>
      </x:c>
      <x:c r="O62" s="324" t="n">
        <x:v>15.17</x:v>
      </x:c>
      <x:c r="P62" s="324" t="n">
        <x:v>15.17</x:v>
      </x:c>
      <x:c r="Q62" s="324" t="n">
        <x:v>15.22</x:v>
      </x:c>
      <x:c r="R62" s="324" t="n">
        <x:v>15.19</x:v>
      </x:c>
      <x:c r="S62" s="324" t="n">
        <x:v>15.19</x:v>
      </x:c>
      <x:c r="T62" s="324" t="n">
        <x:v>15.24</x:v>
      </x:c>
      <x:c r="U62" s="324" t="n">
        <x:v>15.14</x:v>
      </x:c>
      <x:c r="V62" s="324" t="n">
        <x:v>258.2</x:v>
      </x:c>
      <x:c r="W62" s="324" t="n">
        <x:v>15.188235</x:v>
      </x:c>
      <x:c r="X62" s="324" t="n">
        <x:v>15.12</x:v>
      </x:c>
      <x:c r="Y62" s="324" t="n">
        <x:v>15.27</x:v>
      </x:c>
      <x:c r="Z62" s="324" t="n">
        <x:v>0.15</x:v>
      </x:c>
      <x:c r="AA62" s="292" t="str">
        <x:v>PROBABLE</x:v>
      </x:c>
      <x:c r="AB62" s="293" t="str">
        <x:v>61CE59811385E885F785EF85EF85F285EF85ED85EF85ED85ED85ED85ED85F285EF85EF85F485EA</x:v>
      </x:c>
    </x:row>
    <x:row r="63" ht="15" hidden="0" customHeight="1">
      <x:c r="A63" s="318" t="n">
        <x:v>255109631</x:v>
      </x:c>
      <x:c r="B63" s="301" t="n">
        <x:v>255110959</x:v>
      </x:c>
      <x:c r="C63" s="321" t="n">
        <x:v>235.376527</x:v>
      </x:c>
      <x:c r="D63" s="292" t="str">
        <x:v>598113</x:v>
      </x:c>
      <x:c r="E63" s="324" t="n">
        <x:v>15.19</x:v>
      </x:c>
      <x:c r="F63" s="324" t="n">
        <x:v>15.14</x:v>
      </x:c>
      <x:c r="G63" s="324" t="n">
        <x:v>15.19</x:v>
      </x:c>
      <x:c r="H63" s="324" t="n">
        <x:v>15.17</x:v>
      </x:c>
      <x:c r="I63" s="324" t="n">
        <x:v>15.22</x:v>
      </x:c>
      <x:c r="J63" s="324" t="n">
        <x:v>15.14</x:v>
      </x:c>
      <x:c r="K63" s="324" t="n">
        <x:v>15.17</x:v>
      </x:c>
      <x:c r="L63" s="324" t="n">
        <x:v>15.19</x:v>
      </x:c>
      <x:c r="M63" s="324" t="n">
        <x:v>15.19</x:v>
      </x:c>
      <x:c r="N63" s="324" t="n">
        <x:v>15.12</x:v>
      </x:c>
      <x:c r="O63" s="324" t="n">
        <x:v>15.17</x:v>
      </x:c>
      <x:c r="P63" s="324" t="n">
        <x:v>15.14</x:v>
      </x:c>
      <x:c r="Q63" s="324" t="n">
        <x:v>15.22</x:v>
      </x:c>
      <x:c r="R63" s="324" t="n">
        <x:v>15.17</x:v>
      </x:c>
      <x:c r="S63" s="324" t="n">
        <x:v>15.19</x:v>
      </x:c>
      <x:c r="T63" s="324" t="n">
        <x:v>15.24</x:v>
      </x:c>
      <x:c r="U63" s="324" t="n">
        <x:v>15.17</x:v>
      </x:c>
      <x:c r="V63" s="324" t="n">
        <x:v>258.02</x:v>
      </x:c>
      <x:c r="W63" s="324" t="n">
        <x:v>15.177647</x:v>
      </x:c>
      <x:c r="X63" s="324" t="n">
        <x:v>15.12</x:v>
      </x:c>
      <x:c r="Y63" s="324" t="n">
        <x:v>15.24</x:v>
      </x:c>
      <x:c r="Z63" s="324" t="n">
        <x:v>0.12</x:v>
      </x:c>
      <x:c r="AA63" s="292" t="str">
        <x:v>PROBABLE</x:v>
      </x:c>
      <x:c r="AB63" s="293" t="str">
        <x:v>61CE59811385EF85EA85EF85ED85F285EA85ED85EF85EF85E885ED85EA85F285ED85EF85F485ED</x:v>
      </x:c>
    </x:row>
    <x:row r="64" ht="15" hidden="0" customHeight="1">
      <x:c r="A64" s="318" t="n">
        <x:v>256248148</x:v>
      </x:c>
      <x:c r="B64" s="301" t="n">
        <x:v>256250081</x:v>
      </x:c>
      <x:c r="C64" s="321" t="n">
        <x:v>236.515033</x:v>
      </x:c>
      <x:c r="D64" s="292" t="str">
        <x:v>598113</x:v>
      </x:c>
      <x:c r="E64" s="324" t="n">
        <x:v>15.12</x:v>
      </x:c>
      <x:c r="F64" s="324" t="n">
        <x:v>15.24</x:v>
      </x:c>
      <x:c r="G64" s="324" t="n">
        <x:v>15.19</x:v>
      </x:c>
      <x:c r="H64" s="324" t="n">
        <x:v>15.19</x:v>
      </x:c>
      <x:c r="I64" s="324" t="n">
        <x:v>15.22</x:v>
      </x:c>
      <x:c r="J64" s="324" t="n">
        <x:v>15.17</x:v>
      </x:c>
      <x:c r="K64" s="324" t="n">
        <x:v>15.17</x:v>
      </x:c>
      <x:c r="L64" s="324" t="n">
        <x:v>15.19</x:v>
      </x:c>
      <x:c r="M64" s="324" t="n">
        <x:v>15.17</x:v>
      </x:c>
      <x:c r="N64" s="324" t="n">
        <x:v>15.14</x:v>
      </x:c>
      <x:c r="O64" s="324" t="n">
        <x:v>15.17</x:v>
      </x:c>
      <x:c r="P64" s="324" t="n">
        <x:v>15.17</x:v>
      </x:c>
      <x:c r="Q64" s="324" t="n">
        <x:v>15.22</x:v>
      </x:c>
      <x:c r="R64" s="324" t="n">
        <x:v>15.17</x:v>
      </x:c>
      <x:c r="S64" s="324" t="n">
        <x:v>15.19</x:v>
      </x:c>
      <x:c r="T64" s="324" t="n">
        <x:v>15.24</x:v>
      </x:c>
      <x:c r="U64" s="324" t="n">
        <x:v>15.14</x:v>
      </x:c>
      <x:c r="V64" s="324" t="n">
        <x:v>258.1</x:v>
      </x:c>
      <x:c r="W64" s="324" t="n">
        <x:v>15.182353</x:v>
      </x:c>
      <x:c r="X64" s="324" t="n">
        <x:v>15.12</x:v>
      </x:c>
      <x:c r="Y64" s="324" t="n">
        <x:v>15.24</x:v>
      </x:c>
      <x:c r="Z64" s="324" t="n">
        <x:v>0.12</x:v>
      </x:c>
      <x:c r="AA64" s="292" t="str">
        <x:v>PROBABLE</x:v>
      </x:c>
      <x:c r="AB64" s="293" t="str">
        <x:v>61CE59811385E885F485EF85EF85F285ED85ED85EF85ED85EA85ED85ED85F285ED85EF85F485EA</x:v>
      </x:c>
    </x:row>
    <x:row r="65" ht="15" hidden="0" customHeight="1">
      <x:c r="A65" s="318" t="n">
        <x:v>257162943</x:v>
      </x:c>
      <x:c r="B65" s="301" t="n">
        <x:v>257166860</x:v>
      </x:c>
      <x:c r="C65" s="321" t="n">
        <x:v>237.429819</x:v>
      </x:c>
      <x:c r="D65" s="292" t="str">
        <x:v>598113</x:v>
      </x:c>
      <x:c r="E65" s="324" t="n">
        <x:v>15.17</x:v>
      </x:c>
      <x:c r="F65" s="324" t="n">
        <x:v>15.22</x:v>
      </x:c>
      <x:c r="G65" s="324" t="n">
        <x:v>15.17</x:v>
      </x:c>
      <x:c r="H65" s="324" t="n">
        <x:v>15.22</x:v>
      </x:c>
      <x:c r="I65" s="324" t="n">
        <x:v>15.22</x:v>
      </x:c>
      <x:c r="J65" s="324" t="n">
        <x:v>15.17</x:v>
      </x:c>
      <x:c r="K65" s="324" t="n">
        <x:v>15.17</x:v>
      </x:c>
      <x:c r="L65" s="324" t="n">
        <x:v>15.19</x:v>
      </x:c>
      <x:c r="M65" s="324" t="n">
        <x:v>15.19</x:v>
      </x:c>
      <x:c r="N65" s="324" t="n">
        <x:v>15.12</x:v>
      </x:c>
      <x:c r="O65" s="324" t="n">
        <x:v>15.17</x:v>
      </x:c>
      <x:c r="P65" s="324" t="n">
        <x:v>15.14</x:v>
      </x:c>
      <x:c r="Q65" s="324" t="n">
        <x:v>15.14</x:v>
      </x:c>
      <x:c r="R65" s="324" t="n">
        <x:v>15.19</x:v>
      </x:c>
      <x:c r="S65" s="324" t="n">
        <x:v>15.22</x:v>
      </x:c>
      <x:c r="T65" s="324" t="n">
        <x:v>15.17</x:v>
      </x:c>
      <x:c r="U65" s="324" t="n">
        <x:v>15.12</x:v>
      </x:c>
      <x:c r="V65" s="324" t="n">
        <x:v>257.99</x:v>
      </x:c>
      <x:c r="W65" s="324" t="n">
        <x:v>15.175882</x:v>
      </x:c>
      <x:c r="X65" s="324" t="n">
        <x:v>15.12</x:v>
      </x:c>
      <x:c r="Y65" s="324" t="n">
        <x:v>15.22</x:v>
      </x:c>
      <x:c r="Z65" s="324" t="n">
        <x:v>0.1</x:v>
      </x:c>
      <x:c r="AA65" s="292" t="str">
        <x:v>PROBABLE</x:v>
      </x:c>
      <x:c r="AB65" s="293" t="str">
        <x:v>61CE59811385ED85F285ED85F285F285ED85ED85EF85EF85E885ED85EA85EA85EF85F285ED85E8</x:v>
      </x:c>
    </x:row>
    <x:row r="66" ht="15" hidden="0" customHeight="1">
      <x:c r="A66" s="318" t="n">
        <x:v>257714261</x:v>
      </x:c>
      <x:c r="B66" s="301" t="n">
        <x:v>257715582</x:v>
      </x:c>
      <x:c r="C66" s="321" t="n">
        <x:v>237.981132</x:v>
      </x:c>
      <x:c r="D66" s="292" t="str">
        <x:v>598113</x:v>
      </x:c>
      <x:c r="E66" s="324" t="n">
        <x:v>15.17</x:v>
      </x:c>
      <x:c r="F66" s="324" t="n">
        <x:v>15.19</x:v>
      </x:c>
      <x:c r="G66" s="324" t="n">
        <x:v>15.17</x:v>
      </x:c>
      <x:c r="H66" s="324" t="n">
        <x:v>15.22</x:v>
      </x:c>
      <x:c r="I66" s="324" t="n">
        <x:v>15.22</x:v>
      </x:c>
      <x:c r="J66" s="324" t="n">
        <x:v>15.17</x:v>
      </x:c>
      <x:c r="K66" s="324" t="n">
        <x:v>15.17</x:v>
      </x:c>
      <x:c r="L66" s="324" t="n">
        <x:v>15.19</x:v>
      </x:c>
      <x:c r="M66" s="324" t="n">
        <x:v>15.17</x:v>
      </x:c>
      <x:c r="N66" s="324" t="n">
        <x:v>15.12</x:v>
      </x:c>
      <x:c r="O66" s="324" t="n">
        <x:v>15.17</x:v>
      </x:c>
      <x:c r="P66" s="324" t="n">
        <x:v>15.17</x:v>
      </x:c>
      <x:c r="Q66" s="324" t="n">
        <x:v>15.14</x:v>
      </x:c>
      <x:c r="R66" s="324" t="n">
        <x:v>15.19</x:v>
      </x:c>
      <x:c r="S66" s="324" t="n">
        <x:v>15.22</x:v>
      </x:c>
      <x:c r="T66" s="324" t="n">
        <x:v>15.17</x:v>
      </x:c>
      <x:c r="U66" s="324" t="n">
        <x:v>15.09</x:v>
      </x:c>
      <x:c r="V66" s="324" t="n">
        <x:v>257.94</x:v>
      </x:c>
      <x:c r="W66" s="324" t="n">
        <x:v>15.172941</x:v>
      </x:c>
      <x:c r="X66" s="324" t="n">
        <x:v>15.09</x:v>
      </x:c>
      <x:c r="Y66" s="324" t="n">
        <x:v>15.22</x:v>
      </x:c>
      <x:c r="Z66" s="324" t="n">
        <x:v>0.13</x:v>
      </x:c>
      <x:c r="AA66" s="292" t="str">
        <x:v>PROBABLE</x:v>
      </x:c>
      <x:c r="AB66" s="293" t="str">
        <x:v>61CE59811385ED85EF85ED85F285F285ED85ED85EF85ED85E885ED85ED85EA85EF85F285ED85E5</x:v>
      </x:c>
    </x:row>
    <x:row r="67" ht="15" hidden="0" customHeight="1">
      <x:c r="A67" s="318" t="n">
        <x:v>258231837</x:v>
      </x:c>
      <x:c r="B67" s="301" t="n">
        <x:v>258235695</x:v>
      </x:c>
      <x:c r="C67" s="321" t="n">
        <x:v>238.498703</x:v>
      </x:c>
      <x:c r="D67" s="292" t="str">
        <x:v>598113</x:v>
      </x:c>
      <x:c r="E67" s="324" t="n">
        <x:v>15.17</x:v>
      </x:c>
      <x:c r="F67" s="324" t="n">
        <x:v>15.19</x:v>
      </x:c>
      <x:c r="G67" s="324" t="n">
        <x:v>15.17</x:v>
      </x:c>
      <x:c r="H67" s="324" t="n">
        <x:v>15.22</x:v>
      </x:c>
      <x:c r="I67" s="324" t="n">
        <x:v>15.22</x:v>
      </x:c>
      <x:c r="J67" s="324" t="n">
        <x:v>15.14</x:v>
      </x:c>
      <x:c r="K67" s="324" t="n">
        <x:v>15.17</x:v>
      </x:c>
      <x:c r="L67" s="324" t="n">
        <x:v>15.19</x:v>
      </x:c>
      <x:c r="M67" s="324" t="n">
        <x:v>15.17</x:v>
      </x:c>
      <x:c r="N67" s="324" t="n">
        <x:v>15.12</x:v>
      </x:c>
      <x:c r="O67" s="324" t="n">
        <x:v>15.17</x:v>
      </x:c>
      <x:c r="P67" s="324" t="n">
        <x:v>15.17</x:v>
      </x:c>
      <x:c r="Q67" s="324" t="n">
        <x:v>15.14</x:v>
      </x:c>
      <x:c r="R67" s="324" t="n">
        <x:v>15.19</x:v>
      </x:c>
      <x:c r="S67" s="324" t="n">
        <x:v>15.22</x:v>
      </x:c>
      <x:c r="T67" s="324" t="n">
        <x:v>15.17</x:v>
      </x:c>
      <x:c r="U67" s="324" t="n">
        <x:v>15.09</x:v>
      </x:c>
      <x:c r="V67" s="324" t="n">
        <x:v>257.91</x:v>
      </x:c>
      <x:c r="W67" s="324" t="n">
        <x:v>15.171176</x:v>
      </x:c>
      <x:c r="X67" s="324" t="n">
        <x:v>15.09</x:v>
      </x:c>
      <x:c r="Y67" s="324" t="n">
        <x:v>15.22</x:v>
      </x:c>
      <x:c r="Z67" s="324" t="n">
        <x:v>0.13</x:v>
      </x:c>
      <x:c r="AA67" s="292" t="str">
        <x:v>PROBABLE</x:v>
      </x:c>
      <x:c r="AB67" s="293" t="str">
        <x:v>61CE59811385ED85EF85ED85F285F285EA85ED85EF85ED85E885ED85ED85EA85EF85F285ED85E5</x:v>
      </x:c>
    </x:row>
    <x:row r="68" ht="15" hidden="0" customHeight="1">
      <x:c r="A68" s="318" t="n">
        <x:v>258774202</x:v>
      </x:c>
      <x:c r="B68" s="301" t="n">
        <x:v>258776276</x:v>
      </x:c>
      <x:c r="C68" s="321" t="n">
        <x:v>239.041063</x:v>
      </x:c>
      <x:c r="D68" s="292" t="str">
        <x:v>598113</x:v>
      </x:c>
      <x:c r="E68" s="324" t="n">
        <x:v>15.17</x:v>
      </x:c>
      <x:c r="F68" s="324" t="n">
        <x:v>15.19</x:v>
      </x:c>
      <x:c r="G68" s="324" t="n">
        <x:v>15.17</x:v>
      </x:c>
      <x:c r="H68" s="324" t="n">
        <x:v>15.22</x:v>
      </x:c>
      <x:c r="I68" s="324" t="n">
        <x:v>15.22</x:v>
      </x:c>
      <x:c r="J68" s="324" t="n">
        <x:v>15.14</x:v>
      </x:c>
      <x:c r="K68" s="324" t="n">
        <x:v>15.17</x:v>
      </x:c>
      <x:c r="L68" s="324" t="n">
        <x:v>15.19</x:v>
      </x:c>
      <x:c r="M68" s="324" t="n">
        <x:v>15.19</x:v>
      </x:c>
      <x:c r="N68" s="324" t="n">
        <x:v>15.12</x:v>
      </x:c>
      <x:c r="O68" s="324" t="n">
        <x:v>15.17</x:v>
      </x:c>
      <x:c r="P68" s="324" t="n">
        <x:v>15.14</x:v>
      </x:c>
      <x:c r="Q68" s="324" t="n">
        <x:v>15.14</x:v>
      </x:c>
      <x:c r="R68" s="324" t="n">
        <x:v>15.19</x:v>
      </x:c>
      <x:c r="S68" s="324" t="n">
        <x:v>15.19</x:v>
      </x:c>
      <x:c r="T68" s="324" t="n">
        <x:v>15.17</x:v>
      </x:c>
      <x:c r="U68" s="324" t="n">
        <x:v>15.12</x:v>
      </x:c>
      <x:c r="V68" s="324" t="n">
        <x:v>257.9</x:v>
      </x:c>
      <x:c r="W68" s="324" t="n">
        <x:v>15.170588</x:v>
      </x:c>
      <x:c r="X68" s="324" t="n">
        <x:v>15.12</x:v>
      </x:c>
      <x:c r="Y68" s="324" t="n">
        <x:v>15.22</x:v>
      </x:c>
      <x:c r="Z68" s="324" t="n">
        <x:v>0.1</x:v>
      </x:c>
      <x:c r="AA68" s="292" t="str">
        <x:v>PROBABLE</x:v>
      </x:c>
      <x:c r="AB68" s="293" t="str">
        <x:v>61CE59811385ED85EF85ED85F285F285EA85ED85EF85EF85E885ED85EA85EA85EF85EF85ED85E8</x:v>
      </x:c>
    </x:row>
    <x:row r="69" ht="15" hidden="0" customHeight="1">
      <x:c r="A69" s="318" t="n">
        <x:v>259400444</x:v>
      </x:c>
      <x:c r="B69" s="301" t="n">
        <x:v>259402845</x:v>
      </x:c>
      <x:c r="C69" s="321" t="n">
        <x:v>239.667299</x:v>
      </x:c>
      <x:c r="D69" s="292" t="str">
        <x:v>598113</x:v>
      </x:c>
      <x:c r="E69" s="324" t="n">
        <x:v>15.17</x:v>
      </x:c>
      <x:c r="F69" s="324" t="n">
        <x:v>15.14</x:v>
      </x:c>
      <x:c r="G69" s="324" t="n">
        <x:v>15.17</x:v>
      </x:c>
      <x:c r="H69" s="324" t="n">
        <x:v>15.17</x:v>
      </x:c>
      <x:c r="I69" s="324" t="n">
        <x:v>15.22</x:v>
      </x:c>
      <x:c r="J69" s="324" t="n">
        <x:v>15.12</x:v>
      </x:c>
      <x:c r="K69" s="324" t="n">
        <x:v>15.14</x:v>
      </x:c>
      <x:c r="L69" s="324" t="n">
        <x:v>15.17</x:v>
      </x:c>
      <x:c r="M69" s="324" t="n">
        <x:v>15.17</x:v>
      </x:c>
      <x:c r="N69" s="324" t="n">
        <x:v>15.12</x:v>
      </x:c>
      <x:c r="O69" s="324" t="n">
        <x:v>15.17</x:v>
      </x:c>
      <x:c r="P69" s="324" t="n">
        <x:v>15.14</x:v>
      </x:c>
      <x:c r="Q69" s="324" t="n">
        <x:v>15.22</x:v>
      </x:c>
      <x:c r="R69" s="324" t="n">
        <x:v>15.17</x:v>
      </x:c>
      <x:c r="S69" s="324" t="n">
        <x:v>15.17</x:v>
      </x:c>
      <x:c r="T69" s="324" t="n">
        <x:v>15.22</x:v>
      </x:c>
      <x:c r="U69" s="324" t="n">
        <x:v>15.14</x:v>
      </x:c>
      <x:c r="V69" s="324" t="n">
        <x:v>257.82</x:v>
      </x:c>
      <x:c r="W69" s="324" t="n">
        <x:v>15.165882</x:v>
      </x:c>
      <x:c r="X69" s="324" t="n">
        <x:v>15.12</x:v>
      </x:c>
      <x:c r="Y69" s="324" t="n">
        <x:v>15.22</x:v>
      </x:c>
      <x:c r="Z69" s="324" t="n">
        <x:v>0.1</x:v>
      </x:c>
      <x:c r="AA69" s="292" t="str">
        <x:v>PROBABLE</x:v>
      </x:c>
      <x:c r="AB69" s="293" t="str">
        <x:v>61CE59811385ED85EA85ED85ED85F285E885EA85ED85ED85E885ED85EA85F285ED85ED85F285EA</x:v>
      </x:c>
    </x:row>
    <x:row r="70" ht="15" hidden="0" customHeight="1">
      <x:c r="A70" s="318" t="n">
        <x:v>259949685</x:v>
      </x:c>
      <x:c r="B70" s="301" t="n">
        <x:v>259951618</x:v>
      </x:c>
      <x:c r="C70" s="321" t="n">
        <x:v>240.216535</x:v>
      </x:c>
      <x:c r="D70" s="292" t="str">
        <x:v>598113</x:v>
      </x:c>
      <x:c r="E70" s="324" t="n">
        <x:v>15.17</x:v>
      </x:c>
      <x:c r="F70" s="324" t="n">
        <x:v>15.14</x:v>
      </x:c>
      <x:c r="G70" s="324" t="n">
        <x:v>15.17</x:v>
      </x:c>
      <x:c r="H70" s="324" t="n">
        <x:v>15.17</x:v>
      </x:c>
      <x:c r="I70" s="324" t="n">
        <x:v>15.22</x:v>
      </x:c>
      <x:c r="J70" s="324" t="n">
        <x:v>15.14</x:v>
      </x:c>
      <x:c r="K70" s="324" t="n">
        <x:v>15.14</x:v>
      </x:c>
      <x:c r="L70" s="324" t="n">
        <x:v>15.17</x:v>
      </x:c>
      <x:c r="M70" s="324" t="n">
        <x:v>15.17</x:v>
      </x:c>
      <x:c r="N70" s="324" t="n">
        <x:v>15.14</x:v>
      </x:c>
      <x:c r="O70" s="324" t="n">
        <x:v>15.14</x:v>
      </x:c>
      <x:c r="P70" s="324" t="n">
        <x:v>15.14</x:v>
      </x:c>
      <x:c r="Q70" s="324" t="n">
        <x:v>15.19</x:v>
      </x:c>
      <x:c r="R70" s="324" t="n">
        <x:v>15.17</x:v>
      </x:c>
      <x:c r="S70" s="324" t="n">
        <x:v>15.17</x:v>
      </x:c>
      <x:c r="T70" s="324" t="n">
        <x:v>15.22</x:v>
      </x:c>
      <x:c r="U70" s="324" t="n">
        <x:v>15.14</x:v>
      </x:c>
      <x:c r="V70" s="324" t="n">
        <x:v>257.8</x:v>
      </x:c>
      <x:c r="W70" s="324" t="n">
        <x:v>15.164706</x:v>
      </x:c>
      <x:c r="X70" s="324" t="n">
        <x:v>15.14</x:v>
      </x:c>
      <x:c r="Y70" s="324" t="n">
        <x:v>15.22</x:v>
      </x:c>
      <x:c r="Z70" s="324" t="n">
        <x:v>0.08</x:v>
      </x:c>
      <x:c r="AA70" s="292" t="str">
        <x:v>PROBABLE</x:v>
      </x:c>
      <x:c r="AB70" s="293" t="str">
        <x:v>61CE59811385ED85EA85ED85ED85F285EA85EA85ED85ED85EA85EA85EA85EF85ED85ED85F285EA</x:v>
      </x:c>
    </x:row>
    <x:row r="71" ht="15" hidden="0" customHeight="1">
      <x:c r="A71" s="318" t="n">
        <x:v>260496701</x:v>
      </x:c>
      <x:c r="B71" s="301" t="n">
        <x:v>260500390</x:v>
      </x:c>
      <x:c r="C71" s="321" t="n">
        <x:v>240.763546</x:v>
      </x:c>
      <x:c r="D71" s="292" t="str">
        <x:v>588113</x:v>
      </x:c>
      <x:c r="E71" s="324" t="n">
        <x:v>15.17</x:v>
      </x:c>
      <x:c r="F71" s="324" t="n">
        <x:v>15.14</x:v>
      </x:c>
      <x:c r="G71" s="324" t="n">
        <x:v>15.17</x:v>
      </x:c>
      <x:c r="H71" s="324" t="n">
        <x:v>15.17</x:v>
      </x:c>
      <x:c r="I71" s="324" t="n">
        <x:v>15.22</x:v>
      </x:c>
      <x:c r="J71" s="324" t="n">
        <x:v>15.14</x:v>
      </x:c>
      <x:c r="K71" s="324" t="n">
        <x:v>15.14</x:v>
      </x:c>
      <x:c r="L71" s="324" t="n">
        <x:v>15.17</x:v>
      </x:c>
      <x:c r="M71" s="324" t="n">
        <x:v>15.17</x:v>
      </x:c>
      <x:c r="N71" s="324" t="n">
        <x:v>15.14</x:v>
      </x:c>
      <x:c r="O71" s="324" t="n">
        <x:v>15.14</x:v>
      </x:c>
      <x:c r="P71" s="324" t="n">
        <x:v>15.14</x:v>
      </x:c>
      <x:c r="Q71" s="324" t="n">
        <x:v>15.19</x:v>
      </x:c>
      <x:c r="R71" s="324" t="n">
        <x:v>15.17</x:v>
      </x:c>
      <x:c r="S71" s="324" t="n">
        <x:v>15.14</x:v>
      </x:c>
      <x:c r="T71" s="324" t="n">
        <x:v>15.22</x:v>
      </x:c>
      <x:c r="U71" s="324" t="n">
        <x:v>15.14</x:v>
      </x:c>
      <x:c r="V71" s="324" t="n">
        <x:v>257.77</x:v>
      </x:c>
      <x:c r="W71" s="324" t="n">
        <x:v>15.162941</x:v>
      </x:c>
      <x:c r="X71" s="324" t="n">
        <x:v>15.14</x:v>
      </x:c>
      <x:c r="Y71" s="324" t="n">
        <x:v>15.22</x:v>
      </x:c>
      <x:c r="Z71" s="324" t="n">
        <x:v>0.08</x:v>
      </x:c>
      <x:c r="AA71" s="292" t="str">
        <x:v>PROBABLE</x:v>
      </x:c>
      <x:c r="AB71" s="293" t="str">
        <x:v>61CE58811385ED85EA85ED85ED85F285EA85EA85ED85ED85EA85EA85EA85EF85ED85EA85F285EA</x:v>
      </x:c>
    </x:row>
    <x:row r="72" ht="15" hidden="0" customHeight="1">
      <x:c r="A72" s="318" t="n">
        <x:v>261604259</x:v>
      </x:c>
      <x:c r="B72" s="301" t="n">
        <x:v>261606123</x:v>
      </x:c>
      <x:c r="C72" s="321" t="n">
        <x:v>241.871093</x:v>
      </x:c>
      <x:c r="D72" s="292" t="str">
        <x:v>588113</x:v>
      </x:c>
      <x:c r="E72" s="324" t="n">
        <x:v>15.09</x:v>
      </x:c>
      <x:c r="F72" s="324" t="n">
        <x:v>15.22</x:v>
      </x:c>
      <x:c r="G72" s="324" t="n">
        <x:v>15.17</x:v>
      </x:c>
      <x:c r="H72" s="324" t="n">
        <x:v>15.17</x:v>
      </x:c>
      <x:c r="I72" s="324" t="n">
        <x:v>15.19</x:v>
      </x:c>
      <x:c r="J72" s="324" t="n">
        <x:v>15.14</x:v>
      </x:c>
      <x:c r="K72" s="324" t="n">
        <x:v>15.14</x:v>
      </x:c>
      <x:c r="L72" s="324" t="n">
        <x:v>15.17</x:v>
      </x:c>
      <x:c r="M72" s="324" t="n">
        <x:v>15.17</x:v>
      </x:c>
      <x:c r="N72" s="324" t="n">
        <x:v>15.14</x:v>
      </x:c>
      <x:c r="O72" s="324" t="n">
        <x:v>15.17</x:v>
      </x:c>
      <x:c r="P72" s="324" t="n">
        <x:v>15.14</x:v>
      </x:c>
      <x:c r="Q72" s="324" t="n">
        <x:v>15.19</x:v>
      </x:c>
      <x:c r="R72" s="324" t="n">
        <x:v>15.17</x:v>
      </x:c>
      <x:c r="S72" s="324" t="n">
        <x:v>15.17</x:v>
      </x:c>
      <x:c r="T72" s="324" t="n">
        <x:v>15.22</x:v>
      </x:c>
      <x:c r="U72" s="324" t="n">
        <x:v>15.12</x:v>
      </x:c>
      <x:c r="V72" s="324" t="n">
        <x:v>257.78</x:v>
      </x:c>
      <x:c r="W72" s="324" t="n">
        <x:v>15.163529</x:v>
      </x:c>
      <x:c r="X72" s="324" t="n">
        <x:v>15.09</x:v>
      </x:c>
      <x:c r="Y72" s="324" t="n">
        <x:v>15.22</x:v>
      </x:c>
      <x:c r="Z72" s="324" t="n">
        <x:v>0.13</x:v>
      </x:c>
      <x:c r="AA72" s="292" t="str">
        <x:v>PROBABLE</x:v>
      </x:c>
      <x:c r="AB72" s="293" t="str">
        <x:v>61CE58811385E585F285ED85ED85EF85EA85EA85ED85ED85EA85ED85EA85EF85ED85ED85F285E8</x:v>
      </x:c>
    </x:row>
    <x:row r="73" ht="15" hidden="0" customHeight="1">
      <x:c r="A73" s="318" t="n">
        <x:v>262196716</x:v>
      </x:c>
      <x:c r="B73" s="301" t="n">
        <x:v>262199942</x:v>
      </x:c>
      <x:c r="C73" s="321" t="n">
        <x:v>242.463545</x:v>
      </x:c>
      <x:c r="D73" s="292" t="str">
        <x:v>588113</x:v>
      </x:c>
      <x:c r="E73" s="324" t="n">
        <x:v>15.12</x:v>
      </x:c>
      <x:c r="F73" s="324" t="n">
        <x:v>15.19</x:v>
      </x:c>
      <x:c r="G73" s="324" t="n">
        <x:v>15.17</x:v>
      </x:c>
      <x:c r="H73" s="324" t="n">
        <x:v>15.19</x:v>
      </x:c>
      <x:c r="I73" s="324" t="n">
        <x:v>15.14</x:v>
      </x:c>
      <x:c r="J73" s="324" t="n">
        <x:v>15.17</x:v>
      </x:c>
      <x:c r="K73" s="324" t="n">
        <x:v>15.17</x:v>
      </x:c>
      <x:c r="L73" s="324" t="n">
        <x:v>15.12</x:v>
      </x:c>
      <x:c r="M73" s="324" t="n">
        <x:v>15.17</x:v>
      </x:c>
      <x:c r="N73" s="324" t="n">
        <x:v>15.12</x:v>
      </x:c>
      <x:c r="O73" s="324" t="n">
        <x:v>15.17</x:v>
      </x:c>
      <x:c r="P73" s="324" t="n">
        <x:v>15.14</x:v>
      </x:c>
      <x:c r="Q73" s="324" t="n">
        <x:v>15.17</x:v>
      </x:c>
      <x:c r="R73" s="324" t="n">
        <x:v>15.17</x:v>
      </x:c>
      <x:c r="S73" s="324" t="n">
        <x:v>15.17</x:v>
      </x:c>
      <x:c r="T73" s="324" t="n">
        <x:v>15.22</x:v>
      </x:c>
      <x:c r="U73" s="324" t="n">
        <x:v>15.09</x:v>
      </x:c>
      <x:c r="V73" s="324" t="n">
        <x:v>257.69</x:v>
      </x:c>
      <x:c r="W73" s="324" t="n">
        <x:v>15.158235</x:v>
      </x:c>
      <x:c r="X73" s="324" t="n">
        <x:v>15.09</x:v>
      </x:c>
      <x:c r="Y73" s="324" t="n">
        <x:v>15.22</x:v>
      </x:c>
      <x:c r="Z73" s="324" t="n">
        <x:v>0.13</x:v>
      </x:c>
      <x:c r="AA73" s="292" t="str">
        <x:v>PROBABLE</x:v>
      </x:c>
      <x:c r="AB73" s="293" t="str">
        <x:v>61CE58811385E885EF85ED85EF85EA85ED85ED85E885ED85E885ED85EA85ED85ED85ED85F285E5</x:v>
      </x:c>
    </x:row>
    <x:row r="74" ht="15" hidden="0" customHeight="1">
      <x:c r="A74" s="318" t="n">
        <x:v>262779406</x:v>
      </x:c>
      <x:c r="B74" s="301" t="n">
        <x:v>262782031</x:v>
      </x:c>
      <x:c r="C74" s="321" t="n">
        <x:v>243.046229</x:v>
      </x:c>
      <x:c r="D74" s="292" t="str">
        <x:v>588113</x:v>
      </x:c>
      <x:c r="E74" s="324" t="n">
        <x:v>15.12</x:v>
      </x:c>
      <x:c r="F74" s="324" t="n">
        <x:v>15.19</x:v>
      </x:c>
      <x:c r="G74" s="324" t="n">
        <x:v>15.14</x:v>
      </x:c>
      <x:c r="H74" s="324" t="n">
        <x:v>15.19</x:v>
      </x:c>
      <x:c r="I74" s="324" t="n">
        <x:v>15.19</x:v>
      </x:c>
      <x:c r="J74" s="324" t="n">
        <x:v>15.12</x:v>
      </x:c>
      <x:c r="K74" s="324" t="n">
        <x:v>15.12</x:v>
      </x:c>
      <x:c r="L74" s="324" t="n">
        <x:v>15.17</x:v>
      </x:c>
      <x:c r="M74" s="324" t="n">
        <x:v>15.12</x:v>
      </x:c>
      <x:c r="N74" s="324" t="n">
        <x:v>15.14</x:v>
      </x:c>
      <x:c r="O74" s="324" t="n">
        <x:v>15.17</x:v>
      </x:c>
      <x:c r="P74" s="324" t="n">
        <x:v>15.09</x:v>
      </x:c>
      <x:c r="Q74" s="324" t="n">
        <x:v>15.17</x:v>
      </x:c>
      <x:c r="R74" s="324" t="n">
        <x:v>15.14</x:v>
      </x:c>
      <x:c r="S74" s="324" t="n">
        <x:v>15.17</x:v>
      </x:c>
      <x:c r="T74" s="324" t="n">
        <x:v>15.22</x:v>
      </x:c>
      <x:c r="U74" s="324" t="n">
        <x:v>15.09</x:v>
      </x:c>
      <x:c r="V74" s="324" t="n">
        <x:v>257.55</x:v>
      </x:c>
      <x:c r="W74" s="324" t="n">
        <x:v>15.15</x:v>
      </x:c>
      <x:c r="X74" s="324" t="n">
        <x:v>15.09</x:v>
      </x:c>
      <x:c r="Y74" s="324" t="n">
        <x:v>15.22</x:v>
      </x:c>
      <x:c r="Z74" s="324" t="n">
        <x:v>0.13</x:v>
      </x:c>
      <x:c r="AA74" s="292" t="str">
        <x:v>PROBABLE</x:v>
      </x:c>
      <x:c r="AB74" s="293" t="str">
        <x:v>61CE58811385E885EF85EA85EF85EF85E885E885ED85E885EA85ED85E585ED85EA85ED85F285E5</x:v>
      </x:c>
    </x:row>
    <x:row r="75" ht="15" hidden="0" customHeight="1">
      <x:c r="A75" s="318" t="n">
        <x:v>263362966</x:v>
      </x:c>
      <x:c r="B75" s="301" t="n">
        <x:v>263367107</x:v>
      </x:c>
      <x:c r="C75" s="321" t="n">
        <x:v>243.629784</x:v>
      </x:c>
      <x:c r="D75" s="292" t="str">
        <x:v>588113</x:v>
      </x:c>
      <x:c r="E75" s="324" t="n">
        <x:v>15.12</x:v>
      </x:c>
      <x:c r="F75" s="324" t="n">
        <x:v>15.19</x:v>
      </x:c>
      <x:c r="G75" s="324" t="n">
        <x:v>15.14</x:v>
      </x:c>
      <x:c r="H75" s="324" t="n">
        <x:v>15.19</x:v>
      </x:c>
      <x:c r="I75" s="324" t="n">
        <x:v>15.19</x:v>
      </x:c>
      <x:c r="J75" s="324" t="n">
        <x:v>15.12</x:v>
      </x:c>
      <x:c r="K75" s="324" t="n">
        <x:v>15.12</x:v>
      </x:c>
      <x:c r="L75" s="324" t="n">
        <x:v>15.17</x:v>
      </x:c>
      <x:c r="M75" s="324" t="n">
        <x:v>15.09</x:v>
      </x:c>
      <x:c r="N75" s="324" t="n">
        <x:v>15.12</x:v>
      </x:c>
      <x:c r="O75" s="324" t="n">
        <x:v>15.17</x:v>
      </x:c>
      <x:c r="P75" s="324" t="n">
        <x:v>15.09</x:v>
      </x:c>
      <x:c r="Q75" s="324" t="n">
        <x:v>15.17</x:v>
      </x:c>
      <x:c r="R75" s="324" t="n">
        <x:v>15.17</x:v>
      </x:c>
      <x:c r="S75" s="324" t="n">
        <x:v>15.17</x:v>
      </x:c>
      <x:c r="T75" s="324" t="n">
        <x:v>15.22</x:v>
      </x:c>
      <x:c r="U75" s="324" t="n">
        <x:v>15.09</x:v>
      </x:c>
      <x:c r="V75" s="324" t="n">
        <x:v>257.53</x:v>
      </x:c>
      <x:c r="W75" s="324" t="n">
        <x:v>15.148824</x:v>
      </x:c>
      <x:c r="X75" s="324" t="n">
        <x:v>15.09</x:v>
      </x:c>
      <x:c r="Y75" s="324" t="n">
        <x:v>15.22</x:v>
      </x:c>
      <x:c r="Z75" s="324" t="n">
        <x:v>0.13</x:v>
      </x:c>
      <x:c r="AA75" s="292" t="str">
        <x:v>PROBABLE</x:v>
      </x:c>
      <x:c r="AB75" s="293" t="str">
        <x:v>61CE58811385E885EF85EA85EF85EF85E885E885ED85E585E885ED85E585ED85ED85ED85F285E5</x:v>
      </x:c>
    </x:row>
    <x:row r="76" ht="15" hidden="0" customHeight="1">
      <x:c r="A76" s="318" t="n">
        <x:v>263969263</x:v>
      </x:c>
      <x:c r="B76" s="301" t="n">
        <x:v>263973957</x:v>
      </x:c>
      <x:c r="C76" s="321" t="n">
        <x:v>244.236075</x:v>
      </x:c>
      <x:c r="D76" s="292" t="str">
        <x:v>588113</x:v>
      </x:c>
      <x:c r="E76" s="324" t="n">
        <x:v>15.12</x:v>
      </x:c>
      <x:c r="F76" s="324" t="n">
        <x:v>15.22</x:v>
      </x:c>
      <x:c r="G76" s="324" t="n">
        <x:v>15.14</x:v>
      </x:c>
      <x:c r="H76" s="324" t="n">
        <x:v>15.19</x:v>
      </x:c>
      <x:c r="I76" s="324" t="n">
        <x:v>15.19</x:v>
      </x:c>
      <x:c r="J76" s="324" t="n">
        <x:v>15.14</x:v>
      </x:c>
      <x:c r="K76" s="324" t="n">
        <x:v>15.12</x:v>
      </x:c>
      <x:c r="L76" s="324" t="n">
        <x:v>15.17</x:v>
      </x:c>
      <x:c r="M76" s="324" t="n">
        <x:v>15.17</x:v>
      </x:c>
      <x:c r="N76" s="324" t="n">
        <x:v>15.12</x:v>
      </x:c>
      <x:c r="O76" s="324" t="n">
        <x:v>15.14</x:v>
      </x:c>
      <x:c r="P76" s="324" t="n">
        <x:v>15.14</x:v>
      </x:c>
      <x:c r="Q76" s="324" t="n">
        <x:v>15.12</x:v>
      </x:c>
      <x:c r="R76" s="324" t="n">
        <x:v>15.19</x:v>
      </x:c>
      <x:c r="S76" s="324" t="n">
        <x:v>15.17</x:v>
      </x:c>
      <x:c r="T76" s="324" t="n">
        <x:v>15.17</x:v>
      </x:c>
      <x:c r="U76" s="324" t="n">
        <x:v>15.09</x:v>
      </x:c>
      <x:c r="V76" s="324" t="n">
        <x:v>257.6</x:v>
      </x:c>
      <x:c r="W76" s="324" t="n">
        <x:v>15.152941</x:v>
      </x:c>
      <x:c r="X76" s="324" t="n">
        <x:v>15.09</x:v>
      </x:c>
      <x:c r="Y76" s="324" t="n">
        <x:v>15.22</x:v>
      </x:c>
      <x:c r="Z76" s="324" t="n">
        <x:v>0.13</x:v>
      </x:c>
      <x:c r="AA76" s="292" t="str">
        <x:v>PROBABLE</x:v>
      </x:c>
      <x:c r="AB76" s="293" t="str">
        <x:v>61CE58811385E885F285EA85EF85EF85EA85E885ED85ED85E885EA85EA85E885EF85ED85ED85E5</x:v>
      </x:c>
    </x:row>
    <x:row r="77" ht="15" hidden="0" customHeight="1">
      <x:c r="A77" s="318" t="n">
        <x:v>264541708</x:v>
      </x:c>
      <x:c r="B77" s="301" t="n">
        <x:v>264546556</x:v>
      </x:c>
      <x:c r="C77" s="321" t="n">
        <x:v>244.808515</x:v>
      </x:c>
      <x:c r="D77" s="292" t="str">
        <x:v>588113</x:v>
      </x:c>
      <x:c r="E77" s="324" t="n">
        <x:v>15.12</x:v>
      </x:c>
      <x:c r="F77" s="324" t="n">
        <x:v>15.22</x:v>
      </x:c>
      <x:c r="G77" s="324" t="n">
        <x:v>15.14</x:v>
      </x:c>
      <x:c r="H77" s="324" t="n">
        <x:v>15.19</x:v>
      </x:c>
      <x:c r="I77" s="324" t="n">
        <x:v>15.19</x:v>
      </x:c>
      <x:c r="J77" s="324" t="n">
        <x:v>15.14</x:v>
      </x:c>
      <x:c r="K77" s="324" t="n">
        <x:v>15.12</x:v>
      </x:c>
      <x:c r="L77" s="324" t="n">
        <x:v>15.17</x:v>
      </x:c>
      <x:c r="M77" s="324" t="n">
        <x:v>15.17</x:v>
      </x:c>
      <x:c r="N77" s="324" t="n">
        <x:v>15.12</x:v>
      </x:c>
      <x:c r="O77" s="324" t="n">
        <x:v>15.14</x:v>
      </x:c>
      <x:c r="P77" s="324" t="n">
        <x:v>15.14</x:v>
      </x:c>
      <x:c r="Q77" s="324" t="n">
        <x:v>15.12</x:v>
      </x:c>
      <x:c r="R77" s="324" t="n">
        <x:v>15.19</x:v>
      </x:c>
      <x:c r="S77" s="324" t="n">
        <x:v>15.17</x:v>
      </x:c>
      <x:c r="T77" s="324" t="n">
        <x:v>15.17</x:v>
      </x:c>
      <x:c r="U77" s="324" t="n">
        <x:v>15.09</x:v>
      </x:c>
      <x:c r="V77" s="324" t="n">
        <x:v>257.6</x:v>
      </x:c>
      <x:c r="W77" s="324" t="n">
        <x:v>15.152941</x:v>
      </x:c>
      <x:c r="X77" s="324" t="n">
        <x:v>15.09</x:v>
      </x:c>
      <x:c r="Y77" s="324" t="n">
        <x:v>15.22</x:v>
      </x:c>
      <x:c r="Z77" s="324" t="n">
        <x:v>0.13</x:v>
      </x:c>
      <x:c r="AA77" s="292" t="str">
        <x:v>PROBABLE</x:v>
      </x:c>
      <x:c r="AB77" s="293" t="str">
        <x:v>61CE58811385E885F285EA85EF85EF85EA85E885ED85ED85E885EA85EA85E885EF85ED85ED85E5</x:v>
      </x:c>
    </x:row>
    <x:row r="78" ht="15" hidden="0" customHeight="1">
      <x:c r="A78" s="318" t="n">
        <x:v>265274276</x:v>
      </x:c>
      <x:c r="B78" s="301" t="n">
        <x:v>265275538</x:v>
      </x:c>
      <x:c r="C78" s="321" t="n">
        <x:v>245.541076</x:v>
      </x:c>
      <x:c r="D78" s="292" t="str">
        <x:v>588113</x:v>
      </x:c>
      <x:c r="E78" s="324" t="n">
        <x:v>15.07</x:v>
      </x:c>
      <x:c r="F78" s="324" t="n">
        <x:v>15.19</x:v>
      </x:c>
      <x:c r="G78" s="324" t="n">
        <x:v>15.17</x:v>
      </x:c>
      <x:c r="H78" s="324" t="n">
        <x:v>15.12</x:v>
      </x:c>
      <x:c r="I78" s="324" t="n">
        <x:v>15.17</x:v>
      </x:c>
      <x:c r="J78" s="324" t="n">
        <x:v>15.12</x:v>
      </x:c>
      <x:c r="K78" s="324" t="n">
        <x:v>15.12</x:v>
      </x:c>
      <x:c r="L78" s="324" t="n">
        <x:v>15.17</x:v>
      </x:c>
      <x:c r="M78" s="324" t="n">
        <x:v>15.14</x:v>
      </x:c>
      <x:c r="N78" s="324" t="n">
        <x:v>15.12</x:v>
      </x:c>
      <x:c r="O78" s="324" t="n">
        <x:v>15.14</x:v>
      </x:c>
      <x:c r="P78" s="324" t="n">
        <x:v>15.12</x:v>
      </x:c>
      <x:c r="Q78" s="324" t="n">
        <x:v>15.17</x:v>
      </x:c>
      <x:c r="R78" s="324" t="n">
        <x:v>15.14</x:v>
      </x:c>
      <x:c r="S78" s="324" t="n">
        <x:v>15.17</x:v>
      </x:c>
      <x:c r="T78" s="324" t="n">
        <x:v>15.19</x:v>
      </x:c>
      <x:c r="U78" s="324" t="n">
        <x:v>15.09</x:v>
      </x:c>
      <x:c r="V78" s="324" t="n">
        <x:v>257.41</x:v>
      </x:c>
      <x:c r="W78" s="324" t="n">
        <x:v>15.141765</x:v>
      </x:c>
      <x:c r="X78" s="324" t="n">
        <x:v>15.07</x:v>
      </x:c>
      <x:c r="Y78" s="324" t="n">
        <x:v>15.19</x:v>
      </x:c>
      <x:c r="Z78" s="324" t="n">
        <x:v>0.12</x:v>
      </x:c>
      <x:c r="AA78" s="292" t="str">
        <x:v>PROBABLE</x:v>
      </x:c>
      <x:c r="AB78" s="293" t="str">
        <x:v>61CE58811385E385EF85ED85E885ED85E885E885ED85EA85E885EA85E885ED85EA85ED85EF85E5</x:v>
      </x:c>
    </x:row>
    <x:row r="79" ht="15" hidden="0" customHeight="1">
      <x:c r="A79" s="318" t="n">
        <x:v>266601916</x:v>
      </x:c>
      <x:c r="B79" s="301" t="n">
        <x:v>266606628</x:v>
      </x:c>
      <x:c r="C79" s="321" t="n">
        <x:v>246.868703</x:v>
      </x:c>
      <x:c r="D79" s="292" t="str">
        <x:v>588113</x:v>
      </x:c>
      <x:c r="E79" s="324" t="n">
        <x:v>15.12</x:v>
      </x:c>
      <x:c r="F79" s="324" t="n">
        <x:v>15.19</x:v>
      </x:c>
      <x:c r="G79" s="324" t="n">
        <x:v>15.14</x:v>
      </x:c>
      <x:c r="H79" s="324" t="n">
        <x:v>15.17</x:v>
      </x:c>
      <x:c r="I79" s="324" t="n">
        <x:v>15.19</x:v>
      </x:c>
      <x:c r="J79" s="324" t="n">
        <x:v>15.14</x:v>
      </x:c>
      <x:c r="K79" s="324" t="n">
        <x:v>15.12</x:v>
      </x:c>
      <x:c r="L79" s="324" t="n">
        <x:v>15.14</x:v>
      </x:c>
      <x:c r="M79" s="324" t="n">
        <x:v>15.14</x:v>
      </x:c>
      <x:c r="N79" s="324" t="n">
        <x:v>15.12</x:v>
      </x:c>
      <x:c r="O79" s="324" t="n">
        <x:v>15.12</x:v>
      </x:c>
      <x:c r="P79" s="324" t="n">
        <x:v>15.12</x:v>
      </x:c>
      <x:c r="Q79" s="324" t="n">
        <x:v>15.12</x:v>
      </x:c>
      <x:c r="R79" s="324" t="n">
        <x:v>15.19</x:v>
      </x:c>
      <x:c r="S79" s="324" t="n">
        <x:v>15.17</x:v>
      </x:c>
      <x:c r="T79" s="324" t="n">
        <x:v>15.14</x:v>
      </x:c>
      <x:c r="U79" s="324" t="n">
        <x:v>15.09</x:v>
      </x:c>
      <x:c r="V79" s="324" t="n">
        <x:v>257.42</x:v>
      </x:c>
      <x:c r="W79" s="324" t="n">
        <x:v>15.142353</x:v>
      </x:c>
      <x:c r="X79" s="324" t="n">
        <x:v>15.09</x:v>
      </x:c>
      <x:c r="Y79" s="324" t="n">
        <x:v>15.19</x:v>
      </x:c>
      <x:c r="Z79" s="324" t="n">
        <x:v>0.1</x:v>
      </x:c>
      <x:c r="AA79" s="292" t="str">
        <x:v>PROBABLE</x:v>
      </x:c>
      <x:c r="AB79" s="293" t="str">
        <x:v>61CE58811385E885EF85EA85ED85EF85EA85E885EA85EA85E885E885E885E885EF85ED85EA85E5</x:v>
      </x:c>
    </x:row>
    <x:row r="80" ht="15" hidden="0" customHeight="1">
      <x:c r="A80" s="318" t="n">
        <x:v>267128032</x:v>
      </x:c>
      <x:c r="B80" s="301" t="n">
        <x:v>267131144</x:v>
      </x:c>
      <x:c r="C80" s="321" t="n">
        <x:v>247.394814</x:v>
      </x:c>
      <x:c r="D80" s="292" t="str">
        <x:v>588113</x:v>
      </x:c>
      <x:c r="E80" s="324" t="n">
        <x:v>15.12</x:v>
      </x:c>
      <x:c r="F80" s="324" t="n">
        <x:v>15.19</x:v>
      </x:c>
      <x:c r="G80" s="324" t="n">
        <x:v>15.14</x:v>
      </x:c>
      <x:c r="H80" s="324" t="n">
        <x:v>15.19</x:v>
      </x:c>
      <x:c r="I80" s="324" t="n">
        <x:v>15.17</x:v>
      </x:c>
      <x:c r="J80" s="324" t="n">
        <x:v>15.14</x:v>
      </x:c>
      <x:c r="K80" s="324" t="n">
        <x:v>15.12</x:v>
      </x:c>
      <x:c r="L80" s="324" t="n">
        <x:v>15.17</x:v>
      </x:c>
      <x:c r="M80" s="324" t="n">
        <x:v>15.14</x:v>
      </x:c>
      <x:c r="N80" s="324" t="n">
        <x:v>15.12</x:v>
      </x:c>
      <x:c r="O80" s="324" t="n">
        <x:v>15.12</x:v>
      </x:c>
      <x:c r="P80" s="324" t="n">
        <x:v>15.12</x:v>
      </x:c>
      <x:c r="Q80" s="324" t="n">
        <x:v>15.12</x:v>
      </x:c>
      <x:c r="R80" s="324" t="n">
        <x:v>15.19</x:v>
      </x:c>
      <x:c r="S80" s="324" t="n">
        <x:v>15.17</x:v>
      </x:c>
      <x:c r="T80" s="324" t="n">
        <x:v>15.14</x:v>
      </x:c>
      <x:c r="U80" s="324" t="n">
        <x:v>15.09</x:v>
      </x:c>
      <x:c r="V80" s="324" t="n">
        <x:v>257.45</x:v>
      </x:c>
      <x:c r="W80" s="324" t="n">
        <x:v>15.144118</x:v>
      </x:c>
      <x:c r="X80" s="324" t="n">
        <x:v>15.09</x:v>
      </x:c>
      <x:c r="Y80" s="324" t="n">
        <x:v>15.19</x:v>
      </x:c>
      <x:c r="Z80" s="324" t="n">
        <x:v>0.1</x:v>
      </x:c>
      <x:c r="AA80" s="292" t="str">
        <x:v>PROBABLE</x:v>
      </x:c>
      <x:c r="AB80" s="293" t="str">
        <x:v>61CE58811385E885EF85EA85EF85ED85EA85E885ED85EA85E885E885E885E885EF85ED85EA85E5</x:v>
      </x:c>
    </x:row>
    <x:row r="81" ht="15" hidden="0" customHeight="1">
      <x:c r="A81" s="318" t="n">
        <x:v>267651745</x:v>
      </x:c>
      <x:c r="B81" s="301" t="n">
        <x:v>267654899</x:v>
      </x:c>
      <x:c r="C81" s="321" t="n">
        <x:v>247.918522</x:v>
      </x:c>
      <x:c r="D81" s="292" t="str">
        <x:v>588113</x:v>
      </x:c>
      <x:c r="E81" s="324" t="n">
        <x:v>15.12</x:v>
      </x:c>
      <x:c r="F81" s="324" t="n">
        <x:v>15.19</x:v>
      </x:c>
      <x:c r="G81" s="324" t="n">
        <x:v>15.12</x:v>
      </x:c>
      <x:c r="H81" s="324" t="n">
        <x:v>15.19</x:v>
      </x:c>
      <x:c r="I81" s="324" t="n">
        <x:v>15.17</x:v>
      </x:c>
      <x:c r="J81" s="324" t="n">
        <x:v>15.14</x:v>
      </x:c>
      <x:c r="K81" s="324" t="n">
        <x:v>15.12</x:v>
      </x:c>
      <x:c r="L81" s="324" t="n">
        <x:v>15.14</x:v>
      </x:c>
      <x:c r="M81" s="324" t="n">
        <x:v>15.12</x:v>
      </x:c>
      <x:c r="N81" s="324" t="n">
        <x:v>15.09</x:v>
      </x:c>
      <x:c r="O81" s="324" t="n">
        <x:v>15.12</x:v>
      </x:c>
      <x:c r="P81" s="324" t="n">
        <x:v>15.12</x:v>
      </x:c>
      <x:c r="Q81" s="324" t="n">
        <x:v>15.12</x:v>
      </x:c>
      <x:c r="R81" s="324" t="n">
        <x:v>15.17</x:v>
      </x:c>
      <x:c r="S81" s="324" t="n">
        <x:v>15.17</x:v>
      </x:c>
      <x:c r="T81" s="324" t="n">
        <x:v>15.14</x:v>
      </x:c>
      <x:c r="U81" s="324" t="n">
        <x:v>15.09</x:v>
      </x:c>
      <x:c r="V81" s="324" t="n">
        <x:v>257.33</x:v>
      </x:c>
      <x:c r="W81" s="324" t="n">
        <x:v>15.137059</x:v>
      </x:c>
      <x:c r="X81" s="324" t="n">
        <x:v>15.09</x:v>
      </x:c>
      <x:c r="Y81" s="324" t="n">
        <x:v>15.19</x:v>
      </x:c>
      <x:c r="Z81" s="324" t="n">
        <x:v>0.1</x:v>
      </x:c>
      <x:c r="AA81" s="292" t="str">
        <x:v>PROBABLE</x:v>
      </x:c>
      <x:c r="AB81" s="293" t="str">
        <x:v>61CE58811385E885EF85E885EF85ED85EA85E885EA85E885E585E885E885E885ED85ED85EA85E5</x:v>
      </x:c>
    </x:row>
    <x:row r="82" ht="15" hidden="0" customHeight="1">
      <x:c r="A82" s="318" t="n">
        <x:v>274938481</x:v>
      </x:c>
      <x:c r="B82" s="301" t="n">
        <x:v>274940462</x:v>
      </x:c>
      <x:c r="C82" s="321" t="n">
        <x:v>255.205189</x:v>
      </x:c>
      <x:c r="D82" s="292" t="str">
        <x:v>588113</x:v>
      </x:c>
      <x:c r="E82" s="324" t="n">
        <x:v>15.09</x:v>
      </x:c>
      <x:c r="F82" s="324" t="n">
        <x:v>15.17</x:v>
      </x:c>
      <x:c r="G82" s="324" t="n">
        <x:v>15.12</x:v>
      </x:c>
      <x:c r="H82" s="324" t="n">
        <x:v>15.12</x:v>
      </x:c>
      <x:c r="I82" s="324" t="n">
        <x:v>15.09</x:v>
      </x:c>
      <x:c r="J82" s="324" t="n">
        <x:v>15.12</x:v>
      </x:c>
      <x:c r="K82" s="324" t="n">
        <x:v>15.12</x:v>
      </x:c>
      <x:c r="L82" s="324" t="n">
        <x:v>15.07</x:v>
      </x:c>
      <x:c r="M82" s="324" t="n">
        <x:v>15.12</x:v>
      </x:c>
      <x:c r="N82" s="324" t="n">
        <x:v>15.09</x:v>
      </x:c>
      <x:c r="O82" s="324" t="n">
        <x:v>15.12</x:v>
      </x:c>
      <x:c r="P82" s="324" t="n">
        <x:v>15.09</x:v>
      </x:c>
      <x:c r="Q82" s="324" t="n">
        <x:v>15.12</x:v>
      </x:c>
      <x:c r="R82" s="324" t="n">
        <x:v>15.12</x:v>
      </x:c>
      <x:c r="S82" s="324" t="n">
        <x:v>15.12</x:v>
      </x:c>
      <x:c r="T82" s="324" t="n">
        <x:v>15.17</x:v>
      </x:c>
      <x:c r="U82" s="324" t="n">
        <x:v>15.05</x:v>
      </x:c>
      <x:c r="V82" s="324" t="n">
        <x:v>256.9</x:v>
      </x:c>
      <x:c r="W82" s="324" t="n">
        <x:v>15.111765</x:v>
      </x:c>
      <x:c r="X82" s="324" t="n">
        <x:v>15.05</x:v>
      </x:c>
      <x:c r="Y82" s="324" t="n">
        <x:v>15.17</x:v>
      </x:c>
      <x:c r="Z82" s="324" t="n">
        <x:v>0.12</x:v>
      </x:c>
      <x:c r="AA82" s="292" t="str">
        <x:v>PROBABLE</x:v>
      </x:c>
      <x:c r="AB82" s="293" t="str">
        <x:v>61CE58811385E585ED85E885E885E585E885E885E385E885E585E885E585E885E885E885ED85E1</x:v>
      </x:c>
    </x:row>
    <x:row r="83" ht="15" hidden="0" customHeight="1">
      <x:c r="A83" s="318" t="n">
        <x:v>275528661</x:v>
      </x:c>
      <x:c r="B83" s="301" t="n">
        <x:v>275530196</x:v>
      </x:c>
      <x:c r="C83" s="321" t="n">
        <x:v>255.795364</x:v>
      </x:c>
      <x:c r="D83" s="292" t="str">
        <x:v>588113</x:v>
      </x:c>
      <x:c r="E83" s="324" t="n">
        <x:v>15.07</x:v>
      </x:c>
      <x:c r="F83" s="324" t="n">
        <x:v>15.17</x:v>
      </x:c>
      <x:c r="G83" s="324" t="n">
        <x:v>15.12</x:v>
      </x:c>
      <x:c r="H83" s="324" t="n">
        <x:v>15.12</x:v>
      </x:c>
      <x:c r="I83" s="324" t="n">
        <x:v>15.14</x:v>
      </x:c>
      <x:c r="J83" s="324" t="n">
        <x:v>15.09</x:v>
      </x:c>
      <x:c r="K83" s="324" t="n">
        <x:v>15.07</x:v>
      </x:c>
      <x:c r="L83" s="324" t="n">
        <x:v>15.12</x:v>
      </x:c>
      <x:c r="M83" s="324" t="n">
        <x:v>15.07</x:v>
      </x:c>
      <x:c r="N83" s="324" t="n">
        <x:v>15.09</x:v>
      </x:c>
      <x:c r="O83" s="324" t="n">
        <x:v>15.12</x:v>
      </x:c>
      <x:c r="P83" s="324" t="n">
        <x:v>15.02</x:v>
      </x:c>
      <x:c r="Q83" s="324" t="n">
        <x:v>15.12</x:v>
      </x:c>
      <x:c r="R83" s="324" t="n">
        <x:v>15.12</x:v>
      </x:c>
      <x:c r="S83" s="324" t="n">
        <x:v>15.12</x:v>
      </x:c>
      <x:c r="T83" s="324" t="n">
        <x:v>15.17</x:v>
      </x:c>
      <x:c r="U83" s="324" t="n">
        <x:v>15.05</x:v>
      </x:c>
      <x:c r="V83" s="324" t="n">
        <x:v>256.78</x:v>
      </x:c>
      <x:c r="W83" s="324" t="n">
        <x:v>15.104706</x:v>
      </x:c>
      <x:c r="X83" s="324" t="n">
        <x:v>15.02</x:v>
      </x:c>
      <x:c r="Y83" s="324" t="n">
        <x:v>15.17</x:v>
      </x:c>
      <x:c r="Z83" s="324" t="n">
        <x:v>0.15</x:v>
      </x:c>
      <x:c r="AA83" s="292" t="str">
        <x:v>PROBABLE</x:v>
      </x:c>
      <x:c r="AB83" s="293" t="str">
        <x:v>61CE58811385E385ED85E885E885EA85E585E385E885E385E585E885DE85E885E885E885ED85E1</x:v>
      </x:c>
    </x:row>
    <x:row r="84" ht="15" hidden="0" customHeight="1">
      <x:c r="A84" s="318" t="n">
        <x:v>276049728</x:v>
      </x:c>
      <x:c r="B84" s="301" t="n">
        <x:v>276054386</x:v>
      </x:c>
      <x:c r="C84" s="321" t="n">
        <x:v>256.316426</x:v>
      </x:c>
      <x:c r="D84" s="292" t="str">
        <x:v>588113</x:v>
      </x:c>
      <x:c r="E84" s="324" t="n">
        <x:v>15.07</x:v>
      </x:c>
      <x:c r="F84" s="324" t="n">
        <x:v>15.14</x:v>
      </x:c>
      <x:c r="G84" s="324" t="n">
        <x:v>15.09</x:v>
      </x:c>
      <x:c r="H84" s="324" t="n">
        <x:v>15.12</x:v>
      </x:c>
      <x:c r="I84" s="324" t="n">
        <x:v>15.12</x:v>
      </x:c>
      <x:c r="J84" s="324" t="n">
        <x:v>15.07</x:v>
      </x:c>
      <x:c r="K84" s="324" t="n">
        <x:v>15.07</x:v>
      </x:c>
      <x:c r="L84" s="324" t="n">
        <x:v>15.12</x:v>
      </x:c>
      <x:c r="M84" s="324" t="n">
        <x:v>15.07</x:v>
      </x:c>
      <x:c r="N84" s="324" t="n">
        <x:v>15.07</x:v>
      </x:c>
      <x:c r="O84" s="324" t="n">
        <x:v>15.12</x:v>
      </x:c>
      <x:c r="P84" s="324" t="n">
        <x:v>15.02</x:v>
      </x:c>
      <x:c r="Q84" s="324" t="n">
        <x:v>15.12</x:v>
      </x:c>
      <x:c r="R84" s="324" t="n">
        <x:v>15.12</x:v>
      </x:c>
      <x:c r="S84" s="324" t="n">
        <x:v>15.12</x:v>
      </x:c>
      <x:c r="T84" s="324" t="n">
        <x:v>15.17</x:v>
      </x:c>
      <x:c r="U84" s="324" t="n">
        <x:v>15.05</x:v>
      </x:c>
      <x:c r="V84" s="324" t="n">
        <x:v>256.66</x:v>
      </x:c>
      <x:c r="W84" s="324" t="n">
        <x:v>15.097647</x:v>
      </x:c>
      <x:c r="X84" s="324" t="n">
        <x:v>15.02</x:v>
      </x:c>
      <x:c r="Y84" s="324" t="n">
        <x:v>15.17</x:v>
      </x:c>
      <x:c r="Z84" s="324" t="n">
        <x:v>0.15</x:v>
      </x:c>
      <x:c r="AA84" s="292" t="str">
        <x:v>PROBABLE</x:v>
      </x:c>
      <x:c r="AB84" s="293" t="str">
        <x:v>61CE58811385E385EA85E585E885E885E385E385E885E385E385E885DE85E885E885E885ED85E1</x:v>
      </x:c>
    </x:row>
    <x:row r="85" ht="15" hidden="0" customHeight="1">
      <x:c r="A85" s="318" t="n">
        <x:v>276610551</x:v>
      </x:c>
      <x:c r="B85" s="301" t="n">
        <x:v>276615451</x:v>
      </x:c>
      <x:c r="C85" s="321" t="n">
        <x:v>256.877243</x:v>
      </x:c>
      <x:c r="D85" s="292" t="str">
        <x:v>588113</x:v>
      </x:c>
      <x:c r="E85" s="324" t="n">
        <x:v>15.09</x:v>
      </x:c>
      <x:c r="F85" s="324" t="n">
        <x:v>15.17</x:v>
      </x:c>
      <x:c r="G85" s="324" t="n">
        <x:v>15.09</x:v>
      </x:c>
      <x:c r="H85" s="324" t="n">
        <x:v>15.12</x:v>
      </x:c>
      <x:c r="I85" s="324" t="n">
        <x:v>15.14</x:v>
      </x:c>
      <x:c r="J85" s="324" t="n">
        <x:v>15.09</x:v>
      </x:c>
      <x:c r="K85" s="324" t="n">
        <x:v>15.07</x:v>
      </x:c>
      <x:c r="L85" s="324" t="n">
        <x:v>15.12</x:v>
      </x:c>
      <x:c r="M85" s="324" t="n">
        <x:v>15.05</x:v>
      </x:c>
      <x:c r="N85" s="324" t="n">
        <x:v>15.09</x:v>
      </x:c>
      <x:c r="O85" s="324" t="n">
        <x:v>15.12</x:v>
      </x:c>
      <x:c r="P85" s="324" t="n">
        <x:v>15.02</x:v>
      </x:c>
      <x:c r="Q85" s="324" t="n">
        <x:v>15.14</x:v>
      </x:c>
      <x:c r="R85" s="324" t="n">
        <x:v>15.12</x:v>
      </x:c>
      <x:c r="S85" s="324" t="n">
        <x:v>15.12</x:v>
      </x:c>
      <x:c r="T85" s="324" t="n">
        <x:v>15.17</x:v>
      </x:c>
      <x:c r="U85" s="324" t="n">
        <x:v>15.07</x:v>
      </x:c>
      <x:c r="V85" s="324" t="n">
        <x:v>256.79</x:v>
      </x:c>
      <x:c r="W85" s="324" t="n">
        <x:v>15.105294</x:v>
      </x:c>
      <x:c r="X85" s="324" t="n">
        <x:v>15.02</x:v>
      </x:c>
      <x:c r="Y85" s="324" t="n">
        <x:v>15.17</x:v>
      </x:c>
      <x:c r="Z85" s="324" t="n">
        <x:v>0.15</x:v>
      </x:c>
      <x:c r="AA85" s="292" t="str">
        <x:v>PROBABLE</x:v>
      </x:c>
      <x:c r="AB85" s="293" t="str">
        <x:v>61CE58811385E585ED85E585E885EA85E585E385E885E185E585E885DE85EA85E885E885ED85E3</x:v>
      </x:c>
    </x:row>
    <x:row r="86" ht="15" hidden="0" customHeight="1">
      <x:c r="A86" s="318" t="n">
        <x:v>277144199</x:v>
      </x:c>
      <x:c r="B86" s="301" t="n">
        <x:v>277147853</x:v>
      </x:c>
      <x:c r="C86" s="321" t="n">
        <x:v>257.410886</x:v>
      </x:c>
      <x:c r="D86" s="292" t="str">
        <x:v>588113</x:v>
      </x:c>
      <x:c r="E86" s="324" t="n">
        <x:v>15.07</x:v>
      </x:c>
      <x:c r="F86" s="324" t="n">
        <x:v>15.14</x:v>
      </x:c>
      <x:c r="G86" s="324" t="n">
        <x:v>15.09</x:v>
      </x:c>
      <x:c r="H86" s="324" t="n">
        <x:v>15.12</x:v>
      </x:c>
      <x:c r="I86" s="324" t="n">
        <x:v>15.14</x:v>
      </x:c>
      <x:c r="J86" s="324" t="n">
        <x:v>15.07</x:v>
      </x:c>
      <x:c r="K86" s="324" t="n">
        <x:v>15.07</x:v>
      </x:c>
      <x:c r="L86" s="324" t="n">
        <x:v>15.12</x:v>
      </x:c>
      <x:c r="M86" s="324" t="n">
        <x:v>15.05</x:v>
      </x:c>
      <x:c r="N86" s="324" t="n">
        <x:v>15.07</x:v>
      </x:c>
      <x:c r="O86" s="324" t="n">
        <x:v>15.12</x:v>
      </x:c>
      <x:c r="P86" s="324" t="n">
        <x:v>15.02</x:v>
      </x:c>
      <x:c r="Q86" s="324" t="n">
        <x:v>15.12</x:v>
      </x:c>
      <x:c r="R86" s="324" t="n">
        <x:v>15.09</x:v>
      </x:c>
      <x:c r="S86" s="324" t="n">
        <x:v>15.12</x:v>
      </x:c>
      <x:c r="T86" s="324" t="n">
        <x:v>15.17</x:v>
      </x:c>
      <x:c r="U86" s="324" t="n">
        <x:v>15.05</x:v>
      </x:c>
      <x:c r="V86" s="324" t="n">
        <x:v>256.63</x:v>
      </x:c>
      <x:c r="W86" s="324" t="n">
        <x:v>15.095882</x:v>
      </x:c>
      <x:c r="X86" s="324" t="n">
        <x:v>15.02</x:v>
      </x:c>
      <x:c r="Y86" s="324" t="n">
        <x:v>15.17</x:v>
      </x:c>
      <x:c r="Z86" s="324" t="n">
        <x:v>0.15</x:v>
      </x:c>
      <x:c r="AA86" s="292" t="str">
        <x:v>PROBABLE</x:v>
      </x:c>
      <x:c r="AB86" s="293" t="str">
        <x:v>61CE58811385E385EA85E585E885EA85E385E385E885E185E385E885DE85E885E585E885ED85E1</x:v>
      </x:c>
    </x:row>
    <x:row r="87" ht="15" hidden="0" customHeight="1">
      <x:c r="A87" s="318" t="n">
        <x:v>277749306</x:v>
      </x:c>
      <x:c r="B87" s="301" t="n">
        <x:v>277753950</x:v>
      </x:c>
      <x:c r="C87" s="321" t="n">
        <x:v>258.015987</x:v>
      </x:c>
      <x:c r="D87" s="292" t="str">
        <x:v>588113</x:v>
      </x:c>
      <x:c r="E87" s="324" t="n">
        <x:v>15.07</x:v>
      </x:c>
      <x:c r="F87" s="324" t="n">
        <x:v>15.14</x:v>
      </x:c>
      <x:c r="G87" s="324" t="n">
        <x:v>15.09</x:v>
      </x:c>
      <x:c r="H87" s="324" t="n">
        <x:v>15.12</x:v>
      </x:c>
      <x:c r="I87" s="324" t="n">
        <x:v>15.12</x:v>
      </x:c>
      <x:c r="J87" s="324" t="n">
        <x:v>15.07</x:v>
      </x:c>
      <x:c r="K87" s="324" t="n">
        <x:v>15.07</x:v>
      </x:c>
      <x:c r="L87" s="324" t="n">
        <x:v>15.12</x:v>
      </x:c>
      <x:c r="M87" s="324" t="n">
        <x:v>15.05</x:v>
      </x:c>
      <x:c r="N87" s="324" t="n">
        <x:v>15.07</x:v>
      </x:c>
      <x:c r="O87" s="324" t="n">
        <x:v>15.12</x:v>
      </x:c>
      <x:c r="P87" s="324" t="n">
        <x:v>15.02</x:v>
      </x:c>
      <x:c r="Q87" s="324" t="n">
        <x:v>15.12</x:v>
      </x:c>
      <x:c r="R87" s="324" t="n">
        <x:v>15.09</x:v>
      </x:c>
      <x:c r="S87" s="324" t="n">
        <x:v>15.12</x:v>
      </x:c>
      <x:c r="T87" s="324" t="n">
        <x:v>15.17</x:v>
      </x:c>
      <x:c r="U87" s="324" t="n">
        <x:v>15.05</x:v>
      </x:c>
      <x:c r="V87" s="324" t="n">
        <x:v>256.61</x:v>
      </x:c>
      <x:c r="W87" s="324" t="n">
        <x:v>15.094706</x:v>
      </x:c>
      <x:c r="X87" s="324" t="n">
        <x:v>15.02</x:v>
      </x:c>
      <x:c r="Y87" s="324" t="n">
        <x:v>15.17</x:v>
      </x:c>
      <x:c r="Z87" s="324" t="n">
        <x:v>0.15</x:v>
      </x:c>
      <x:c r="AA87" s="292" t="str">
        <x:v>PROBABLE</x:v>
      </x:c>
      <x:c r="AB87" s="293" t="str">
        <x:v>61CE58811385E385EA85E585E885E885E385E385E885E185E385E885DE85E885E585E885ED85E1</x:v>
      </x:c>
    </x:row>
    <x:row r="88" ht="15" hidden="0" customHeight="1">
      <x:c r="A88" s="318" t="n">
        <x:v>278339228</x:v>
      </x:c>
      <x:c r="B88" s="301" t="n">
        <x:v>278343665</x:v>
      </x:c>
      <x:c r="C88" s="321" t="n">
        <x:v>258.605904</x:v>
      </x:c>
      <x:c r="D88" s="292" t="str">
        <x:v>588113</x:v>
      </x:c>
      <x:c r="E88" s="324" t="n">
        <x:v>15.07</x:v>
      </x:c>
      <x:c r="F88" s="324" t="n">
        <x:v>15.14</x:v>
      </x:c>
      <x:c r="G88" s="324" t="n">
        <x:v>15.12</x:v>
      </x:c>
      <x:c r="H88" s="324" t="n">
        <x:v>15.12</x:v>
      </x:c>
      <x:c r="I88" s="324" t="n">
        <x:v>15.12</x:v>
      </x:c>
      <x:c r="J88" s="324" t="n">
        <x:v>15.07</x:v>
      </x:c>
      <x:c r="K88" s="324" t="n">
        <x:v>15.07</x:v>
      </x:c>
      <x:c r="L88" s="324" t="n">
        <x:v>15.12</x:v>
      </x:c>
      <x:c r="M88" s="324" t="n">
        <x:v>15.12</x:v>
      </x:c>
      <x:c r="N88" s="324" t="n">
        <x:v>15.07</x:v>
      </x:c>
      <x:c r="O88" s="324" t="n">
        <x:v>15.09</x:v>
      </x:c>
      <x:c r="P88" s="324" t="n">
        <x:v>15.09</x:v>
      </x:c>
      <x:c r="Q88" s="324" t="n">
        <x:v>15.07</x:v>
      </x:c>
      <x:c r="R88" s="324" t="n">
        <x:v>15.12</x:v>
      </x:c>
      <x:c r="S88" s="324" t="n">
        <x:v>15.12</x:v>
      </x:c>
      <x:c r="T88" s="324" t="n">
        <x:v>15.12</x:v>
      </x:c>
      <x:c r="U88" s="324" t="n">
        <x:v>15.05</x:v>
      </x:c>
      <x:c r="V88" s="324" t="n">
        <x:v>256.68</x:v>
      </x:c>
      <x:c r="W88" s="324" t="n">
        <x:v>15.098824</x:v>
      </x:c>
      <x:c r="X88" s="324" t="n">
        <x:v>15.05</x:v>
      </x:c>
      <x:c r="Y88" s="324" t="n">
        <x:v>15.14</x:v>
      </x:c>
      <x:c r="Z88" s="324" t="n">
        <x:v>0.09</x:v>
      </x:c>
      <x:c r="AA88" s="292" t="str">
        <x:v>PROBABLE</x:v>
      </x:c>
      <x:c r="AB88" s="293" t="str">
        <x:v>61CE58811385E385EA85E885E885E885E385E385E885E885E385E585E585E385E885E885E885E1</x:v>
      </x:c>
    </x:row>
    <x:row r="89" ht="15" hidden="0" customHeight="1">
      <x:c r="A89" s="318" t="n">
        <x:v>278919295</x:v>
      </x:c>
      <x:c r="B89" s="301" t="n">
        <x:v>278921103</x:v>
      </x:c>
      <x:c r="C89" s="321" t="n">
        <x:v>259.185965</x:v>
      </x:c>
      <x:c r="D89" s="292" t="str">
        <x:v>588113</x:v>
      </x:c>
      <x:c r="E89" s="324" t="n">
        <x:v>15.07</x:v>
      </x:c>
      <x:c r="F89" s="324" t="n">
        <x:v>15.14</x:v>
      </x:c>
      <x:c r="G89" s="324" t="n">
        <x:v>15.09</x:v>
      </x:c>
      <x:c r="H89" s="324" t="n">
        <x:v>15.12</x:v>
      </x:c>
      <x:c r="I89" s="324" t="n">
        <x:v>15.12</x:v>
      </x:c>
      <x:c r="J89" s="324" t="n">
        <x:v>15.07</x:v>
      </x:c>
      <x:c r="K89" s="324" t="n">
        <x:v>15.07</x:v>
      </x:c>
      <x:c r="L89" s="324" t="n">
        <x:v>15.12</x:v>
      </x:c>
      <x:c r="M89" s="324" t="n">
        <x:v>15.12</x:v>
      </x:c>
      <x:c r="N89" s="324" t="n">
        <x:v>15.07</x:v>
      </x:c>
      <x:c r="O89" s="324" t="n">
        <x:v>15.09</x:v>
      </x:c>
      <x:c r="P89" s="324" t="n">
        <x:v>15.09</x:v>
      </x:c>
      <x:c r="Q89" s="324" t="n">
        <x:v>15.07</x:v>
      </x:c>
      <x:c r="R89" s="324" t="n">
        <x:v>15.12</x:v>
      </x:c>
      <x:c r="S89" s="324" t="n">
        <x:v>15.12</x:v>
      </x:c>
      <x:c r="T89" s="324" t="n">
        <x:v>15.12</x:v>
      </x:c>
      <x:c r="U89" s="324" t="n">
        <x:v>15.05</x:v>
      </x:c>
      <x:c r="V89" s="324" t="n">
        <x:v>256.65</x:v>
      </x:c>
      <x:c r="W89" s="324" t="n">
        <x:v>15.097059</x:v>
      </x:c>
      <x:c r="X89" s="324" t="n">
        <x:v>15.05</x:v>
      </x:c>
      <x:c r="Y89" s="324" t="n">
        <x:v>15.14</x:v>
      </x:c>
      <x:c r="Z89" s="324" t="n">
        <x:v>0.09</x:v>
      </x:c>
      <x:c r="AA89" s="292" t="str">
        <x:v>PROBABLE</x:v>
      </x:c>
      <x:c r="AB89" s="293" t="str">
        <x:v>61CE58811385E385EA85E585E885E885E385E385E885E885E385E585E585E385E885E885E885E1</x:v>
      </x:c>
    </x:row>
    <x:row r="90" ht="15" hidden="0" customHeight="1">
      <x:c r="A90" s="318" t="n">
        <x:v>279469839</x:v>
      </x:c>
      <x:c r="B90" s="301" t="n">
        <x:v>279474246</x:v>
      </x:c>
      <x:c r="C90" s="321" t="n">
        <x:v>259.736504</x:v>
      </x:c>
      <x:c r="D90" s="292" t="str">
        <x:v>588113</x:v>
      </x:c>
      <x:c r="E90" s="324" t="n">
        <x:v>15.12</x:v>
      </x:c>
      <x:c r="F90" s="324" t="n">
        <x:v>15.05</x:v>
      </x:c>
      <x:c r="G90" s="324" t="n">
        <x:v>15.12</x:v>
      </x:c>
      <x:c r="H90" s="324" t="n">
        <x:v>15.07</x:v>
      </x:c>
      <x:c r="I90" s="324" t="n">
        <x:v>15.14</x:v>
      </x:c>
      <x:c r="J90" s="324" t="n">
        <x:v>15.07</x:v>
      </x:c>
      <x:c r="K90" s="324" t="n">
        <x:v>15.07</x:v>
      </x:c>
      <x:c r="L90" s="324" t="n">
        <x:v>15.09</x:v>
      </x:c>
      <x:c r="M90" s="324" t="n">
        <x:v>15.12</x:v>
      </x:c>
      <x:c r="N90" s="324" t="n">
        <x:v>15.05</x:v>
      </x:c>
      <x:c r="O90" s="324" t="n">
        <x:v>15.07</x:v>
      </x:c>
      <x:c r="P90" s="324" t="n">
        <x:v>15.07</x:v>
      </x:c>
      <x:c r="Q90" s="324" t="n">
        <x:v>15.12</x:v>
      </x:c>
      <x:c r="R90" s="324" t="n">
        <x:v>15.07</x:v>
      </x:c>
      <x:c r="S90" s="324" t="n">
        <x:v>15.12</x:v>
      </x:c>
      <x:c r="T90" s="324" t="n">
        <x:v>15.17</x:v>
      </x:c>
      <x:c r="U90" s="324" t="n">
        <x:v>15.09</x:v>
      </x:c>
      <x:c r="V90" s="324" t="n">
        <x:v>256.61</x:v>
      </x:c>
      <x:c r="W90" s="324" t="n">
        <x:v>15.094706</x:v>
      </x:c>
      <x:c r="X90" s="324" t="n">
        <x:v>15.05</x:v>
      </x:c>
      <x:c r="Y90" s="324" t="n">
        <x:v>15.17</x:v>
      </x:c>
      <x:c r="Z90" s="324" t="n">
        <x:v>0.12</x:v>
      </x:c>
      <x:c r="AA90" s="292" t="str">
        <x:v>PROBABLE</x:v>
      </x:c>
      <x:c r="AB90" s="293" t="str">
        <x:v>61CE58811385E885E185E885E385EA85E385E385E585E885E185E385E385E885E385E885ED85E5</x:v>
      </x:c>
    </x:row>
    <x:row r="91" ht="15" hidden="0" customHeight="1">
      <x:c r="A91" s="318" t="n">
        <x:v>280061878</x:v>
      </x:c>
      <x:c r="B91" s="301" t="n">
        <x:v>280063696</x:v>
      </x:c>
      <x:c r="C91" s="321" t="n">
        <x:v>260.328538</x:v>
      </x:c>
      <x:c r="D91" s="292" t="str">
        <x:v>588113</x:v>
      </x:c>
      <x:c r="E91" s="324" t="n">
        <x:v>15.12</x:v>
      </x:c>
      <x:c r="F91" s="324" t="n">
        <x:v>15.05</x:v>
      </x:c>
      <x:c r="G91" s="324" t="n">
        <x:v>15.12</x:v>
      </x:c>
      <x:c r="H91" s="324" t="n">
        <x:v>15.07</x:v>
      </x:c>
      <x:c r="I91" s="324" t="n">
        <x:v>15.14</x:v>
      </x:c>
      <x:c r="J91" s="324" t="n">
        <x:v>15.05</x:v>
      </x:c>
      <x:c r="K91" s="324" t="n">
        <x:v>15.07</x:v>
      </x:c>
      <x:c r="L91" s="324" t="n">
        <x:v>15.12</x:v>
      </x:c>
      <x:c r="M91" s="324" t="n">
        <x:v>15.09</x:v>
      </x:c>
      <x:c r="N91" s="324" t="n">
        <x:v>15.05</x:v>
      </x:c>
      <x:c r="O91" s="324" t="n">
        <x:v>15.09</x:v>
      </x:c>
      <x:c r="P91" s="324" t="n">
        <x:v>15.07</x:v>
      </x:c>
      <x:c r="Q91" s="324" t="n">
        <x:v>15.12</x:v>
      </x:c>
      <x:c r="R91" s="324" t="n">
        <x:v>15.07</x:v>
      </x:c>
      <x:c r="S91" s="324" t="n">
        <x:v>15.12</x:v>
      </x:c>
      <x:c r="T91" s="324" t="n">
        <x:v>15.14</x:v>
      </x:c>
      <x:c r="U91" s="324" t="n">
        <x:v>15.09</x:v>
      </x:c>
      <x:c r="V91" s="324" t="n">
        <x:v>256.58</x:v>
      </x:c>
      <x:c r="W91" s="324" t="n">
        <x:v>15.092941</x:v>
      </x:c>
      <x:c r="X91" s="324" t="n">
        <x:v>15.05</x:v>
      </x:c>
      <x:c r="Y91" s="324" t="n">
        <x:v>15.14</x:v>
      </x:c>
      <x:c r="Z91" s="324" t="n">
        <x:v>0.09</x:v>
      </x:c>
      <x:c r="AA91" s="292" t="str">
        <x:v>PROBABLE</x:v>
      </x:c>
      <x:c r="AB91" s="293" t="str">
        <x:v>61CE58811385E885E185E885E385EA85E185E385E885E585E185E585E385E885E385E885EA85E5</x:v>
      </x:c>
    </x:row>
    <x:row r="92" ht="15" hidden="0" customHeight="1">
      <x:c r="A92" s="318" t="n">
        <x:v>280611819</x:v>
      </x:c>
      <x:c r="B92" s="301" t="n">
        <x:v>280616563</x:v>
      </x:c>
      <x:c r="C92" s="321" t="n">
        <x:v>260.878473</x:v>
      </x:c>
      <x:c r="D92" s="292" t="str">
        <x:v>588113</x:v>
      </x:c>
      <x:c r="E92" s="324" t="n">
        <x:v>15.02</x:v>
      </x:c>
      <x:c r="F92" s="324" t="n">
        <x:v>15.14</x:v>
      </x:c>
      <x:c r="G92" s="324" t="n">
        <x:v>15.12</x:v>
      </x:c>
      <x:c r="H92" s="324" t="n">
        <x:v>15.07</x:v>
      </x:c>
      <x:c r="I92" s="324" t="n">
        <x:v>15.12</x:v>
      </x:c>
      <x:c r="J92" s="324" t="n">
        <x:v>15.07</x:v>
      </x:c>
      <x:c r="K92" s="324" t="n">
        <x:v>15.07</x:v>
      </x:c>
      <x:c r="L92" s="324" t="n">
        <x:v>15.09</x:v>
      </x:c>
      <x:c r="M92" s="324" t="n">
        <x:v>15.09</x:v>
      </x:c>
      <x:c r="N92" s="324" t="n">
        <x:v>15.05</x:v>
      </x:c>
      <x:c r="O92" s="324" t="n">
        <x:v>15.07</x:v>
      </x:c>
      <x:c r="P92" s="324" t="n">
        <x:v>15.07</x:v>
      </x:c>
      <x:c r="Q92" s="324" t="n">
        <x:v>15.12</x:v>
      </x:c>
      <x:c r="R92" s="324" t="n">
        <x:v>15.09</x:v>
      </x:c>
      <x:c r="S92" s="324" t="n">
        <x:v>15.12</x:v>
      </x:c>
      <x:c r="T92" s="324" t="n">
        <x:v>15.14</x:v>
      </x:c>
      <x:c r="U92" s="324" t="n">
        <x:v>15.05</x:v>
      </x:c>
      <x:c r="V92" s="324" t="n">
        <x:v>256.5</x:v>
      </x:c>
      <x:c r="W92" s="324" t="n">
        <x:v>15.088235</x:v>
      </x:c>
      <x:c r="X92" s="324" t="n">
        <x:v>15.02</x:v>
      </x:c>
      <x:c r="Y92" s="324" t="n">
        <x:v>15.14</x:v>
      </x:c>
      <x:c r="Z92" s="324" t="n">
        <x:v>0.12</x:v>
      </x:c>
      <x:c r="AA92" s="292" t="str">
        <x:v>PROBABLE</x:v>
      </x:c>
      <x:c r="AB92" s="293" t="str">
        <x:v>61CE58811385DE85EA85E885E385E885E385E385E585E585E185E385E385E885E585E885EA85E1</x:v>
      </x:c>
    </x:row>
    <x:row r="93" ht="15" hidden="0" customHeight="1">
      <x:c r="A93" s="318" t="n">
        <x:v>281848060</x:v>
      </x:c>
      <x:c r="B93" s="301" t="n">
        <x:v>281853615</x:v>
      </x:c>
      <x:c r="C93" s="321" t="n">
        <x:v>262.114703</x:v>
      </x:c>
      <x:c r="D93" s="292" t="str">
        <x:v>588113</x:v>
      </x:c>
      <x:c r="E93" s="324" t="n">
        <x:v>15.07</x:v>
      </x:c>
      <x:c r="F93" s="324" t="n">
        <x:v>15.14</x:v>
      </x:c>
      <x:c r="G93" s="324" t="n">
        <x:v>15.07</x:v>
      </x:c>
      <x:c r="H93" s="324" t="n">
        <x:v>15.09</x:v>
      </x:c>
      <x:c r="I93" s="324" t="n">
        <x:v>15.12</x:v>
      </x:c>
      <x:c r="J93" s="324" t="n">
        <x:v>15.09</x:v>
      </x:c>
      <x:c r="K93" s="324" t="n">
        <x:v>15.07</x:v>
      </x:c>
      <x:c r="L93" s="324" t="n">
        <x:v>15.09</x:v>
      </x:c>
      <x:c r="M93" s="324" t="n">
        <x:v>15.02</x:v>
      </x:c>
      <x:c r="N93" s="324" t="n">
        <x:v>15.09</x:v>
      </x:c>
      <x:c r="O93" s="324" t="n">
        <x:v>15.09</x:v>
      </x:c>
      <x:c r="P93" s="324" t="n">
        <x:v>15</x:v>
      </x:c>
      <x:c r="Q93" s="324" t="n">
        <x:v>15.12</x:v>
      </x:c>
      <x:c r="R93" s="324" t="n">
        <x:v>15.09</x:v>
      </x:c>
      <x:c r="S93" s="324" t="n">
        <x:v>15.09</x:v>
      </x:c>
      <x:c r="T93" s="324" t="n">
        <x:v>15.14</x:v>
      </x:c>
      <x:c r="U93" s="324" t="n">
        <x:v>15.05</x:v>
      </x:c>
      <x:c r="V93" s="324" t="n">
        <x:v>256.43</x:v>
      </x:c>
      <x:c r="W93" s="324" t="n">
        <x:v>15.084118</x:v>
      </x:c>
      <x:c r="X93" s="324" t="n">
        <x:v>15</x:v>
      </x:c>
      <x:c r="Y93" s="324" t="n">
        <x:v>15.14</x:v>
      </x:c>
      <x:c r="Z93" s="324" t="n">
        <x:v>0.14</x:v>
      </x:c>
      <x:c r="AA93" s="292" t="str">
        <x:v>PROBABLE</x:v>
      </x:c>
      <x:c r="AB93" s="293" t="str">
        <x:v>61CE58811385E385EA85E385E585E885E585E385E585DE85E585E585DC85E885E585E585EA85E1</x:v>
      </x:c>
    </x:row>
    <x:row r="94" ht="15" hidden="0" customHeight="1">
      <x:c r="A94" s="318" t="n">
        <x:v>282493170</x:v>
      </x:c>
      <x:c r="B94" s="301" t="n">
        <x:v>282496566</x:v>
      </x:c>
      <x:c r="C94" s="321" t="n">
        <x:v>262.759807</x:v>
      </x:c>
      <x:c r="D94" s="292" t="str">
        <x:v>588113</x:v>
      </x:c>
      <x:c r="E94" s="324" t="n">
        <x:v>15.07</x:v>
      </x:c>
      <x:c r="F94" s="324" t="n">
        <x:v>15.12</x:v>
      </x:c>
      <x:c r="G94" s="324" t="n">
        <x:v>15.07</x:v>
      </x:c>
      <x:c r="H94" s="324" t="n">
        <x:v>15.09</x:v>
      </x:c>
      <x:c r="I94" s="324" t="n">
        <x:v>15.12</x:v>
      </x:c>
      <x:c r="J94" s="324" t="n">
        <x:v>15.07</x:v>
      </x:c>
      <x:c r="K94" s="324" t="n">
        <x:v>15.07</x:v>
      </x:c>
      <x:c r="L94" s="324" t="n">
        <x:v>15.09</x:v>
      </x:c>
      <x:c r="M94" s="324" t="n">
        <x:v>15.09</x:v>
      </x:c>
      <x:c r="N94" s="324" t="n">
        <x:v>15.05</x:v>
      </x:c>
      <x:c r="O94" s="324" t="n">
        <x:v>15.07</x:v>
      </x:c>
      <x:c r="P94" s="324" t="n">
        <x:v>15.02</x:v>
      </x:c>
      <x:c r="Q94" s="324" t="n">
        <x:v>15.07</x:v>
      </x:c>
      <x:c r="R94" s="324" t="n">
        <x:v>15.09</x:v>
      </x:c>
      <x:c r="S94" s="324" t="n">
        <x:v>15.12</x:v>
      </x:c>
      <x:c r="T94" s="324" t="n">
        <x:v>15.09</x:v>
      </x:c>
      <x:c r="U94" s="324" t="n">
        <x:v>15.05</x:v>
      </x:c>
      <x:c r="V94" s="324" t="n">
        <x:v>256.35</x:v>
      </x:c>
      <x:c r="W94" s="324" t="n">
        <x:v>15.079412</x:v>
      </x:c>
      <x:c r="X94" s="324" t="n">
        <x:v>15.02</x:v>
      </x:c>
      <x:c r="Y94" s="324" t="n">
        <x:v>15.12</x:v>
      </x:c>
      <x:c r="Z94" s="324" t="n">
        <x:v>0.1</x:v>
      </x:c>
      <x:c r="AA94" s="292" t="str">
        <x:v>PROBABLE</x:v>
      </x:c>
      <x:c r="AB94" s="293" t="str">
        <x:v>61CE58811385E385E885E385E585E885E385E385E585E585E185E385DE85E385E585E885E585E1</x:v>
      </x:c>
    </x:row>
    <x:row r="95" ht="15" hidden="0" customHeight="1">
      <x:c r="A95" s="318" t="n">
        <x:v>283284316</x:v>
      </x:c>
      <x:c r="B95" s="301" t="n">
        <x:v>283286707</x:v>
      </x:c>
      <x:c r="C95" s="321" t="n">
        <x:v>263.550945</x:v>
      </x:c>
      <x:c r="D95" s="292" t="str">
        <x:v>588113</x:v>
      </x:c>
      <x:c r="E95" s="324" t="n">
        <x:v>15.02</x:v>
      </x:c>
      <x:c r="F95" s="324" t="n">
        <x:v>15.17</x:v>
      </x:c>
      <x:c r="G95" s="324" t="n">
        <x:v>15.09</x:v>
      </x:c>
      <x:c r="H95" s="324" t="n">
        <x:v>15.07</x:v>
      </x:c>
      <x:c r="I95" s="324" t="n">
        <x:v>15.12</x:v>
      </x:c>
      <x:c r="J95" s="324" t="n">
        <x:v>15.07</x:v>
      </x:c>
      <x:c r="K95" s="324" t="n">
        <x:v>15.07</x:v>
      </x:c>
      <x:c r="L95" s="324" t="n">
        <x:v>15.09</x:v>
      </x:c>
      <x:c r="M95" s="324" t="n">
        <x:v>15.07</x:v>
      </x:c>
      <x:c r="N95" s="324" t="n">
        <x:v>15.05</x:v>
      </x:c>
      <x:c r="O95" s="324" t="n">
        <x:v>15.07</x:v>
      </x:c>
      <x:c r="P95" s="324" t="n">
        <x:v>15.07</x:v>
      </x:c>
      <x:c r="Q95" s="324" t="n">
        <x:v>15.12</x:v>
      </x:c>
      <x:c r="R95" s="324" t="n">
        <x:v>15.09</x:v>
      </x:c>
      <x:c r="S95" s="324" t="n">
        <x:v>15.09</x:v>
      </x:c>
      <x:c r="T95" s="324" t="n">
        <x:v>15.14</x:v>
      </x:c>
      <x:c r="U95" s="324" t="n">
        <x:v>15.05</x:v>
      </x:c>
      <x:c r="V95" s="324" t="n">
        <x:v>256.45</x:v>
      </x:c>
      <x:c r="W95" s="324" t="n">
        <x:v>15.085294</x:v>
      </x:c>
      <x:c r="X95" s="324" t="n">
        <x:v>15.02</x:v>
      </x:c>
      <x:c r="Y95" s="324" t="n">
        <x:v>15.17</x:v>
      </x:c>
      <x:c r="Z95" s="324" t="n">
        <x:v>0.15</x:v>
      </x:c>
      <x:c r="AA95" s="292" t="str">
        <x:v>PROBABLE</x:v>
      </x:c>
      <x:c r="AB95" s="293" t="str">
        <x:v>61CE58811385DE85ED85E585E385E885E385E385E585E385E185E385E385E885E585E585EA85E1</x:v>
      </x:c>
    </x:row>
    <x:row r="96" ht="15" hidden="0" customHeight="1">
      <x:c r="A96" s="318" t="n">
        <x:v>283908072</x:v>
      </x:c>
      <x:c r="B96" s="301" t="n">
        <x:v>283913334</x:v>
      </x:c>
      <x:c r="C96" s="321" t="n">
        <x:v>264.174695</x:v>
      </x:c>
      <x:c r="D96" s="292" t="str">
        <x:v>588113</x:v>
      </x:c>
      <x:c r="E96" s="324" t="n">
        <x:v>15.07</x:v>
      </x:c>
      <x:c r="F96" s="324" t="n">
        <x:v>15.12</x:v>
      </x:c>
      <x:c r="G96" s="324" t="n">
        <x:v>15.07</x:v>
      </x:c>
      <x:c r="H96" s="324" t="n">
        <x:v>15.09</x:v>
      </x:c>
      <x:c r="I96" s="324" t="n">
        <x:v>15.07</x:v>
      </x:c>
      <x:c r="J96" s="324" t="n">
        <x:v>15.07</x:v>
      </x:c>
      <x:c r="K96" s="324" t="n">
        <x:v>15.07</x:v>
      </x:c>
      <x:c r="L96" s="324" t="n">
        <x:v>15.05</x:v>
      </x:c>
      <x:c r="M96" s="324" t="n">
        <x:v>15.07</x:v>
      </x:c>
      <x:c r="N96" s="324" t="n">
        <x:v>15.02</x:v>
      </x:c>
      <x:c r="O96" s="324" t="n">
        <x:v>15.07</x:v>
      </x:c>
      <x:c r="P96" s="324" t="n">
        <x:v>15.07</x:v>
      </x:c>
      <x:c r="Q96" s="324" t="n">
        <x:v>15.12</x:v>
      </x:c>
      <x:c r="R96" s="324" t="n">
        <x:v>15.07</x:v>
      </x:c>
      <x:c r="S96" s="324" t="n">
        <x:v>15.09</x:v>
      </x:c>
      <x:c r="T96" s="324" t="n">
        <x:v>15.14</x:v>
      </x:c>
      <x:c r="U96" s="324" t="n">
        <x:v>15.05</x:v>
      </x:c>
      <x:c r="V96" s="324" t="n">
        <x:v>256.31</x:v>
      </x:c>
      <x:c r="W96" s="324" t="n">
        <x:v>15.077059</x:v>
      </x:c>
      <x:c r="X96" s="324" t="n">
        <x:v>15.02</x:v>
      </x:c>
      <x:c r="Y96" s="324" t="n">
        <x:v>15.14</x:v>
      </x:c>
      <x:c r="Z96" s="324" t="n">
        <x:v>0.12</x:v>
      </x:c>
      <x:c r="AA96" s="292" t="str">
        <x:v>PROBABLE</x:v>
      </x:c>
      <x:c r="AB96" s="293" t="str">
        <x:v>61CE58811385E385E885E385E585E385E385E385E185E385DE85E385E385E885E385E585EA85E1</x:v>
      </x:c>
    </x:row>
    <x:row r="97" ht="15" hidden="0" customHeight="1">
      <x:c r="A97" s="318" t="n">
        <x:v>284583075</x:v>
      </x:c>
      <x:c r="B97" s="301" t="n">
        <x:v>284584951</x:v>
      </x:c>
      <x:c r="C97" s="321" t="n">
        <x:v>264.849692</x:v>
      </x:c>
      <x:c r="D97" s="292" t="str">
        <x:v>588113</x:v>
      </x:c>
      <x:c r="E97" s="324" t="n">
        <x:v>15.07</x:v>
      </x:c>
      <x:c r="F97" s="324" t="n">
        <x:v>15.12</x:v>
      </x:c>
      <x:c r="G97" s="324" t="n">
        <x:v>15.07</x:v>
      </x:c>
      <x:c r="H97" s="324" t="n">
        <x:v>15.09</x:v>
      </x:c>
      <x:c r="I97" s="324" t="n">
        <x:v>15.12</x:v>
      </x:c>
      <x:c r="J97" s="324" t="n">
        <x:v>15.07</x:v>
      </x:c>
      <x:c r="K97" s="324" t="n">
        <x:v>15.07</x:v>
      </x:c>
      <x:c r="L97" s="324" t="n">
        <x:v>15.09</x:v>
      </x:c>
      <x:c r="M97" s="324" t="n">
        <x:v>15.07</x:v>
      </x:c>
      <x:c r="N97" s="324" t="n">
        <x:v>15.05</x:v>
      </x:c>
      <x:c r="O97" s="324" t="n">
        <x:v>15.07</x:v>
      </x:c>
      <x:c r="P97" s="324" t="n">
        <x:v>15.07</x:v>
      </x:c>
      <x:c r="Q97" s="324" t="n">
        <x:v>15.05</x:v>
      </x:c>
      <x:c r="R97" s="324" t="n">
        <x:v>15.09</x:v>
      </x:c>
      <x:c r="S97" s="324" t="n">
        <x:v>15.09</x:v>
      </x:c>
      <x:c r="T97" s="324" t="n">
        <x:v>15.09</x:v>
      </x:c>
      <x:c r="U97" s="324" t="n">
        <x:v>15.02</x:v>
      </x:c>
      <x:c r="V97" s="324" t="n">
        <x:v>256.3</x:v>
      </x:c>
      <x:c r="W97" s="324" t="n">
        <x:v>15.076471</x:v>
      </x:c>
      <x:c r="X97" s="324" t="n">
        <x:v>15.02</x:v>
      </x:c>
      <x:c r="Y97" s="324" t="n">
        <x:v>15.12</x:v>
      </x:c>
      <x:c r="Z97" s="324" t="n">
        <x:v>0.1</x:v>
      </x:c>
      <x:c r="AA97" s="292" t="str">
        <x:v>PROBABLE</x:v>
      </x:c>
      <x:c r="AB97" s="293" t="str">
        <x:v>61CE58811385E385E885E385E585E885E385E385E585E385E185E385E385E185E585E585E585DE</x:v>
      </x:c>
    </x:row>
    <x:row r="98" ht="15" hidden="0" customHeight="1">
      <x:c r="A98" s="318" t="n">
        <x:v>285782459</x:v>
      </x:c>
      <x:c r="B98" s="301" t="n">
        <x:v>285784856</x:v>
      </x:c>
      <x:c r="C98" s="321" t="n">
        <x:v>266.049064</x:v>
      </x:c>
      <x:c r="D98" s="292" t="str">
        <x:v>588113</x:v>
      </x:c>
      <x:c r="E98" s="324" t="n">
        <x:v>15.09</x:v>
      </x:c>
      <x:c r="F98" s="324" t="n">
        <x:v>15.05</x:v>
      </x:c>
      <x:c r="G98" s="324" t="n">
        <x:v>15.07</x:v>
      </x:c>
      <x:c r="H98" s="324" t="n">
        <x:v>15.05</x:v>
      </x:c>
      <x:c r="I98" s="324" t="n">
        <x:v>15.12</x:v>
      </x:c>
      <x:c r="J98" s="324" t="n">
        <x:v>15.02</x:v>
      </x:c>
      <x:c r="K98" s="324" t="n">
        <x:v>15.05</x:v>
      </x:c>
      <x:c r="L98" s="324" t="n">
        <x:v>15.07</x:v>
      </x:c>
      <x:c r="M98" s="324" t="n">
        <x:v>15.07</x:v>
      </x:c>
      <x:c r="N98" s="324" t="n">
        <x:v>15.02</x:v>
      </x:c>
      <x:c r="O98" s="324" t="n">
        <x:v>15.07</x:v>
      </x:c>
      <x:c r="P98" s="324" t="n">
        <x:v>15.07</x:v>
      </x:c>
      <x:c r="Q98" s="324" t="n">
        <x:v>15.12</x:v>
      </x:c>
      <x:c r="R98" s="324" t="n">
        <x:v>15.07</x:v>
      </x:c>
      <x:c r="S98" s="324" t="n">
        <x:v>15.07</x:v>
      </x:c>
      <x:c r="T98" s="324" t="n">
        <x:v>15.14</x:v>
      </x:c>
      <x:c r="U98" s="324" t="n">
        <x:v>15.09</x:v>
      </x:c>
      <x:c r="V98" s="324" t="n">
        <x:v>256.24</x:v>
      </x:c>
      <x:c r="W98" s="324" t="n">
        <x:v>15.072941</x:v>
      </x:c>
      <x:c r="X98" s="324" t="n">
        <x:v>15.02</x:v>
      </x:c>
      <x:c r="Y98" s="324" t="n">
        <x:v>15.14</x:v>
      </x:c>
      <x:c r="Z98" s="324" t="n">
        <x:v>0.12</x:v>
      </x:c>
      <x:c r="AA98" s="292" t="str">
        <x:v>PROBABLE</x:v>
      </x:c>
      <x:c r="AB98" s="293" t="str">
        <x:v>61CE58811385E585E185E385E185E885DE85E185E385E385DE85E385E385E885E385E385EA85E5</x:v>
      </x:c>
    </x:row>
    <x:row r="99" ht="15" hidden="0" customHeight="1">
      <x:c r="A99" s="318" t="n">
        <x:v>286325195</x:v>
      </x:c>
      <x:c r="B99" s="301" t="n">
        <x:v>286330507</x:v>
      </x:c>
      <x:c r="C99" s="321" t="n">
        <x:v>266.591795</x:v>
      </x:c>
      <x:c r="D99" s="292" t="str">
        <x:v>588113</x:v>
      </x:c>
      <x:c r="E99" s="324" t="n">
        <x:v>15.09</x:v>
      </x:c>
      <x:c r="F99" s="324" t="n">
        <x:v>15.05</x:v>
      </x:c>
      <x:c r="G99" s="324" t="n">
        <x:v>15.07</x:v>
      </x:c>
      <x:c r="H99" s="324" t="n">
        <x:v>15.05</x:v>
      </x:c>
      <x:c r="I99" s="324" t="n">
        <x:v>15.12</x:v>
      </x:c>
      <x:c r="J99" s="324" t="n">
        <x:v>15.02</x:v>
      </x:c>
      <x:c r="K99" s="324" t="n">
        <x:v>15.05</x:v>
      </x:c>
      <x:c r="L99" s="324" t="n">
        <x:v>15.07</x:v>
      </x:c>
      <x:c r="M99" s="324" t="n">
        <x:v>15.07</x:v>
      </x:c>
      <x:c r="N99" s="324" t="n">
        <x:v>15.02</x:v>
      </x:c>
      <x:c r="O99" s="324" t="n">
        <x:v>15.07</x:v>
      </x:c>
      <x:c r="P99" s="324" t="n">
        <x:v>15.07</x:v>
      </x:c>
      <x:c r="Q99" s="324" t="n">
        <x:v>15.12</x:v>
      </x:c>
      <x:c r="R99" s="324" t="n">
        <x:v>15.07</x:v>
      </x:c>
      <x:c r="S99" s="324" t="n">
        <x:v>15.07</x:v>
      </x:c>
      <x:c r="T99" s="324" t="n">
        <x:v>15.14</x:v>
      </x:c>
      <x:c r="U99" s="324" t="n">
        <x:v>15.07</x:v>
      </x:c>
      <x:c r="V99" s="324" t="n">
        <x:v>256.22</x:v>
      </x:c>
      <x:c r="W99" s="324" t="n">
        <x:v>15.071765</x:v>
      </x:c>
      <x:c r="X99" s="324" t="n">
        <x:v>15.02</x:v>
      </x:c>
      <x:c r="Y99" s="324" t="n">
        <x:v>15.14</x:v>
      </x:c>
      <x:c r="Z99" s="324" t="n">
        <x:v>0.12</x:v>
      </x:c>
      <x:c r="AA99" s="292" t="str">
        <x:v>PROBABLE</x:v>
      </x:c>
      <x:c r="AB99" s="293" t="str">
        <x:v>61CE58811385E585E185E385E185E885DE85E185E385E385DE85E385E385E885E385E385EA85E3</x:v>
      </x:c>
    </x:row>
    <x:row r="100" ht="15" hidden="0" customHeight="1">
      <x:c r="A100" s="318" t="n">
        <x:v>286916859</x:v>
      </x:c>
      <x:c r="B100" s="301" t="n">
        <x:v>286919253</x:v>
      </x:c>
      <x:c r="C100" s="321" t="n">
        <x:v>267.183454</x:v>
      </x:c>
      <x:c r="D100" s="292" t="str">
        <x:v>588113</x:v>
      </x:c>
      <x:c r="E100" s="324" t="n">
        <x:v>15</x:v>
      </x:c>
      <x:c r="F100" s="324" t="n">
        <x:v>15.14</x:v>
      </x:c>
      <x:c r="G100" s="324" t="n">
        <x:v>15.07</x:v>
      </x:c>
      <x:c r="H100" s="324" t="n">
        <x:v>15.05</x:v>
      </x:c>
      <x:c r="I100" s="324" t="n">
        <x:v>15.09</x:v>
      </x:c>
      <x:c r="J100" s="324" t="n">
        <x:v>15.05</x:v>
      </x:c>
      <x:c r="K100" s="324" t="n">
        <x:v>15.05</x:v>
      </x:c>
      <x:c r="L100" s="324" t="n">
        <x:v>15.07</x:v>
      </x:c>
      <x:c r="M100" s="324" t="n">
        <x:v>15.07</x:v>
      </x:c>
      <x:c r="N100" s="324" t="n">
        <x:v>15.05</x:v>
      </x:c>
      <x:c r="O100" s="324" t="n">
        <x:v>15.07</x:v>
      </x:c>
      <x:c r="P100" s="324" t="n">
        <x:v>15.02</x:v>
      </x:c>
      <x:c r="Q100" s="324" t="n">
        <x:v>15.09</x:v>
      </x:c>
      <x:c r="R100" s="324" t="n">
        <x:v>15.09</x:v>
      </x:c>
      <x:c r="S100" s="324" t="n">
        <x:v>15.07</x:v>
      </x:c>
      <x:c r="T100" s="324" t="n">
        <x:v>15.12</x:v>
      </x:c>
      <x:c r="U100" s="324" t="n">
        <x:v>15.05</x:v>
      </x:c>
      <x:c r="V100" s="324" t="n">
        <x:v>256.15</x:v>
      </x:c>
      <x:c r="W100" s="324" t="n">
        <x:v>15.067647</x:v>
      </x:c>
      <x:c r="X100" s="324" t="n">
        <x:v>15</x:v>
      </x:c>
      <x:c r="Y100" s="324" t="n">
        <x:v>15.14</x:v>
      </x:c>
      <x:c r="Z100" s="324" t="n">
        <x:v>0.14</x:v>
      </x:c>
      <x:c r="AA100" s="292" t="str">
        <x:v>PROBABLE</x:v>
      </x:c>
      <x:c r="AB100" s="293" t="str">
        <x:v>61CE58811385DC85EA85E385E185E585E185E185E385E385E185E385DE85E585E585E385E885E1</x:v>
      </x:c>
    </x:row>
    <x:row r="101" ht="15" hidden="0" customHeight="1">
      <x:c r="A101" s="318" t="n">
        <x:v>287474667</x:v>
      </x:c>
      <x:c r="B101" s="301" t="n">
        <x:v>287476213</x:v>
      </x:c>
      <x:c r="C101" s="321" t="n">
        <x:v>267.741256</x:v>
      </x:c>
      <x:c r="D101" s="292" t="str">
        <x:v>588113</x:v>
      </x:c>
      <x:c r="E101" s="324" t="n">
        <x:v>15</x:v>
      </x:c>
      <x:c r="F101" s="324" t="n">
        <x:v>15.14</x:v>
      </x:c>
      <x:c r="G101" s="324" t="n">
        <x:v>15.07</x:v>
      </x:c>
      <x:c r="H101" s="324" t="n">
        <x:v>15.05</x:v>
      </x:c>
      <x:c r="I101" s="324" t="n">
        <x:v>15.09</x:v>
      </x:c>
      <x:c r="J101" s="324" t="n">
        <x:v>15.07</x:v>
      </x:c>
      <x:c r="K101" s="324" t="n">
        <x:v>15.05</x:v>
      </x:c>
      <x:c r="L101" s="324" t="n">
        <x:v>15.07</x:v>
      </x:c>
      <x:c r="M101" s="324" t="n">
        <x:v>15.07</x:v>
      </x:c>
      <x:c r="N101" s="324" t="n">
        <x:v>15.05</x:v>
      </x:c>
      <x:c r="O101" s="324" t="n">
        <x:v>15.07</x:v>
      </x:c>
      <x:c r="P101" s="324" t="n">
        <x:v>15.02</x:v>
      </x:c>
      <x:c r="Q101" s="324" t="n">
        <x:v>15.09</x:v>
      </x:c>
      <x:c r="R101" s="324" t="n">
        <x:v>15.09</x:v>
      </x:c>
      <x:c r="S101" s="324" t="n">
        <x:v>15.07</x:v>
      </x:c>
      <x:c r="T101" s="324" t="n">
        <x:v>15.12</x:v>
      </x:c>
      <x:c r="U101" s="324" t="n">
        <x:v>15.05</x:v>
      </x:c>
      <x:c r="V101" s="324" t="n">
        <x:v>256.17</x:v>
      </x:c>
      <x:c r="W101" s="324" t="n">
        <x:v>15.068824</x:v>
      </x:c>
      <x:c r="X101" s="324" t="n">
        <x:v>15</x:v>
      </x:c>
      <x:c r="Y101" s="324" t="n">
        <x:v>15.14</x:v>
      </x:c>
      <x:c r="Z101" s="324" t="n">
        <x:v>0.14</x:v>
      </x:c>
      <x:c r="AA101" s="292" t="str">
        <x:v>PROBABLE</x:v>
      </x:c>
      <x:c r="AB101" s="293" t="str">
        <x:v>61CE58811385DC85EA85E385E185E585E385E185E385E385E185E385DE85E585E585E385E885E1</x:v>
      </x:c>
    </x:row>
    <x:row r="102" ht="15" hidden="0" customHeight="1">
      <x:c r="A102" s="318" t="n">
        <x:v>288092254</x:v>
      </x:c>
      <x:c r="B102" s="301" t="n">
        <x:v>288094607</x:v>
      </x:c>
      <x:c r="C102" s="321" t="n">
        <x:v>268.358838</x:v>
      </x:c>
      <x:c r="D102" s="292" t="str">
        <x:v>588113</x:v>
      </x:c>
      <x:c r="E102" s="324" t="n">
        <x:v>15.05</x:v>
      </x:c>
      <x:c r="F102" s="324" t="n">
        <x:v>15.09</x:v>
      </x:c>
      <x:c r="G102" s="324" t="n">
        <x:v>15.07</x:v>
      </x:c>
      <x:c r="H102" s="324" t="n">
        <x:v>15.07</x:v>
      </x:c>
      <x:c r="I102" s="324" t="n">
        <x:v>15.05</x:v>
      </x:c>
      <x:c r="J102" s="324" t="n">
        <x:v>15.07</x:v>
      </x:c>
      <x:c r="K102" s="324" t="n">
        <x:v>15.07</x:v>
      </x:c>
      <x:c r="L102" s="324" t="n">
        <x:v>15.02</x:v>
      </x:c>
      <x:c r="M102" s="324" t="n">
        <x:v>15.07</x:v>
      </x:c>
      <x:c r="N102" s="324" t="n">
        <x:v>15.02</x:v>
      </x:c>
      <x:c r="O102" s="324" t="n">
        <x:v>15.07</x:v>
      </x:c>
      <x:c r="P102" s="324" t="n">
        <x:v>15.02</x:v>
      </x:c>
      <x:c r="Q102" s="324" t="n">
        <x:v>15.09</x:v>
      </x:c>
      <x:c r="R102" s="324" t="n">
        <x:v>15.07</x:v>
      </x:c>
      <x:c r="S102" s="324" t="n">
        <x:v>15.07</x:v>
      </x:c>
      <x:c r="T102" s="324" t="n">
        <x:v>15.12</x:v>
      </x:c>
      <x:c r="U102" s="324" t="n">
        <x:v>15.02</x:v>
      </x:c>
      <x:c r="V102" s="324" t="n">
        <x:v>256.04</x:v>
      </x:c>
      <x:c r="W102" s="324" t="n">
        <x:v>15.061176</x:v>
      </x:c>
      <x:c r="X102" s="324" t="n">
        <x:v>15.02</x:v>
      </x:c>
      <x:c r="Y102" s="324" t="n">
        <x:v>15.12</x:v>
      </x:c>
      <x:c r="Z102" s="324" t="n">
        <x:v>0.1</x:v>
      </x:c>
      <x:c r="AA102" s="292" t="str">
        <x:v>PROBABLE</x:v>
      </x:c>
      <x:c r="AB102" s="293" t="str">
        <x:v>61CE58811385E185E585E385E385E185E385E385DE85E385DE85E385DE85E585E385E385E885DE</x:v>
      </x:c>
    </x:row>
    <x:row r="103" ht="15" hidden="0" customHeight="1">
      <x:c r="A103" s="318" t="n">
        <x:v>288691836</x:v>
      </x:c>
      <x:c r="B103" s="301" t="n">
        <x:v>288696619</x:v>
      </x:c>
      <x:c r="C103" s="321" t="n">
        <x:v>268.958414</x:v>
      </x:c>
      <x:c r="D103" s="292" t="str">
        <x:v>588113</x:v>
      </x:c>
      <x:c r="E103" s="324" t="n">
        <x:v>15.05</x:v>
      </x:c>
      <x:c r="F103" s="324" t="n">
        <x:v>15.12</x:v>
      </x:c>
      <x:c r="G103" s="324" t="n">
        <x:v>15.07</x:v>
      </x:c>
      <x:c r="H103" s="324" t="n">
        <x:v>15.07</x:v>
      </x:c>
      <x:c r="I103" s="324" t="n">
        <x:v>15.05</x:v>
      </x:c>
      <x:c r="J103" s="324" t="n">
        <x:v>15.07</x:v>
      </x:c>
      <x:c r="K103" s="324" t="n">
        <x:v>15.07</x:v>
      </x:c>
      <x:c r="L103" s="324" t="n">
        <x:v>15.02</x:v>
      </x:c>
      <x:c r="M103" s="324" t="n">
        <x:v>15.07</x:v>
      </x:c>
      <x:c r="N103" s="324" t="n">
        <x:v>15.05</x:v>
      </x:c>
      <x:c r="O103" s="324" t="n">
        <x:v>15.05</x:v>
      </x:c>
      <x:c r="P103" s="324" t="n">
        <x:v>15.02</x:v>
      </x:c>
      <x:c r="Q103" s="324" t="n">
        <x:v>15.07</x:v>
      </x:c>
      <x:c r="R103" s="324" t="n">
        <x:v>15.07</x:v>
      </x:c>
      <x:c r="S103" s="324" t="n">
        <x:v>15.07</x:v>
      </x:c>
      <x:c r="T103" s="324" t="n">
        <x:v>15.12</x:v>
      </x:c>
      <x:c r="U103" s="324" t="n">
        <x:v>15.02</x:v>
      </x:c>
      <x:c r="V103" s="324" t="n">
        <x:v>256.06</x:v>
      </x:c>
      <x:c r="W103" s="324" t="n">
        <x:v>15.062353</x:v>
      </x:c>
      <x:c r="X103" s="324" t="n">
        <x:v>15.02</x:v>
      </x:c>
      <x:c r="Y103" s="324" t="n">
        <x:v>15.12</x:v>
      </x:c>
      <x:c r="Z103" s="324" t="n">
        <x:v>0.1</x:v>
      </x:c>
      <x:c r="AA103" s="292" t="str">
        <x:v>PROBABLE</x:v>
      </x:c>
      <x:c r="AB103" s="293" t="str">
        <x:v>61CE58811385E185E885E385E385E185E385E385DE85E385E185E185DE85E385E385E385E885DE</x:v>
      </x:c>
    </x:row>
    <x:row r="104" ht="15" hidden="0" customHeight="1">
      <x:c r="A104" s="318" t="n">
        <x:v>289333132</x:v>
      </x:c>
      <x:c r="B104" s="301" t="n">
        <x:v>289335493</x:v>
      </x:c>
      <x:c r="C104" s="321" t="n">
        <x:v>269.599704</x:v>
      </x:c>
      <x:c r="D104" s="292" t="str">
        <x:v>588113</x:v>
      </x:c>
      <x:c r="E104" s="324" t="n">
        <x:v>15.05</x:v>
      </x:c>
      <x:c r="F104" s="324" t="n">
        <x:v>15.12</x:v>
      </x:c>
      <x:c r="G104" s="324" t="n">
        <x:v>15.07</x:v>
      </x:c>
      <x:c r="H104" s="324" t="n">
        <x:v>15.07</x:v>
      </x:c>
      <x:c r="I104" s="324" t="n">
        <x:v>15.09</x:v>
      </x:c>
      <x:c r="J104" s="324" t="n">
        <x:v>15.05</x:v>
      </x:c>
      <x:c r="K104" s="324" t="n">
        <x:v>15.02</x:v>
      </x:c>
      <x:c r="L104" s="324" t="n">
        <x:v>15.05</x:v>
      </x:c>
      <x:c r="M104" s="324" t="n">
        <x:v>15.02</x:v>
      </x:c>
      <x:c r="N104" s="324" t="n">
        <x:v>15.05</x:v>
      </x:c>
      <x:c r="O104" s="324" t="n">
        <x:v>15.07</x:v>
      </x:c>
      <x:c r="P104" s="324" t="n">
        <x:v>14.97</x:v>
      </x:c>
      <x:c r="Q104" s="324" t="n">
        <x:v>15.09</x:v>
      </x:c>
      <x:c r="R104" s="324" t="n">
        <x:v>15.07</x:v>
      </x:c>
      <x:c r="S104" s="324" t="n">
        <x:v>15.07</x:v>
      </x:c>
      <x:c r="T104" s="324" t="n">
        <x:v>15.12</x:v>
      </x:c>
      <x:c r="U104" s="324" t="n">
        <x:v>15.02</x:v>
      </x:c>
      <x:c r="V104" s="324" t="n">
        <x:v>256</x:v>
      </x:c>
      <x:c r="W104" s="324" t="n">
        <x:v>15.058824</x:v>
      </x:c>
      <x:c r="X104" s="324" t="n">
        <x:v>14.97</x:v>
      </x:c>
      <x:c r="Y104" s="324" t="n">
        <x:v>15.12</x:v>
      </x:c>
      <x:c r="Z104" s="324" t="n">
        <x:v>0.15</x:v>
      </x:c>
      <x:c r="AA104" s="292" t="str">
        <x:v>PROBABLE</x:v>
      </x:c>
      <x:c r="AB104" s="293" t="str">
        <x:v>61CE58811385E185E885E385E385E585E185DE85E185DE85E185E385D985E585E385E385E885DE</x:v>
      </x:c>
    </x:row>
    <x:row r="105" ht="15" hidden="0" customHeight="1">
      <x:c r="A105" s="318" t="n">
        <x:v>289929355</x:v>
      </x:c>
      <x:c r="B105" s="301" t="n">
        <x:v>289933627</x:v>
      </x:c>
      <x:c r="C105" s="321" t="n">
        <x:v>270.195921</x:v>
      </x:c>
      <x:c r="D105" s="292" t="str">
        <x:v>588113</x:v>
      </x:c>
      <x:c r="E105" s="324" t="n">
        <x:v>15.05</x:v>
      </x:c>
      <x:c r="F105" s="324" t="n">
        <x:v>15.09</x:v>
      </x:c>
      <x:c r="G105" s="324" t="n">
        <x:v>15.07</x:v>
      </x:c>
      <x:c r="H105" s="324" t="n">
        <x:v>15.07</x:v>
      </x:c>
      <x:c r="I105" s="324" t="n">
        <x:v>15.09</x:v>
      </x:c>
      <x:c r="J105" s="324" t="n">
        <x:v>15.02</x:v>
      </x:c>
      <x:c r="K105" s="324" t="n">
        <x:v>15.02</x:v>
      </x:c>
      <x:c r="L105" s="324" t="n">
        <x:v>15.07</x:v>
      </x:c>
      <x:c r="M105" s="324" t="n">
        <x:v>15.07</x:v>
      </x:c>
      <x:c r="N105" s="324" t="n">
        <x:v>15.02</x:v>
      </x:c>
      <x:c r="O105" s="324" t="n">
        <x:v>15.05</x:v>
      </x:c>
      <x:c r="P105" s="324" t="n">
        <x:v>15.02</x:v>
      </x:c>
      <x:c r="Q105" s="324" t="n">
        <x:v>15.02</x:v>
      </x:c>
      <x:c r="R105" s="324" t="n">
        <x:v>15.07</x:v>
      </x:c>
      <x:c r="S105" s="324" t="n">
        <x:v>15.07</x:v>
      </x:c>
      <x:c r="T105" s="324" t="n">
        <x:v>15.07</x:v>
      </x:c>
      <x:c r="U105" s="324" t="n">
        <x:v>15</x:v>
      </x:c>
      <x:c r="V105" s="324" t="n">
        <x:v>255.87</x:v>
      </x:c>
      <x:c r="W105" s="324" t="n">
        <x:v>15.051176</x:v>
      </x:c>
      <x:c r="X105" s="324" t="n">
        <x:v>15</x:v>
      </x:c>
      <x:c r="Y105" s="324" t="n">
        <x:v>15.09</x:v>
      </x:c>
      <x:c r="Z105" s="324" t="n">
        <x:v>0.09</x:v>
      </x:c>
      <x:c r="AA105" s="292" t="str">
        <x:v>PROBABLE</x:v>
      </x:c>
      <x:c r="AB105" s="293" t="str">
        <x:v>61CE58811385E185E585E385E385E585DE85DE85E385E385DE85E185DE85DE85E385E385E385DC</x:v>
      </x:c>
    </x:row>
    <x:row r="106" ht="15" hidden="0" customHeight="1">
      <x:c r="A106" s="318" t="n">
        <x:v>290545601</x:v>
      </x:c>
      <x:c r="B106" s="301" t="n">
        <x:v>290547707</x:v>
      </x:c>
      <x:c r="C106" s="321" t="n">
        <x:v>270.812161</x:v>
      </x:c>
      <x:c r="D106" s="292" t="str">
        <x:v>588113</x:v>
      </x:c>
      <x:c r="E106" s="324" t="n">
        <x:v>15.07</x:v>
      </x:c>
      <x:c r="F106" s="324" t="n">
        <x:v>15.05</x:v>
      </x:c>
      <x:c r="G106" s="324" t="n">
        <x:v>15.07</x:v>
      </x:c>
      <x:c r="H106" s="324" t="n">
        <x:v>15.02</x:v>
      </x:c>
      <x:c r="I106" s="324" t="n">
        <x:v>15.12</x:v>
      </x:c>
      <x:c r="J106" s="324" t="n">
        <x:v>15.05</x:v>
      </x:c>
      <x:c r="K106" s="324" t="n">
        <x:v>15.02</x:v>
      </x:c>
      <x:c r="L106" s="324" t="n">
        <x:v>15.07</x:v>
      </x:c>
      <x:c r="M106" s="324" t="n">
        <x:v>15.07</x:v>
      </x:c>
      <x:c r="N106" s="324" t="n">
        <x:v>15.02</x:v>
      </x:c>
      <x:c r="O106" s="324" t="n">
        <x:v>15.05</x:v>
      </x:c>
      <x:c r="P106" s="324" t="n">
        <x:v>15.02</x:v>
      </x:c>
      <x:c r="Q106" s="324" t="n">
        <x:v>15.07</x:v>
      </x:c>
      <x:c r="R106" s="324" t="n">
        <x:v>15.07</x:v>
      </x:c>
      <x:c r="S106" s="324" t="n">
        <x:v>15.07</x:v>
      </x:c>
      <x:c r="T106" s="324" t="n">
        <x:v>15.12</x:v>
      </x:c>
      <x:c r="U106" s="324" t="n">
        <x:v>15.05</x:v>
      </x:c>
      <x:c r="V106" s="324" t="n">
        <x:v>256.01</x:v>
      </x:c>
      <x:c r="W106" s="324" t="n">
        <x:v>15.059412</x:v>
      </x:c>
      <x:c r="X106" s="324" t="n">
        <x:v>15.02</x:v>
      </x:c>
      <x:c r="Y106" s="324" t="n">
        <x:v>15.12</x:v>
      </x:c>
      <x:c r="Z106" s="324" t="n">
        <x:v>0.1</x:v>
      </x:c>
      <x:c r="AA106" s="292" t="str">
        <x:v>PROBABLE</x:v>
      </x:c>
      <x:c r="AB106" s="293" t="str">
        <x:v>61CE58811385E385E185E385DE85E885E185DE85E385E385DE85E185DE85E385E385E385E885E1</x:v>
      </x:c>
    </x:row>
    <x:row r="107" ht="15" hidden="0" customHeight="1">
      <x:c r="A107" s="318" t="n">
        <x:v>291070660</x:v>
      </x:c>
      <x:c r="B107" s="301" t="n">
        <x:v>291075993</x:v>
      </x:c>
      <x:c r="C107" s="321" t="n">
        <x:v>271.337215</x:v>
      </x:c>
      <x:c r="D107" s="292" t="str">
        <x:v>588113</x:v>
      </x:c>
      <x:c r="E107" s="324" t="n">
        <x:v>15.07</x:v>
      </x:c>
      <x:c r="F107" s="324" t="n">
        <x:v>15.02</x:v>
      </x:c>
      <x:c r="G107" s="324" t="n">
        <x:v>15.07</x:v>
      </x:c>
      <x:c r="H107" s="324" t="n">
        <x:v>15.02</x:v>
      </x:c>
      <x:c r="I107" s="324" t="n">
        <x:v>15.09</x:v>
      </x:c>
      <x:c r="J107" s="324" t="n">
        <x:v>15.02</x:v>
      </x:c>
      <x:c r="K107" s="324" t="n">
        <x:v>15.02</x:v>
      </x:c>
      <x:c r="L107" s="324" t="n">
        <x:v>15.07</x:v>
      </x:c>
      <x:c r="M107" s="324" t="n">
        <x:v>15.07</x:v>
      </x:c>
      <x:c r="N107" s="324" t="n">
        <x:v>15</x:v>
      </x:c>
      <x:c r="O107" s="324" t="n">
        <x:v>15.05</x:v>
      </x:c>
      <x:c r="P107" s="324" t="n">
        <x:v>15.02</x:v>
      </x:c>
      <x:c r="Q107" s="324" t="n">
        <x:v>15.07</x:v>
      </x:c>
      <x:c r="R107" s="324" t="n">
        <x:v>15.05</x:v>
      </x:c>
      <x:c r="S107" s="324" t="n">
        <x:v>15.07</x:v>
      </x:c>
      <x:c r="T107" s="324" t="n">
        <x:v>15.12</x:v>
      </x:c>
      <x:c r="U107" s="324" t="n">
        <x:v>15.05</x:v>
      </x:c>
      <x:c r="V107" s="324" t="n">
        <x:v>255.88</x:v>
      </x:c>
      <x:c r="W107" s="324" t="n">
        <x:v>15.051765</x:v>
      </x:c>
      <x:c r="X107" s="324" t="n">
        <x:v>15</x:v>
      </x:c>
      <x:c r="Y107" s="324" t="n">
        <x:v>15.12</x:v>
      </x:c>
      <x:c r="Z107" s="324" t="n">
        <x:v>0.12</x:v>
      </x:c>
      <x:c r="AA107" s="292" t="str">
        <x:v>PROBABLE</x:v>
      </x:c>
      <x:c r="AB107" s="293" t="str">
        <x:v>61CE58811385E385DE85E385DE85E585DE85DE85E385E385DC85E185DE85E385E185E385E885E1</x:v>
      </x:c>
    </x:row>
    <x:row r="108" ht="15" hidden="0" customHeight="1">
      <x:c r="A108" s="318" t="n">
        <x:v>291704357</x:v>
      </x:c>
      <x:c r="B108" s="301" t="n">
        <x:v>291706671</x:v>
      </x:c>
      <x:c r="C108" s="321" t="n">
        <x:v>271.970906</x:v>
      </x:c>
      <x:c r="D108" s="292" t="str">
        <x:v>588113</x:v>
      </x:c>
      <x:c r="E108" s="324" t="n">
        <x:v>15</x:v>
      </x:c>
      <x:c r="F108" s="324" t="n">
        <x:v>15.12</x:v>
      </x:c>
      <x:c r="G108" s="324" t="n">
        <x:v>15.07</x:v>
      </x:c>
      <x:c r="H108" s="324" t="n">
        <x:v>15.02</x:v>
      </x:c>
      <x:c r="I108" s="324" t="n">
        <x:v>15.09</x:v>
      </x:c>
      <x:c r="J108" s="324" t="n">
        <x:v>15.05</x:v>
      </x:c>
      <x:c r="K108" s="324" t="n">
        <x:v>15.02</x:v>
      </x:c>
      <x:c r="L108" s="324" t="n">
        <x:v>15.07</x:v>
      </x:c>
      <x:c r="M108" s="324" t="n">
        <x:v>15.05</x:v>
      </x:c>
      <x:c r="N108" s="324" t="n">
        <x:v>15.02</x:v>
      </x:c>
      <x:c r="O108" s="324" t="n">
        <x:v>15.05</x:v>
      </x:c>
      <x:c r="P108" s="324" t="n">
        <x:v>15.02</x:v>
      </x:c>
      <x:c r="Q108" s="324" t="n">
        <x:v>15.07</x:v>
      </x:c>
      <x:c r="R108" s="324" t="n">
        <x:v>15.07</x:v>
      </x:c>
      <x:c r="S108" s="324" t="n">
        <x:v>15.07</x:v>
      </x:c>
      <x:c r="T108" s="324" t="n">
        <x:v>15.12</x:v>
      </x:c>
      <x:c r="U108" s="324" t="n">
        <x:v>15.02</x:v>
      </x:c>
      <x:c r="V108" s="324" t="n">
        <x:v>255.93</x:v>
      </x:c>
      <x:c r="W108" s="324" t="n">
        <x:v>15.054706</x:v>
      </x:c>
      <x:c r="X108" s="324" t="n">
        <x:v>15</x:v>
      </x:c>
      <x:c r="Y108" s="324" t="n">
        <x:v>15.12</x:v>
      </x:c>
      <x:c r="Z108" s="324" t="n">
        <x:v>0.12</x:v>
      </x:c>
      <x:c r="AA108" s="292" t="str">
        <x:v>PROBABLE</x:v>
      </x:c>
      <x:c r="AB108" s="293" t="str">
        <x:v>61CE58811385DC85E885E385DE85E585E185DE85E385E185DE85E185DE85E385E385E385E885DE</x:v>
      </x:c>
    </x:row>
    <x:row r="109" ht="15" hidden="0" customHeight="1">
      <x:c r="A109" s="318" t="n">
        <x:v>292281862</x:v>
      </x:c>
      <x:c r="B109" s="301" t="n">
        <x:v>292284110</x:v>
      </x:c>
      <x:c r="C109" s="321" t="n">
        <x:v>272.548406</x:v>
      </x:c>
      <x:c r="D109" s="292" t="str">
        <x:v>588113</x:v>
      </x:c>
      <x:c r="E109" s="324" t="n">
        <x:v>14.97</x:v>
      </x:c>
      <x:c r="F109" s="324" t="n">
        <x:v>15.12</x:v>
      </x:c>
      <x:c r="G109" s="324" t="n">
        <x:v>15.07</x:v>
      </x:c>
      <x:c r="H109" s="324" t="n">
        <x:v>15.02</x:v>
      </x:c>
      <x:c r="I109" s="324" t="n">
        <x:v>15.07</x:v>
      </x:c>
      <x:c r="J109" s="324" t="n">
        <x:v>15.05</x:v>
      </x:c>
      <x:c r="K109" s="324" t="n">
        <x:v>15.02</x:v>
      </x:c>
      <x:c r="L109" s="324" t="n">
        <x:v>15.07</x:v>
      </x:c>
      <x:c r="M109" s="324" t="n">
        <x:v>15.05</x:v>
      </x:c>
      <x:c r="N109" s="324" t="n">
        <x:v>15.02</x:v>
      </x:c>
      <x:c r="O109" s="324" t="n">
        <x:v>15.05</x:v>
      </x:c>
      <x:c r="P109" s="324" t="n">
        <x:v>15</x:v>
      </x:c>
      <x:c r="Q109" s="324" t="n">
        <x:v>15.07</x:v>
      </x:c>
      <x:c r="R109" s="324" t="n">
        <x:v>15.07</x:v>
      </x:c>
      <x:c r="S109" s="324" t="n">
        <x:v>15.07</x:v>
      </x:c>
      <x:c r="T109" s="324" t="n">
        <x:v>15.12</x:v>
      </x:c>
      <x:c r="U109" s="324" t="n">
        <x:v>15</x:v>
      </x:c>
      <x:c r="V109" s="324" t="n">
        <x:v>255.84</x:v>
      </x:c>
      <x:c r="W109" s="324" t="n">
        <x:v>15.049412</x:v>
      </x:c>
      <x:c r="X109" s="324" t="n">
        <x:v>14.97</x:v>
      </x:c>
      <x:c r="Y109" s="324" t="n">
        <x:v>15.12</x:v>
      </x:c>
      <x:c r="Z109" s="324" t="n">
        <x:v>0.15</x:v>
      </x:c>
      <x:c r="AA109" s="292" t="str">
        <x:v>PROBABLE</x:v>
      </x:c>
      <x:c r="AB109" s="293" t="str">
        <x:v>61CE58811385D985E885E385DE85E385E185DE85E385E185DE85E185DC85E385E385E385E885DC</x:v>
      </x:c>
    </x:row>
    <x:row r="110" ht="15" hidden="0" customHeight="1">
      <x:c r="A110" s="318" t="n">
        <x:v>292892290</x:v>
      </x:c>
      <x:c r="B110" s="301" t="n">
        <x:v>292894311</x:v>
      </x:c>
      <x:c r="C110" s="321" t="n">
        <x:v>273.158828</x:v>
      </x:c>
      <x:c r="D110" s="292" t="str">
        <x:v>588113</x:v>
      </x:c>
      <x:c r="E110" s="324" t="n">
        <x:v>15.05</x:v>
      </x:c>
      <x:c r="F110" s="324" t="n">
        <x:v>15.12</x:v>
      </x:c>
      <x:c r="G110" s="324" t="n">
        <x:v>15.05</x:v>
      </x:c>
      <x:c r="H110" s="324" t="n">
        <x:v>15.05</x:v>
      </x:c>
      <x:c r="I110" s="324" t="n">
        <x:v>15.05</x:v>
      </x:c>
      <x:c r="J110" s="324" t="n">
        <x:v>15.05</x:v>
      </x:c>
      <x:c r="K110" s="324" t="n">
        <x:v>15.02</x:v>
      </x:c>
      <x:c r="L110" s="324" t="n">
        <x:v>15</x:v>
      </x:c>
      <x:c r="M110" s="324" t="n">
        <x:v>15.05</x:v>
      </x:c>
      <x:c r="N110" s="324" t="n">
        <x:v>15.02</x:v>
      </x:c>
      <x:c r="O110" s="324" t="n">
        <x:v>15.05</x:v>
      </x:c>
      <x:c r="P110" s="324" t="n">
        <x:v>15</x:v>
      </x:c>
      <x:c r="Q110" s="324" t="n">
        <x:v>15.07</x:v>
      </x:c>
      <x:c r="R110" s="324" t="n">
        <x:v>15.05</x:v>
      </x:c>
      <x:c r="S110" s="324" t="n">
        <x:v>15.07</x:v>
      </x:c>
      <x:c r="T110" s="324" t="n">
        <x:v>15.12</x:v>
      </x:c>
      <x:c r="U110" s="324" t="n">
        <x:v>15.02</x:v>
      </x:c>
      <x:c r="V110" s="324" t="n">
        <x:v>255.84</x:v>
      </x:c>
      <x:c r="W110" s="324" t="n">
        <x:v>15.049412</x:v>
      </x:c>
      <x:c r="X110" s="324" t="n">
        <x:v>15</x:v>
      </x:c>
      <x:c r="Y110" s="324" t="n">
        <x:v>15.12</x:v>
      </x:c>
      <x:c r="Z110" s="324" t="n">
        <x:v>0.12</x:v>
      </x:c>
      <x:c r="AA110" s="292" t="str">
        <x:v>PROBABLE</x:v>
      </x:c>
      <x:c r="AB110" s="293" t="str">
        <x:v>61CE58811385E185E885E185E185E185E185DE85DC85E185DE85E185DC85E385E185E385E885DE</x:v>
      </x:c>
    </x:row>
    <x:row r="111" ht="15" hidden="0" customHeight="1">
      <x:c r="A111" s="318" t="n">
        <x:v>293423117</x:v>
      </x:c>
      <x:c r="B111" s="301" t="n">
        <x:v>293426705</x:v>
      </x:c>
      <x:c r="C111" s="321" t="n">
        <x:v>273.68965</x:v>
      </x:c>
      <x:c r="D111" s="292" t="str">
        <x:v>588113</x:v>
      </x:c>
      <x:c r="E111" s="324" t="n">
        <x:v>15.02</x:v>
      </x:c>
      <x:c r="F111" s="324" t="n">
        <x:v>15.12</x:v>
      </x:c>
      <x:c r="G111" s="324" t="n">
        <x:v>15.05</x:v>
      </x:c>
      <x:c r="H111" s="324" t="n">
        <x:v>15.07</x:v>
      </x:c>
      <x:c r="I111" s="324" t="n">
        <x:v>15.02</x:v>
      </x:c>
      <x:c r="J111" s="324" t="n">
        <x:v>15.05</x:v>
      </x:c>
      <x:c r="K111" s="324" t="n">
        <x:v>15.05</x:v>
      </x:c>
      <x:c r="L111" s="324" t="n">
        <x:v>15.02</x:v>
      </x:c>
      <x:c r="M111" s="324" t="n">
        <x:v>15.05</x:v>
      </x:c>
      <x:c r="N111" s="324" t="n">
        <x:v>15.02</x:v>
      </x:c>
      <x:c r="O111" s="324" t="n">
        <x:v>15.05</x:v>
      </x:c>
      <x:c r="P111" s="324" t="n">
        <x:v>15</x:v>
      </x:c>
      <x:c r="Q111" s="324" t="n">
        <x:v>15.07</x:v>
      </x:c>
      <x:c r="R111" s="324" t="n">
        <x:v>15.05</x:v>
      </x:c>
      <x:c r="S111" s="324" t="n">
        <x:v>15.07</x:v>
      </x:c>
      <x:c r="T111" s="324" t="n">
        <x:v>15.12</x:v>
      </x:c>
      <x:c r="U111" s="324" t="n">
        <x:v>15</x:v>
      </x:c>
      <x:c r="V111" s="324" t="n">
        <x:v>255.83</x:v>
      </x:c>
      <x:c r="W111" s="324" t="n">
        <x:v>15.048824</x:v>
      </x:c>
      <x:c r="X111" s="324" t="n">
        <x:v>15</x:v>
      </x:c>
      <x:c r="Y111" s="324" t="n">
        <x:v>15.12</x:v>
      </x:c>
      <x:c r="Z111" s="324" t="n">
        <x:v>0.12</x:v>
      </x:c>
      <x:c r="AA111" s="292" t="str">
        <x:v>PROBABLE</x:v>
      </x:c>
      <x:c r="AB111" s="293" t="str">
        <x:v>61CE58811385DE85E885E185E385DE85E185E185DE85E185DE85E185DC85E385E185E385E885DC</x:v>
      </x:c>
    </x:row>
    <x:row r="112" ht="15" hidden="0" customHeight="1">
      <x:c r="A112" s="318" t="n">
        <x:v>294025859</x:v>
      </x:c>
      <x:c r="B112" s="301" t="n">
        <x:v>294028716</x:v>
      </x:c>
      <x:c r="C112" s="321" t="n">
        <x:v>274.292386</x:v>
      </x:c>
      <x:c r="D112" s="292" t="str">
        <x:v>588113</x:v>
      </x:c>
      <x:c r="E112" s="324" t="n">
        <x:v>15.02</x:v>
      </x:c>
      <x:c r="F112" s="324" t="n">
        <x:v>15.09</x:v>
      </x:c>
      <x:c r="G112" s="324" t="n">
        <x:v>15.05</x:v>
      </x:c>
      <x:c r="H112" s="324" t="n">
        <x:v>15.07</x:v>
      </x:c>
      <x:c r="I112" s="324" t="n">
        <x:v>15.02</x:v>
      </x:c>
      <x:c r="J112" s="324" t="n">
        <x:v>15.05</x:v>
      </x:c>
      <x:c r="K112" s="324" t="n">
        <x:v>15.02</x:v>
      </x:c>
      <x:c r="L112" s="324" t="n">
        <x:v>15.02</x:v>
      </x:c>
      <x:c r="M112" s="324" t="n">
        <x:v>15.05</x:v>
      </x:c>
      <x:c r="N112" s="324" t="n">
        <x:v>15</x:v>
      </x:c>
      <x:c r="O112" s="324" t="n">
        <x:v>15.05</x:v>
      </x:c>
      <x:c r="P112" s="324" t="n">
        <x:v>15</x:v>
      </x:c>
      <x:c r="Q112" s="324" t="n">
        <x:v>15.07</x:v>
      </x:c>
      <x:c r="R112" s="324" t="n">
        <x:v>15.05</x:v>
      </x:c>
      <x:c r="S112" s="324" t="n">
        <x:v>15.07</x:v>
      </x:c>
      <x:c r="T112" s="324" t="n">
        <x:v>15.12</x:v>
      </x:c>
      <x:c r="U112" s="324" t="n">
        <x:v>15</x:v>
      </x:c>
      <x:c r="V112" s="324" t="n">
        <x:v>255.75</x:v>
      </x:c>
      <x:c r="W112" s="324" t="n">
        <x:v>15.044118</x:v>
      </x:c>
      <x:c r="X112" s="324" t="n">
        <x:v>15</x:v>
      </x:c>
      <x:c r="Y112" s="324" t="n">
        <x:v>15.12</x:v>
      </x:c>
      <x:c r="Z112" s="324" t="n">
        <x:v>0.12</x:v>
      </x:c>
      <x:c r="AA112" s="292" t="str">
        <x:v>PROBABLE</x:v>
      </x:c>
      <x:c r="AB112" s="293" t="str">
        <x:v>61CE58811385DE85E585E185E385DE85E185DE85DE85E185DC85E185DC85E385E185E385E885DC</x:v>
      </x:c>
    </x:row>
    <x:row r="113" ht="15" hidden="0" customHeight="1">
      <x:c r="A113" s="318" t="n">
        <x:v>294561911</x:v>
      </x:c>
      <x:c r="B113" s="301" t="n">
        <x:v>294565199</x:v>
      </x:c>
      <x:c r="C113" s="321" t="n">
        <x:v>274.828433</x:v>
      </x:c>
      <x:c r="D113" s="292" t="str">
        <x:v>588113</x:v>
      </x:c>
      <x:c r="E113" s="324" t="n">
        <x:v>15.05</x:v>
      </x:c>
      <x:c r="F113" s="324" t="n">
        <x:v>15.09</x:v>
      </x:c>
      <x:c r="G113" s="324" t="n">
        <x:v>15.05</x:v>
      </x:c>
      <x:c r="H113" s="324" t="n">
        <x:v>15.05</x:v>
      </x:c>
      <x:c r="I113" s="324" t="n">
        <x:v>15.05</x:v>
      </x:c>
      <x:c r="J113" s="324" t="n">
        <x:v>15.05</x:v>
      </x:c>
      <x:c r="K113" s="324" t="n">
        <x:v>15.02</x:v>
      </x:c>
      <x:c r="L113" s="324" t="n">
        <x:v>15</x:v>
      </x:c>
      <x:c r="M113" s="324" t="n">
        <x:v>15.05</x:v>
      </x:c>
      <x:c r="N113" s="324" t="n">
        <x:v>15</x:v>
      </x:c>
      <x:c r="O113" s="324" t="n">
        <x:v>15.02</x:v>
      </x:c>
      <x:c r="P113" s="324" t="n">
        <x:v>15</x:v>
      </x:c>
      <x:c r="Q113" s="324" t="n">
        <x:v>15.07</x:v>
      </x:c>
      <x:c r="R113" s="324" t="n">
        <x:v>15.05</x:v>
      </x:c>
      <x:c r="S113" s="324" t="n">
        <x:v>15.07</x:v>
      </x:c>
      <x:c r="T113" s="324" t="n">
        <x:v>15.09</x:v>
      </x:c>
      <x:c r="U113" s="324" t="n">
        <x:v>15.02</x:v>
      </x:c>
      <x:c r="V113" s="324" t="n">
        <x:v>255.73</x:v>
      </x:c>
      <x:c r="W113" s="324" t="n">
        <x:v>15.042941</x:v>
      </x:c>
      <x:c r="X113" s="324" t="n">
        <x:v>15</x:v>
      </x:c>
      <x:c r="Y113" s="324" t="n">
        <x:v>15.09</x:v>
      </x:c>
      <x:c r="Z113" s="324" t="n">
        <x:v>0.09</x:v>
      </x:c>
      <x:c r="AA113" s="292" t="str">
        <x:v>PROBABLE</x:v>
      </x:c>
      <x:c r="AB113" s="293" t="str">
        <x:v>61CE58811385E185E585E185E185E185E185DE85DC85E185DC85DE85DC85E385E185E385E585DE</x:v>
      </x:c>
    </x:row>
    <x:row r="114" ht="15" hidden="0" customHeight="1">
      <x:c r="A114" s="318" t="n">
        <x:v>295175644</x:v>
      </x:c>
      <x:c r="B114" s="301" t="n">
        <x:v>295179498</x:v>
      </x:c>
      <x:c r="C114" s="321" t="n">
        <x:v>275.44216</x:v>
      </x:c>
      <x:c r="D114" s="292" t="str">
        <x:v>588113</x:v>
      </x:c>
      <x:c r="E114" s="324" t="n">
        <x:v>15.02</x:v>
      </x:c>
      <x:c r="F114" s="324" t="n">
        <x:v>15.09</x:v>
      </x:c>
      <x:c r="G114" s="324" t="n">
        <x:v>15.05</x:v>
      </x:c>
      <x:c r="H114" s="324" t="n">
        <x:v>15.05</x:v>
      </x:c>
      <x:c r="I114" s="324" t="n">
        <x:v>15.07</x:v>
      </x:c>
      <x:c r="J114" s="324" t="n">
        <x:v>15.05</x:v>
      </x:c>
      <x:c r="K114" s="324" t="n">
        <x:v>15.02</x:v>
      </x:c>
      <x:c r="L114" s="324" t="n">
        <x:v>15.05</x:v>
      </x:c>
      <x:c r="M114" s="324" t="n">
        <x:v>14.97</x:v>
      </x:c>
      <x:c r="N114" s="324" t="n">
        <x:v>15.05</x:v>
      </x:c>
      <x:c r="O114" s="324" t="n">
        <x:v>15.05</x:v>
      </x:c>
      <x:c r="P114" s="324" t="n">
        <x:v>14.95</x:v>
      </x:c>
      <x:c r="Q114" s="324" t="n">
        <x:v>15.07</x:v>
      </x:c>
      <x:c r="R114" s="324" t="n">
        <x:v>15.05</x:v>
      </x:c>
      <x:c r="S114" s="324" t="n">
        <x:v>15.07</x:v>
      </x:c>
      <x:c r="T114" s="324" t="n">
        <x:v>15.09</x:v>
      </x:c>
      <x:c r="U114" s="324" t="n">
        <x:v>15</x:v>
      </x:c>
      <x:c r="V114" s="324" t="n">
        <x:v>255.7</x:v>
      </x:c>
      <x:c r="W114" s="324" t="n">
        <x:v>15.041176</x:v>
      </x:c>
      <x:c r="X114" s="324" t="n">
        <x:v>14.95</x:v>
      </x:c>
      <x:c r="Y114" s="324" t="n">
        <x:v>15.09</x:v>
      </x:c>
      <x:c r="Z114" s="324" t="n">
        <x:v>0.14</x:v>
      </x:c>
      <x:c r="AA114" s="292" t="str">
        <x:v>PROBABLE</x:v>
      </x:c>
      <x:c r="AB114" s="293" t="str">
        <x:v>61CE58811385DE85E585E185E185E385E185DE85E185D985E185E185D785E385E185E385E585DC</x:v>
      </x:c>
    </x:row>
    <x:row r="115" ht="15" hidden="0" customHeight="1">
      <x:c r="A115" s="318" t="n">
        <x:v>295762280</x:v>
      </x:c>
      <x:c r="B115" s="301" t="n">
        <x:v>295765134</x:v>
      </x:c>
      <x:c r="C115" s="321" t="n">
        <x:v>276.028791</x:v>
      </x:c>
      <x:c r="D115" s="292" t="str">
        <x:v>588113</x:v>
      </x:c>
      <x:c r="E115" s="324" t="n">
        <x:v>15.02</x:v>
      </x:c>
      <x:c r="F115" s="324" t="n">
        <x:v>15.09</x:v>
      </x:c>
      <x:c r="G115" s="324" t="n">
        <x:v>15.02</x:v>
      </x:c>
      <x:c r="H115" s="324" t="n">
        <x:v>15.07</x:v>
      </x:c>
      <x:c r="I115" s="324" t="n">
        <x:v>15.07</x:v>
      </x:c>
      <x:c r="J115" s="324" t="n">
        <x:v>15.02</x:v>
      </x:c>
      <x:c r="K115" s="324" t="n">
        <x:v>15.02</x:v>
      </x:c>
      <x:c r="L115" s="324" t="n">
        <x:v>15.05</x:v>
      </x:c>
      <x:c r="M115" s="324" t="n">
        <x:v>15.02</x:v>
      </x:c>
      <x:c r="N115" s="324" t="n">
        <x:v>15</x:v>
      </x:c>
      <x:c r="O115" s="324" t="n">
        <x:v>15.02</x:v>
      </x:c>
      <x:c r="P115" s="324" t="n">
        <x:v>15</x:v>
      </x:c>
      <x:c r="Q115" s="324" t="n">
        <x:v>15.02</x:v>
      </x:c>
      <x:c r="R115" s="324" t="n">
        <x:v>15.07</x:v>
      </x:c>
      <x:c r="S115" s="324" t="n">
        <x:v>15.07</x:v>
      </x:c>
      <x:c r="T115" s="324" t="n">
        <x:v>15.05</x:v>
      </x:c>
      <x:c r="U115" s="324" t="n">
        <x:v>15</x:v>
      </x:c>
      <x:c r="V115" s="324" t="n">
        <x:v>255.61</x:v>
      </x:c>
      <x:c r="W115" s="324" t="n">
        <x:v>15.035882</x:v>
      </x:c>
      <x:c r="X115" s="324" t="n">
        <x:v>15</x:v>
      </x:c>
      <x:c r="Y115" s="324" t="n">
        <x:v>15.09</x:v>
      </x:c>
      <x:c r="Z115" s="324" t="n">
        <x:v>0.09</x:v>
      </x:c>
      <x:c r="AA115" s="292" t="str">
        <x:v>PROBABLE</x:v>
      </x:c>
      <x:c r="AB115" s="293" t="str">
        <x:v>61CE58811385DE85E585DE85E385E385DE85DE85E185DE85DC85DE85DC85DE85E385E385E185DC</x:v>
      </x:c>
    </x:row>
    <x:row r="116" ht="15" hidden="0" customHeight="1">
      <x:c r="A116" s="318" t="n">
        <x:v>296326748</x:v>
      </x:c>
      <x:c r="B116" s="301" t="n">
        <x:v>296330288</x:v>
      </x:c>
      <x:c r="C116" s="321" t="n">
        <x:v>276.593254</x:v>
      </x:c>
      <x:c r="D116" s="292" t="str">
        <x:v>578113</x:v>
      </x:c>
      <x:c r="E116" s="324" t="n">
        <x:v>15.02</x:v>
      </x:c>
      <x:c r="F116" s="324" t="n">
        <x:v>15.09</x:v>
      </x:c>
      <x:c r="G116" s="324" t="n">
        <x:v>15.02</x:v>
      </x:c>
      <x:c r="H116" s="324" t="n">
        <x:v>15.05</x:v>
      </x:c>
      <x:c r="I116" s="324" t="n">
        <x:v>15.07</x:v>
      </x:c>
      <x:c r="J116" s="324" t="n">
        <x:v>15.05</x:v>
      </x:c>
      <x:c r="K116" s="324" t="n">
        <x:v>15.02</x:v>
      </x:c>
      <x:c r="L116" s="324" t="n">
        <x:v>15.05</x:v>
      </x:c>
      <x:c r="M116" s="324" t="n">
        <x:v>15.02</x:v>
      </x:c>
      <x:c r="N116" s="324" t="n">
        <x:v>15</x:v>
      </x:c>
      <x:c r="O116" s="324" t="n">
        <x:v>15.02</x:v>
      </x:c>
      <x:c r="P116" s="324" t="n">
        <x:v>15</x:v>
      </x:c>
      <x:c r="Q116" s="324" t="n">
        <x:v>15.02</x:v>
      </x:c>
      <x:c r="R116" s="324" t="n">
        <x:v>15.07</x:v>
      </x:c>
      <x:c r="S116" s="324" t="n">
        <x:v>15.07</x:v>
      </x:c>
      <x:c r="T116" s="324" t="n">
        <x:v>15.05</x:v>
      </x:c>
      <x:c r="U116" s="324" t="n">
        <x:v>15</x:v>
      </x:c>
      <x:c r="V116" s="324" t="n">
        <x:v>255.62</x:v>
      </x:c>
      <x:c r="W116" s="324" t="n">
        <x:v>15.036471</x:v>
      </x:c>
      <x:c r="X116" s="324" t="n">
        <x:v>15</x:v>
      </x:c>
      <x:c r="Y116" s="324" t="n">
        <x:v>15.09</x:v>
      </x:c>
      <x:c r="Z116" s="324" t="n">
        <x:v>0.09</x:v>
      </x:c>
      <x:c r="AA116" s="292" t="str">
        <x:v>PROBABLE</x:v>
      </x:c>
      <x:c r="AB116" s="293" t="str">
        <x:v>61CE57811385DE85E585DE85E185E385E185DE85E185DE85DC85DE85DC85DE85E385E385E185DC</x:v>
      </x:c>
    </x:row>
    <x:row r="117" ht="15" hidden="0" customHeight="1">
      <x:c r="A117" s="318" t="n">
        <x:v>296978134</x:v>
      </x:c>
      <x:c r="B117" s="301" t="n">
        <x:v>296981437</x:v>
      </x:c>
      <x:c r="C117" s="321" t="n">
        <x:v>277.244633</x:v>
      </x:c>
      <x:c r="D117" s="292" t="str">
        <x:v>578113</x:v>
      </x:c>
      <x:c r="E117" s="324" t="n">
        <x:v>15.07</x:v>
      </x:c>
      <x:c r="F117" s="324" t="n">
        <x:v>15.02</x:v>
      </x:c>
      <x:c r="G117" s="324" t="n">
        <x:v>15.05</x:v>
      </x:c>
      <x:c r="H117" s="324" t="n">
        <x:v>15</x:v>
      </x:c>
      <x:c r="I117" s="324" t="n">
        <x:v>15.07</x:v>
      </x:c>
      <x:c r="J117" s="324" t="n">
        <x:v>15</x:v>
      </x:c>
      <x:c r="K117" s="324" t="n">
        <x:v>15.02</x:v>
      </x:c>
      <x:c r="L117" s="324" t="n">
        <x:v>15.05</x:v>
      </x:c>
      <x:c r="M117" s="324" t="n">
        <x:v>15.02</x:v>
      </x:c>
      <x:c r="N117" s="324" t="n">
        <x:v>15</x:v>
      </x:c>
      <x:c r="O117" s="324" t="n">
        <x:v>15.02</x:v>
      </x:c>
      <x:c r="P117" s="324" t="n">
        <x:v>15</x:v>
      </x:c>
      <x:c r="Q117" s="324" t="n">
        <x:v>15.07</x:v>
      </x:c>
      <x:c r="R117" s="324" t="n">
        <x:v>15.05</x:v>
      </x:c>
      <x:c r="S117" s="324" t="n">
        <x:v>15.05</x:v>
      </x:c>
      <x:c r="T117" s="324" t="n">
        <x:v>15.09</x:v>
      </x:c>
      <x:c r="U117" s="324" t="n">
        <x:v>15.05</x:v>
      </x:c>
      <x:c r="V117" s="324" t="n">
        <x:v>255.63</x:v>
      </x:c>
      <x:c r="W117" s="324" t="n">
        <x:v>15.037059</x:v>
      </x:c>
      <x:c r="X117" s="324" t="n">
        <x:v>15</x:v>
      </x:c>
      <x:c r="Y117" s="324" t="n">
        <x:v>15.09</x:v>
      </x:c>
      <x:c r="Z117" s="324" t="n">
        <x:v>0.09</x:v>
      </x:c>
      <x:c r="AA117" s="292" t="str">
        <x:v>PROBABLE</x:v>
      </x:c>
      <x:c r="AB117" s="293" t="str">
        <x:v>61CE57811385E385DE85E185DC85E385DC85DE85E185DE85DC85DE85DC85E385E185E185E585E1</x:v>
      </x:c>
    </x:row>
    <x:row r="118" ht="15" hidden="0" customHeight="1">
      <x:c r="A118" s="318" t="n">
        <x:v>297568238</x:v>
      </x:c>
      <x:c r="B118" s="301" t="n">
        <x:v>297571160</x:v>
      </x:c>
      <x:c r="C118" s="321" t="n">
        <x:v>277.834732</x:v>
      </x:c>
      <x:c r="D118" s="292" t="str">
        <x:v>578113</x:v>
      </x:c>
      <x:c r="E118" s="324" t="n">
        <x:v>14.97</x:v>
      </x:c>
      <x:c r="F118" s="324" t="n">
        <x:v>15.12</x:v>
      </x:c>
      <x:c r="G118" s="324" t="n">
        <x:v>15.05</x:v>
      </x:c>
      <x:c r="H118" s="324" t="n">
        <x:v>15.02</x:v>
      </x:c>
      <x:c r="I118" s="324" t="n">
        <x:v>15.07</x:v>
      </x:c>
      <x:c r="J118" s="324" t="n">
        <x:v>15.02</x:v>
      </x:c>
      <x:c r="K118" s="324" t="n">
        <x:v>15.02</x:v>
      </x:c>
      <x:c r="L118" s="324" t="n">
        <x:v>15.05</x:v>
      </x:c>
      <x:c r="M118" s="324" t="n">
        <x:v>15.02</x:v>
      </x:c>
      <x:c r="N118" s="324" t="n">
        <x:v>15</x:v>
      </x:c>
      <x:c r="O118" s="324" t="n">
        <x:v>15.02</x:v>
      </x:c>
      <x:c r="P118" s="324" t="n">
        <x:v>14.97</x:v>
      </x:c>
      <x:c r="Q118" s="324" t="n">
        <x:v>15.07</x:v>
      </x:c>
      <x:c r="R118" s="324" t="n">
        <x:v>15.05</x:v>
      </x:c>
      <x:c r="S118" s="324" t="n">
        <x:v>15.05</x:v>
      </x:c>
      <x:c r="T118" s="324" t="n">
        <x:v>15.09</x:v>
      </x:c>
      <x:c r="U118" s="324" t="n">
        <x:v>15</x:v>
      </x:c>
      <x:c r="V118" s="324" t="n">
        <x:v>255.59</x:v>
      </x:c>
      <x:c r="W118" s="324" t="n">
        <x:v>15.034706</x:v>
      </x:c>
      <x:c r="X118" s="324" t="n">
        <x:v>14.97</x:v>
      </x:c>
      <x:c r="Y118" s="324" t="n">
        <x:v>15.12</x:v>
      </x:c>
      <x:c r="Z118" s="324" t="n">
        <x:v>0.15</x:v>
      </x:c>
      <x:c r="AA118" s="292" t="str">
        <x:v>PROBABLE</x:v>
      </x:c>
      <x:c r="AB118" s="293" t="str">
        <x:v>61CE57811385D985E885E185DE85E385DE85DE85E185DE85DC85DE85D985E385E185E185E585DC</x:v>
      </x:c>
    </x:row>
    <x:row r="119" ht="15" hidden="0" customHeight="1">
      <x:c r="A119" s="318" t="n">
        <x:v>298329401</x:v>
      </x:c>
      <x:c r="B119" s="301" t="n">
        <x:v>298332889</x:v>
      </x:c>
      <x:c r="C119" s="321" t="n">
        <x:v>278.595888</x:v>
      </x:c>
      <x:c r="D119" s="292" t="str">
        <x:v>578113</x:v>
      </x:c>
      <x:c r="E119" s="324" t="n">
        <x:v>15.02</x:v>
      </x:c>
      <x:c r="F119" s="324" t="n">
        <x:v>15.09</x:v>
      </x:c>
      <x:c r="G119" s="324" t="n">
        <x:v>15.02</x:v>
      </x:c>
      <x:c r="H119" s="324" t="n">
        <x:v>15.05</x:v>
      </x:c>
      <x:c r="I119" s="324" t="n">
        <x:v>15.07</x:v>
      </x:c>
      <x:c r="J119" s="324" t="n">
        <x:v>15.02</x:v>
      </x:c>
      <x:c r="K119" s="324" t="n">
        <x:v>15.02</x:v>
      </x:c>
      <x:c r="L119" s="324" t="n">
        <x:v>15.05</x:v>
      </x:c>
      <x:c r="M119" s="324" t="n">
        <x:v>14.97</x:v>
      </x:c>
      <x:c r="N119" s="324" t="n">
        <x:v>15.02</x:v>
      </x:c>
      <x:c r="O119" s="324" t="n">
        <x:v>15.02</x:v>
      </x:c>
      <x:c r="P119" s="324" t="n">
        <x:v>14.95</x:v>
      </x:c>
      <x:c r="Q119" s="324" t="n">
        <x:v>15.07</x:v>
      </x:c>
      <x:c r="R119" s="324" t="n">
        <x:v>15.05</x:v>
      </x:c>
      <x:c r="S119" s="324" t="n">
        <x:v>15.05</x:v>
      </x:c>
      <x:c r="T119" s="324" t="n">
        <x:v>15.09</x:v>
      </x:c>
      <x:c r="U119" s="324" t="n">
        <x:v>15</x:v>
      </x:c>
      <x:c r="V119" s="324" t="n">
        <x:v>255.56</x:v>
      </x:c>
      <x:c r="W119" s="324" t="n">
        <x:v>15.032941</x:v>
      </x:c>
      <x:c r="X119" s="324" t="n">
        <x:v>14.95</x:v>
      </x:c>
      <x:c r="Y119" s="324" t="n">
        <x:v>15.09</x:v>
      </x:c>
      <x:c r="Z119" s="324" t="n">
        <x:v>0.14</x:v>
      </x:c>
      <x:c r="AA119" s="292" t="str">
        <x:v>PROBABLE</x:v>
      </x:c>
      <x:c r="AB119" s="293" t="str">
        <x:v>61CE57811385DE85E585DE85E185E385DE85DE85E185D985DE85DE85D785E385E185E185E585DC</x:v>
      </x:c>
    </x:row>
    <x:row r="120" ht="15" hidden="0" customHeight="1">
      <x:c r="A120" s="318" t="n">
        <x:v>298933147</x:v>
      </x:c>
      <x:c r="B120" s="301" t="n">
        <x:v>298934901</x:v>
      </x:c>
      <x:c r="C120" s="321" t="n">
        <x:v>279.199628</x:v>
      </x:c>
      <x:c r="D120" s="292" t="str">
        <x:v>578113</x:v>
      </x:c>
      <x:c r="E120" s="324" t="n">
        <x:v>15.02</x:v>
      </x:c>
      <x:c r="F120" s="324" t="n">
        <x:v>15.07</x:v>
      </x:c>
      <x:c r="G120" s="324" t="n">
        <x:v>15.02</x:v>
      </x:c>
      <x:c r="H120" s="324" t="n">
        <x:v>15.05</x:v>
      </x:c>
      <x:c r="I120" s="324" t="n">
        <x:v>15.07</x:v>
      </x:c>
      <x:c r="J120" s="324" t="n">
        <x:v>15</x:v>
      </x:c>
      <x:c r="K120" s="324" t="n">
        <x:v>15.02</x:v>
      </x:c>
      <x:c r="L120" s="324" t="n">
        <x:v>15.05</x:v>
      </x:c>
      <x:c r="M120" s="324" t="n">
        <x:v>15.02</x:v>
      </x:c>
      <x:c r="N120" s="324" t="n">
        <x:v>14.97</x:v>
      </x:c>
      <x:c r="O120" s="324" t="n">
        <x:v>15.02</x:v>
      </x:c>
      <x:c r="P120" s="324" t="n">
        <x:v>15</x:v>
      </x:c>
      <x:c r="Q120" s="324" t="n">
        <x:v>15</x:v>
      </x:c>
      <x:c r="R120" s="324" t="n">
        <x:v>15.05</x:v>
      </x:c>
      <x:c r="S120" s="324" t="n">
        <x:v>15.07</x:v>
      </x:c>
      <x:c r="T120" s="324" t="n">
        <x:v>15.05</x:v>
      </x:c>
      <x:c r="U120" s="324" t="n">
        <x:v>15</x:v>
      </x:c>
      <x:c r="V120" s="324" t="n">
        <x:v>255.48</x:v>
      </x:c>
      <x:c r="W120" s="324" t="n">
        <x:v>15.028235</x:v>
      </x:c>
      <x:c r="X120" s="324" t="n">
        <x:v>14.97</x:v>
      </x:c>
      <x:c r="Y120" s="324" t="n">
        <x:v>15.07</x:v>
      </x:c>
      <x:c r="Z120" s="324" t="n">
        <x:v>0.1</x:v>
      </x:c>
      <x:c r="AA120" s="292" t="str">
        <x:v>PROBABLE</x:v>
      </x:c>
      <x:c r="AB120" s="293" t="str">
        <x:v>61CE57811385DE85E385DE85E185E385DC85DE85E185DE85D985DE85DC85DC85E185E385E185DC</x:v>
      </x:c>
    </x:row>
    <x:row r="121" ht="15" hidden="0" customHeight="1">
      <x:c r="A121" s="318" t="n">
        <x:v>299523073</x:v>
      </x:c>
      <x:c r="B121" s="301" t="n">
        <x:v>299524623</x:v>
      </x:c>
      <x:c r="C121" s="321" t="n">
        <x:v>279.789548</x:v>
      </x:c>
      <x:c r="D121" s="292" t="str">
        <x:v>578113</x:v>
      </x:c>
      <x:c r="E121" s="324" t="n">
        <x:v>15.07</x:v>
      </x:c>
      <x:c r="F121" s="324" t="n">
        <x:v>15.02</x:v>
      </x:c>
      <x:c r="G121" s="324" t="n">
        <x:v>15.02</x:v>
      </x:c>
      <x:c r="H121" s="324" t="n">
        <x:v>15</x:v>
      </x:c>
      <x:c r="I121" s="324" t="n">
        <x:v>15.07</x:v>
      </x:c>
      <x:c r="J121" s="324" t="n">
        <x:v>15</x:v>
      </x:c>
      <x:c r="K121" s="324" t="n">
        <x:v>15</x:v>
      </x:c>
      <x:c r="L121" s="324" t="n">
        <x:v>15.02</x:v>
      </x:c>
      <x:c r="M121" s="324" t="n">
        <x:v>15.02</x:v>
      </x:c>
      <x:c r="N121" s="324" t="n">
        <x:v>15</x:v>
      </x:c>
      <x:c r="O121" s="324" t="n">
        <x:v>15</x:v>
      </x:c>
      <x:c r="P121" s="324" t="n">
        <x:v>14.97</x:v>
      </x:c>
      <x:c r="Q121" s="324" t="n">
        <x:v>15.07</x:v>
      </x:c>
      <x:c r="R121" s="324" t="n">
        <x:v>15.05</x:v>
      </x:c>
      <x:c r="S121" s="324" t="n">
        <x:v>15.02</x:v>
      </x:c>
      <x:c r="T121" s="324" t="n">
        <x:v>15.07</x:v>
      </x:c>
      <x:c r="U121" s="324" t="n">
        <x:v>15.05</x:v>
      </x:c>
      <x:c r="V121" s="324" t="n">
        <x:v>255.45</x:v>
      </x:c>
      <x:c r="W121" s="324" t="n">
        <x:v>15.026471</x:v>
      </x:c>
      <x:c r="X121" s="324" t="n">
        <x:v>14.97</x:v>
      </x:c>
      <x:c r="Y121" s="324" t="n">
        <x:v>15.07</x:v>
      </x:c>
      <x:c r="Z121" s="324" t="n">
        <x:v>0.1</x:v>
      </x:c>
      <x:c r="AA121" s="292" t="str">
        <x:v>PROBABLE</x:v>
      </x:c>
      <x:c r="AB121" s="293" t="str">
        <x:v>61CE57811385E385DE85DE85DC85E385DC85DC85DE85DE85DC85DC85D985E385E185DE85E385E1</x:v>
      </x:c>
    </x:row>
    <x:row r="122" ht="15" hidden="0" customHeight="1">
      <x:c r="A122" s="318" t="n">
        <x:v>300073603</x:v>
      </x:c>
      <x:c r="B122" s="301" t="n">
        <x:v>300077517</x:v>
      </x:c>
      <x:c r="C122" s="321" t="n">
        <x:v>280.340073</x:v>
      </x:c>
      <x:c r="D122" s="292" t="str">
        <x:v>578113</x:v>
      </x:c>
      <x:c r="E122" s="324" t="n">
        <x:v>15.05</x:v>
      </x:c>
      <x:c r="F122" s="324" t="n">
        <x:v>15.02</x:v>
      </x:c>
      <x:c r="G122" s="324" t="n">
        <x:v>15.05</x:v>
      </x:c>
      <x:c r="H122" s="324" t="n">
        <x:v>15</x:v>
      </x:c>
      <x:c r="I122" s="324" t="n">
        <x:v>15.07</x:v>
      </x:c>
      <x:c r="J122" s="324" t="n">
        <x:v>15</x:v>
      </x:c>
      <x:c r="K122" s="324" t="n">
        <x:v>15</x:v>
      </x:c>
      <x:c r="L122" s="324" t="n">
        <x:v>15.02</x:v>
      </x:c>
      <x:c r="M122" s="324" t="n">
        <x:v>15.02</x:v>
      </x:c>
      <x:c r="N122" s="324" t="n">
        <x:v>15</x:v>
      </x:c>
      <x:c r="O122" s="324" t="n">
        <x:v>15.02</x:v>
      </x:c>
      <x:c r="P122" s="324" t="n">
        <x:v>14.97</x:v>
      </x:c>
      <x:c r="Q122" s="324" t="n">
        <x:v>15.07</x:v>
      </x:c>
      <x:c r="R122" s="324" t="n">
        <x:v>15.05</x:v>
      </x:c>
      <x:c r="S122" s="324" t="n">
        <x:v>15.05</x:v>
      </x:c>
      <x:c r="T122" s="324" t="n">
        <x:v>15.09</x:v>
      </x:c>
      <x:c r="U122" s="324" t="n">
        <x:v>15.05</x:v>
      </x:c>
      <x:c r="V122" s="324" t="n">
        <x:v>255.53</x:v>
      </x:c>
      <x:c r="W122" s="324" t="n">
        <x:v>15.031176</x:v>
      </x:c>
      <x:c r="X122" s="324" t="n">
        <x:v>14.97</x:v>
      </x:c>
      <x:c r="Y122" s="324" t="n">
        <x:v>15.09</x:v>
      </x:c>
      <x:c r="Z122" s="324" t="n">
        <x:v>0.12</x:v>
      </x:c>
      <x:c r="AA122" s="292" t="str">
        <x:v>PROBABLE</x:v>
      </x:c>
      <x:c r="AB122" s="293" t="str">
        <x:v>61CE57811385E185DE85E185DC85E385DC85DC85DE85DE85DC85DE85D985E385E185E185E585E1</x:v>
      </x:c>
    </x:row>
    <x:row r="123" ht="15" hidden="0" customHeight="1">
      <x:c r="A123" s="318" t="n">
        <x:v>300700668</x:v>
      </x:c>
      <x:c r="B123" s="301" t="n">
        <x:v>300704211</x:v>
      </x:c>
      <x:c r="C123" s="321" t="n">
        <x:v>280.967132</x:v>
      </x:c>
      <x:c r="D123" s="292" t="str">
        <x:v>578113</x:v>
      </x:c>
      <x:c r="E123" s="324" t="n">
        <x:v>14.95</x:v>
      </x:c>
      <x:c r="F123" s="324" t="n">
        <x:v>15.09</x:v>
      </x:c>
      <x:c r="G123" s="324" t="n">
        <x:v>15.02</x:v>
      </x:c>
      <x:c r="H123" s="324" t="n">
        <x:v>15</x:v>
      </x:c>
      <x:c r="I123" s="324" t="n">
        <x:v>15.05</x:v>
      </x:c>
      <x:c r="J123" s="324" t="n">
        <x:v>15.02</x:v>
      </x:c>
      <x:c r="K123" s="324" t="n">
        <x:v>15</x:v>
      </x:c>
      <x:c r="L123" s="324" t="n">
        <x:v>15.02</x:v>
      </x:c>
      <x:c r="M123" s="324" t="n">
        <x:v>15.02</x:v>
      </x:c>
      <x:c r="N123" s="324" t="n">
        <x:v>15</x:v>
      </x:c>
      <x:c r="O123" s="324" t="n">
        <x:v>15.02</x:v>
      </x:c>
      <x:c r="P123" s="324" t="n">
        <x:v>14.97</x:v>
      </x:c>
      <x:c r="Q123" s="324" t="n">
        <x:v>15.05</x:v>
      </x:c>
      <x:c r="R123" s="324" t="n">
        <x:v>15.05</x:v>
      </x:c>
      <x:c r="S123" s="324" t="n">
        <x:v>15.05</x:v>
      </x:c>
      <x:c r="T123" s="324" t="n">
        <x:v>15.09</x:v>
      </x:c>
      <x:c r="U123" s="324" t="n">
        <x:v>15</x:v>
      </x:c>
      <x:c r="V123" s="324" t="n">
        <x:v>255.4</x:v>
      </x:c>
      <x:c r="W123" s="324" t="n">
        <x:v>15.023529</x:v>
      </x:c>
      <x:c r="X123" s="324" t="n">
        <x:v>14.95</x:v>
      </x:c>
      <x:c r="Y123" s="324" t="n">
        <x:v>15.09</x:v>
      </x:c>
      <x:c r="Z123" s="324" t="n">
        <x:v>0.14</x:v>
      </x:c>
      <x:c r="AA123" s="292" t="str">
        <x:v>PROBABLE</x:v>
      </x:c>
      <x:c r="AB123" s="293" t="str">
        <x:v>61CE57811385D785E585DE85DC85E185DE85DC85DE85DE85DC85DE85D985E185E185E185E585DC</x:v>
      </x:c>
    </x:row>
    <x:row r="124" ht="15" hidden="0" customHeight="1">
      <x:c r="A124" s="318" t="n">
        <x:v>301201852</x:v>
      </x:c>
      <x:c r="B124" s="301" t="n">
        <x:v>301203844</x:v>
      </x:c>
      <x:c r="C124" s="321" t="n">
        <x:v>281.468311</x:v>
      </x:c>
      <x:c r="D124" s="292" t="str">
        <x:v>578113</x:v>
      </x:c>
      <x:c r="E124" s="324" t="n">
        <x:v>14.97</x:v>
      </x:c>
      <x:c r="F124" s="324" t="n">
        <x:v>15.09</x:v>
      </x:c>
      <x:c r="G124" s="324" t="n">
        <x:v>15.02</x:v>
      </x:c>
      <x:c r="H124" s="324" t="n">
        <x:v>15</x:v>
      </x:c>
      <x:c r="I124" s="324" t="n">
        <x:v>15.05</x:v>
      </x:c>
      <x:c r="J124" s="324" t="n">
        <x:v>15.02</x:v>
      </x:c>
      <x:c r="K124" s="324" t="n">
        <x:v>15</x:v>
      </x:c>
      <x:c r="L124" s="324" t="n">
        <x:v>15.02</x:v>
      </x:c>
      <x:c r="M124" s="324" t="n">
        <x:v>15.02</x:v>
      </x:c>
      <x:c r="N124" s="324" t="n">
        <x:v>15</x:v>
      </x:c>
      <x:c r="O124" s="324" t="n">
        <x:v>15.02</x:v>
      </x:c>
      <x:c r="P124" s="324" t="n">
        <x:v>14.97</x:v>
      </x:c>
      <x:c r="Q124" s="324" t="n">
        <x:v>15.05</x:v>
      </x:c>
      <x:c r="R124" s="324" t="n">
        <x:v>15.05</x:v>
      </x:c>
      <x:c r="S124" s="324" t="n">
        <x:v>15.05</x:v>
      </x:c>
      <x:c r="T124" s="324" t="n">
        <x:v>15.07</x:v>
      </x:c>
      <x:c r="U124" s="324" t="n">
        <x:v>15</x:v>
      </x:c>
      <x:c r="V124" s="324" t="n">
        <x:v>255.4</x:v>
      </x:c>
      <x:c r="W124" s="324" t="n">
        <x:v>15.023529</x:v>
      </x:c>
      <x:c r="X124" s="324" t="n">
        <x:v>14.97</x:v>
      </x:c>
      <x:c r="Y124" s="324" t="n">
        <x:v>15.09</x:v>
      </x:c>
      <x:c r="Z124" s="324" t="n">
        <x:v>0.12</x:v>
      </x:c>
      <x:c r="AA124" s="292" t="str">
        <x:v>PROBABLE</x:v>
      </x:c>
      <x:c r="AB124" s="293" t="str">
        <x:v>61CE57811385D985E585DE85DC85E185DE85DC85DE85DE85DC85DE85D985E185E185E185E385DC</x:v>
      </x:c>
    </x:row>
    <x:row r="125" ht="15" hidden="0" customHeight="1">
      <x:c r="A125" s="318" t="n">
        <x:v>302335688</x:v>
      </x:c>
      <x:c r="B125" s="301" t="n">
        <x:v>302338360</x:v>
      </x:c>
      <x:c r="C125" s="321" t="n">
        <x:v>282.602137</x:v>
      </x:c>
      <x:c r="D125" s="292" t="str">
        <x:v>578113</x:v>
      </x:c>
      <x:c r="E125" s="324" t="n">
        <x:v>14.95</x:v>
      </x:c>
      <x:c r="F125" s="324" t="n">
        <x:v>15.09</x:v>
      </x:c>
      <x:c r="G125" s="324" t="n">
        <x:v>15.02</x:v>
      </x:c>
      <x:c r="H125" s="324" t="n">
        <x:v>15</x:v>
      </x:c>
      <x:c r="I125" s="324" t="n">
        <x:v>15.05</x:v>
      </x:c>
      <x:c r="J125" s="324" t="n">
        <x:v>15</x:v>
      </x:c>
      <x:c r="K125" s="324" t="n">
        <x:v>15</x:v>
      </x:c>
      <x:c r="L125" s="324" t="n">
        <x:v>15.02</x:v>
      </x:c>
      <x:c r="M125" s="324" t="n">
        <x:v>15.02</x:v>
      </x:c>
      <x:c r="N125" s="324" t="n">
        <x:v>15</x:v>
      </x:c>
      <x:c r="O125" s="324" t="n">
        <x:v>15.02</x:v>
      </x:c>
      <x:c r="P125" s="324" t="n">
        <x:v>14.97</x:v>
      </x:c>
      <x:c r="Q125" s="324" t="n">
        <x:v>15.02</x:v>
      </x:c>
      <x:c r="R125" s="324" t="n">
        <x:v>15.05</x:v>
      </x:c>
      <x:c r="S125" s="324" t="n">
        <x:v>15.02</x:v>
      </x:c>
      <x:c r="T125" s="324" t="n">
        <x:v>15.07</x:v>
      </x:c>
      <x:c r="U125" s="324" t="n">
        <x:v>15</x:v>
      </x:c>
      <x:c r="V125" s="324" t="n">
        <x:v>255.3</x:v>
      </x:c>
      <x:c r="W125" s="324" t="n">
        <x:v>15.017647</x:v>
      </x:c>
      <x:c r="X125" s="324" t="n">
        <x:v>14.95</x:v>
      </x:c>
      <x:c r="Y125" s="324" t="n">
        <x:v>15.09</x:v>
      </x:c>
      <x:c r="Z125" s="324" t="n">
        <x:v>0.14</x:v>
      </x:c>
      <x:c r="AA125" s="292" t="str">
        <x:v>PROBABLE</x:v>
      </x:c>
      <x:c r="AB125" s="293" t="str">
        <x:v>61CE57811385D785E585DE85DC85E185DC85DC85DE85DE85DC85DE85D985DE85E185DE85E385DC</x:v>
      </x:c>
    </x:row>
    <x:row r="126" ht="15" hidden="0" customHeight="1">
      <x:c r="A126" s="318" t="n">
        <x:v>303001940</x:v>
      </x:c>
      <x:c r="B126" s="301" t="n">
        <x:v>303005639</x:v>
      </x:c>
      <x:c r="C126" s="321" t="n">
        <x:v>283.268382</x:v>
      </x:c>
      <x:c r="D126" s="292" t="str">
        <x:v>578113</x:v>
      </x:c>
      <x:c r="E126" s="324" t="n">
        <x:v>15</x:v>
      </x:c>
      <x:c r="F126" s="324" t="n">
        <x:v>15.07</x:v>
      </x:c>
      <x:c r="G126" s="324" t="n">
        <x:v>15.02</x:v>
      </x:c>
      <x:c r="H126" s="324" t="n">
        <x:v>15.02</x:v>
      </x:c>
      <x:c r="I126" s="324" t="n">
        <x:v>15.05</x:v>
      </x:c>
      <x:c r="J126" s="324" t="n">
        <x:v>15</x:v>
      </x:c>
      <x:c r="K126" s="324" t="n">
        <x:v>14.97</x:v>
      </x:c>
      <x:c r="L126" s="324" t="n">
        <x:v>15.02</x:v>
      </x:c>
      <x:c r="M126" s="324" t="n">
        <x:v>14.97</x:v>
      </x:c>
      <x:c r="N126" s="324" t="n">
        <x:v>15</x:v>
      </x:c>
      <x:c r="O126" s="324" t="n">
        <x:v>15.02</x:v>
      </x:c>
      <x:c r="P126" s="324" t="n">
        <x:v>14.92</x:v>
      </x:c>
      <x:c r="Q126" s="324" t="n">
        <x:v>15.02</x:v>
      </x:c>
      <x:c r="R126" s="324" t="n">
        <x:v>15.05</x:v>
      </x:c>
      <x:c r="S126" s="324" t="n">
        <x:v>15.02</x:v>
      </x:c>
      <x:c r="T126" s="324" t="n">
        <x:v>15.07</x:v>
      </x:c>
      <x:c r="U126" s="324" t="n">
        <x:v>14.97</x:v>
      </x:c>
      <x:c r="V126" s="324" t="n">
        <x:v>255.19</x:v>
      </x:c>
      <x:c r="W126" s="324" t="n">
        <x:v>15.011176</x:v>
      </x:c>
      <x:c r="X126" s="324" t="n">
        <x:v>14.92</x:v>
      </x:c>
      <x:c r="Y126" s="324" t="n">
        <x:v>15.07</x:v>
      </x:c>
      <x:c r="Z126" s="324" t="n">
        <x:v>0.15</x:v>
      </x:c>
      <x:c r="AA126" s="292" t="str">
        <x:v>PROBABLE</x:v>
      </x:c>
      <x:c r="AB126" s="293" t="str">
        <x:v>61CE57811385DC85E385DE85DE85E185DC85D985DE85D985DC85DE85D485DE85E185DE85E385D9</x:v>
      </x:c>
    </x:row>
    <x:row r="127" ht="15" hidden="0" customHeight="1">
      <x:c r="A127" s="318" t="n">
        <x:v>303584427</x:v>
      </x:c>
      <x:c r="B127" s="301" t="n">
        <x:v>303587173</x:v>
      </x:c>
      <x:c r="C127" s="321" t="n">
        <x:v>283.850864</x:v>
      </x:c>
      <x:c r="D127" s="292" t="str">
        <x:v>578113</x:v>
      </x:c>
      <x:c r="E127" s="324" t="n">
        <x:v>15.02</x:v>
      </x:c>
      <x:c r="F127" s="324" t="n">
        <x:v>15.07</x:v>
      </x:c>
      <x:c r="G127" s="324" t="n">
        <x:v>15.02</x:v>
      </x:c>
      <x:c r="H127" s="324" t="n">
        <x:v>15.02</x:v>
      </x:c>
      <x:c r="I127" s="324" t="n">
        <x:v>15.05</x:v>
      </x:c>
      <x:c r="J127" s="324" t="n">
        <x:v>15</x:v>
      </x:c>
      <x:c r="K127" s="324" t="n">
        <x:v>14.97</x:v>
      </x:c>
      <x:c r="L127" s="324" t="n">
        <x:v>15.02</x:v>
      </x:c>
      <x:c r="M127" s="324" t="n">
        <x:v>14.97</x:v>
      </x:c>
      <x:c r="N127" s="324" t="n">
        <x:v>15</x:v>
      </x:c>
      <x:c r="O127" s="324" t="n">
        <x:v>15.02</x:v>
      </x:c>
      <x:c r="P127" s="324" t="n">
        <x:v>14.92</x:v>
      </x:c>
      <x:c r="Q127" s="324" t="n">
        <x:v>15.05</x:v>
      </x:c>
      <x:c r="R127" s="324" t="n">
        <x:v>15.02</x:v>
      </x:c>
      <x:c r="S127" s="324" t="n">
        <x:v>15.02</x:v>
      </x:c>
      <x:c r="T127" s="324" t="n">
        <x:v>15.07</x:v>
      </x:c>
      <x:c r="U127" s="324" t="n">
        <x:v>15</x:v>
      </x:c>
      <x:c r="V127" s="324" t="n">
        <x:v>255.24</x:v>
      </x:c>
      <x:c r="W127" s="324" t="n">
        <x:v>15.014118</x:v>
      </x:c>
      <x:c r="X127" s="324" t="n">
        <x:v>14.92</x:v>
      </x:c>
      <x:c r="Y127" s="324" t="n">
        <x:v>15.07</x:v>
      </x:c>
      <x:c r="Z127" s="324" t="n">
        <x:v>0.15</x:v>
      </x:c>
      <x:c r="AA127" s="292" t="str">
        <x:v>PROBABLE</x:v>
      </x:c>
      <x:c r="AB127" s="293" t="str">
        <x:v>61CE57811385DE85E385DE85DE85E185DC85D985DE85D985DC85DE85D485E185DE85DE85E385DC</x:v>
      </x:c>
    </x:row>
    <x:row r="128" ht="15" hidden="0" customHeight="1">
      <x:c r="A128" s="318" t="n">
        <x:v>304172036</x:v>
      </x:c>
      <x:c r="B128" s="301" t="n">
        <x:v>304176898</x:v>
      </x:c>
      <x:c r="C128" s="321" t="n">
        <x:v>284.438467</x:v>
      </x:c>
      <x:c r="D128" s="292" t="str">
        <x:v>578113</x:v>
      </x:c>
      <x:c r="E128" s="324" t="n">
        <x:v>15.02</x:v>
      </x:c>
      <x:c r="F128" s="324" t="n">
        <x:v>15.05</x:v>
      </x:c>
      <x:c r="G128" s="324" t="n">
        <x:v>15.02</x:v>
      </x:c>
      <x:c r="H128" s="324" t="n">
        <x:v>15.02</x:v>
      </x:c>
      <x:c r="I128" s="324" t="n">
        <x:v>15.05</x:v>
      </x:c>
      <x:c r="J128" s="324" t="n">
        <x:v>14.97</x:v>
      </x:c>
      <x:c r="K128" s="324" t="n">
        <x:v>14.97</x:v>
      </x:c>
      <x:c r="L128" s="324" t="n">
        <x:v>15.02</x:v>
      </x:c>
      <x:c r="M128" s="324" t="n">
        <x:v>15.02</x:v>
      </x:c>
      <x:c r="N128" s="324" t="n">
        <x:v>14.97</x:v>
      </x:c>
      <x:c r="O128" s="324" t="n">
        <x:v>15.02</x:v>
      </x:c>
      <x:c r="P128" s="324" t="n">
        <x:v>14.97</x:v>
      </x:c>
      <x:c r="Q128" s="324" t="n">
        <x:v>14.97</x:v>
      </x:c>
      <x:c r="R128" s="324" t="n">
        <x:v>15.02</x:v>
      </x:c>
      <x:c r="S128" s="324" t="n">
        <x:v>15.05</x:v>
      </x:c>
      <x:c r="T128" s="324" t="n">
        <x:v>15.02</x:v>
      </x:c>
      <x:c r="U128" s="324" t="n">
        <x:v>14.95</x:v>
      </x:c>
      <x:c r="V128" s="324" t="n">
        <x:v>255.11</x:v>
      </x:c>
      <x:c r="W128" s="324" t="n">
        <x:v>15.006471</x:v>
      </x:c>
      <x:c r="X128" s="324" t="n">
        <x:v>14.95</x:v>
      </x:c>
      <x:c r="Y128" s="324" t="n">
        <x:v>15.05</x:v>
      </x:c>
      <x:c r="Z128" s="324" t="n">
        <x:v>0.1</x:v>
      </x:c>
      <x:c r="AA128" s="292" t="str">
        <x:v>PROBABLE</x:v>
      </x:c>
      <x:c r="AB128" s="293" t="str">
        <x:v>61CE57811385DE85E185DE85DE85E185D985D985DE85DE85D985DE85D985D985DE85E185DE85D7</x:v>
      </x:c>
    </x:row>
    <x:row r="129" ht="15" hidden="0" customHeight="1">
      <x:c r="A129" s="318" t="n">
        <x:v>304700684</x:v>
      </x:c>
      <x:c r="B129" s="301" t="n">
        <x:v>304705205</x:v>
      </x:c>
      <x:c r="C129" s="321" t="n">
        <x:v>284.96711</x:v>
      </x:c>
      <x:c r="D129" s="292" t="str">
        <x:v>578113</x:v>
      </x:c>
      <x:c r="E129" s="324" t="n">
        <x:v>15.02</x:v>
      </x:c>
      <x:c r="F129" s="324" t="n">
        <x:v>15.07</x:v>
      </x:c>
      <x:c r="G129" s="324" t="n">
        <x:v>15.02</x:v>
      </x:c>
      <x:c r="H129" s="324" t="n">
        <x:v>15</x:v>
      </x:c>
      <x:c r="I129" s="324" t="n">
        <x:v>15.05</x:v>
      </x:c>
      <x:c r="J129" s="324" t="n">
        <x:v>15</x:v>
      </x:c>
      <x:c r="K129" s="324" t="n">
        <x:v>14.97</x:v>
      </x:c>
      <x:c r="L129" s="324" t="n">
        <x:v>15</x:v>
      </x:c>
      <x:c r="M129" s="324" t="n">
        <x:v>15.02</x:v>
      </x:c>
      <x:c r="N129" s="324" t="n">
        <x:v>14.97</x:v>
      </x:c>
      <x:c r="O129" s="324" t="n">
        <x:v>15</x:v>
      </x:c>
      <x:c r="P129" s="324" t="n">
        <x:v>14.97</x:v>
      </x:c>
      <x:c r="Q129" s="324" t="n">
        <x:v>14.97</x:v>
      </x:c>
      <x:c r="R129" s="324" t="n">
        <x:v>15.05</x:v>
      </x:c>
      <x:c r="S129" s="324" t="n">
        <x:v>15.05</x:v>
      </x:c>
      <x:c r="T129" s="324" t="n">
        <x:v>15.02</x:v>
      </x:c>
      <x:c r="U129" s="324" t="n">
        <x:v>14.97</x:v>
      </x:c>
      <x:c r="V129" s="324" t="n">
        <x:v>255.15</x:v>
      </x:c>
      <x:c r="W129" s="324" t="n">
        <x:v>15.008824</x:v>
      </x:c>
      <x:c r="X129" s="324" t="n">
        <x:v>14.97</x:v>
      </x:c>
      <x:c r="Y129" s="324" t="n">
        <x:v>15.07</x:v>
      </x:c>
      <x:c r="Z129" s="324" t="n">
        <x:v>0.1</x:v>
      </x:c>
      <x:c r="AA129" s="292" t="str">
        <x:v>PROBABLE</x:v>
      </x:c>
      <x:c r="AB129" s="293" t="str">
        <x:v>61CE57811385DE85E385DE85DC85E185DC85D985DC85DE85D985DC85D985D985E185E185DE85D9</x:v>
      </x:c>
    </x:row>
    <x:row r="130" ht="15" hidden="0" customHeight="1">
      <x:c r="A130" s="318" t="n">
        <x:v>305268505</x:v>
      </x:c>
      <x:c r="B130" s="301" t="n">
        <x:v>305270355</x:v>
      </x:c>
      <x:c r="C130" s="321" t="n">
        <x:v>285.534926</x:v>
      </x:c>
      <x:c r="D130" s="292" t="str">
        <x:v>578113</x:v>
      </x:c>
      <x:c r="E130" s="324" t="n">
        <x:v>15</x:v>
      </x:c>
      <x:c r="F130" s="324" t="n">
        <x:v>15.07</x:v>
      </x:c>
      <x:c r="G130" s="324" t="n">
        <x:v>15</x:v>
      </x:c>
      <x:c r="H130" s="324" t="n">
        <x:v>15.02</x:v>
      </x:c>
      <x:c r="I130" s="324" t="n">
        <x:v>15.05</x:v>
      </x:c>
      <x:c r="J130" s="324" t="n">
        <x:v>15</x:v>
      </x:c>
      <x:c r="K130" s="324" t="n">
        <x:v>14.97</x:v>
      </x:c>
      <x:c r="L130" s="324" t="n">
        <x:v>15.02</x:v>
      </x:c>
      <x:c r="M130" s="324" t="n">
        <x:v>15.02</x:v>
      </x:c>
      <x:c r="N130" s="324" t="n">
        <x:v>14.97</x:v>
      </x:c>
      <x:c r="O130" s="324" t="n">
        <x:v>15</x:v>
      </x:c>
      <x:c r="P130" s="324" t="n">
        <x:v>14.97</x:v>
      </x:c>
      <x:c r="Q130" s="324" t="n">
        <x:v>14.97</x:v>
      </x:c>
      <x:c r="R130" s="324" t="n">
        <x:v>15.05</x:v>
      </x:c>
      <x:c r="S130" s="324" t="n">
        <x:v>15.05</x:v>
      </x:c>
      <x:c r="T130" s="324" t="n">
        <x:v>15.02</x:v>
      </x:c>
      <x:c r="U130" s="324" t="n">
        <x:v>14.95</x:v>
      </x:c>
      <x:c r="V130" s="324" t="n">
        <x:v>255.13</x:v>
      </x:c>
      <x:c r="W130" s="324" t="n">
        <x:v>15.007647</x:v>
      </x:c>
      <x:c r="X130" s="324" t="n">
        <x:v>14.95</x:v>
      </x:c>
      <x:c r="Y130" s="324" t="n">
        <x:v>15.07</x:v>
      </x:c>
      <x:c r="Z130" s="324" t="n">
        <x:v>0.12</x:v>
      </x:c>
      <x:c r="AA130" s="292" t="str">
        <x:v>PROBABLE</x:v>
      </x:c>
      <x:c r="AB130" s="293" t="str">
        <x:v>61CE57811385DC85E385DC85DE85E185DC85D985DE85DE85D985DC85D985D985E185E185DE85D7</x:v>
      </x:c>
    </x:row>
    <x:row r="131" ht="15" hidden="0" customHeight="1">
      <x:c r="A131" s="318" t="n">
        <x:v>305867167</x:v>
      </x:c>
      <x:c r="B131" s="301" t="n">
        <x:v>305872359</x:v>
      </x:c>
      <x:c r="C131" s="321" t="n">
        <x:v>286.133582</x:v>
      </x:c>
      <x:c r="D131" s="292" t="str">
        <x:v>578113</x:v>
      </x:c>
      <x:c r="E131" s="324" t="n">
        <x:v>15.02</x:v>
      </x:c>
      <x:c r="F131" s="324" t="n">
        <x:v>15</x:v>
      </x:c>
      <x:c r="G131" s="324" t="n">
        <x:v>15.02</x:v>
      </x:c>
      <x:c r="H131" s="324" t="n">
        <x:v>14.97</x:v>
      </x:c>
      <x:c r="I131" s="324" t="n">
        <x:v>15.05</x:v>
      </x:c>
      <x:c r="J131" s="324" t="n">
        <x:v>15</x:v>
      </x:c>
      <x:c r="K131" s="324" t="n">
        <x:v>14.97</x:v>
      </x:c>
      <x:c r="L131" s="324" t="n">
        <x:v>15</x:v>
      </x:c>
      <x:c r="M131" s="324" t="n">
        <x:v>15.02</x:v>
      </x:c>
      <x:c r="N131" s="324" t="n">
        <x:v>14.95</x:v>
      </x:c>
      <x:c r="O131" s="324" t="n">
        <x:v>15</x:v>
      </x:c>
      <x:c r="P131" s="324" t="n">
        <x:v>14.95</x:v>
      </x:c>
      <x:c r="Q131" s="324" t="n">
        <x:v>15.05</x:v>
      </x:c>
      <x:c r="R131" s="324" t="n">
        <x:v>15</x:v>
      </x:c>
      <x:c r="S131" s="324" t="n">
        <x:v>15.02</x:v>
      </x:c>
      <x:c r="T131" s="324" t="n">
        <x:v>15.05</x:v>
      </x:c>
      <x:c r="U131" s="324" t="n">
        <x:v>15</x:v>
      </x:c>
      <x:c r="V131" s="324" t="n">
        <x:v>255.07</x:v>
      </x:c>
      <x:c r="W131" s="324" t="n">
        <x:v>15.004118</x:v>
      </x:c>
      <x:c r="X131" s="324" t="n">
        <x:v>14.95</x:v>
      </x:c>
      <x:c r="Y131" s="324" t="n">
        <x:v>15.05</x:v>
      </x:c>
      <x:c r="Z131" s="324" t="n">
        <x:v>0.1</x:v>
      </x:c>
      <x:c r="AA131" s="292" t="str">
        <x:v>PROBABLE</x:v>
      </x:c>
      <x:c r="AB131" s="293" t="str">
        <x:v>61CE57811385DE85DC85DE85D985E185DC85D985DC85DE85D785DC85D785E185DC85DE85E185DC</x:v>
      </x:c>
    </x:row>
    <x:row r="132" ht="15" hidden="0" customHeight="1">
      <x:c r="A132" s="318" t="n">
        <x:v>306431964</x:v>
      </x:c>
      <x:c r="B132" s="301" t="n">
        <x:v>306433718</x:v>
      </x:c>
      <x:c r="C132" s="321" t="n">
        <x:v>286.698374</x:v>
      </x:c>
      <x:c r="D132" s="292" t="str">
        <x:v>578113</x:v>
      </x:c>
      <x:c r="E132" s="324" t="n">
        <x:v>15.02</x:v>
      </x:c>
      <x:c r="F132" s="324" t="n">
        <x:v>15</x:v>
      </x:c>
      <x:c r="G132" s="324" t="n">
        <x:v>15.02</x:v>
      </x:c>
      <x:c r="H132" s="324" t="n">
        <x:v>14.97</x:v>
      </x:c>
      <x:c r="I132" s="324" t="n">
        <x:v>15.05</x:v>
      </x:c>
      <x:c r="J132" s="324" t="n">
        <x:v>14.97</x:v>
      </x:c>
      <x:c r="K132" s="324" t="n">
        <x:v>14.97</x:v>
      </x:c>
      <x:c r="L132" s="324" t="n">
        <x:v>15.02</x:v>
      </x:c>
      <x:c r="M132" s="324" t="n">
        <x:v>15.02</x:v>
      </x:c>
      <x:c r="N132" s="324" t="n">
        <x:v>14.95</x:v>
      </x:c>
      <x:c r="O132" s="324" t="n">
        <x:v>15</x:v>
      </x:c>
      <x:c r="P132" s="324" t="n">
        <x:v>14.95</x:v>
      </x:c>
      <x:c r="Q132" s="324" t="n">
        <x:v>15.02</x:v>
      </x:c>
      <x:c r="R132" s="324" t="n">
        <x:v>15</x:v>
      </x:c>
      <x:c r="S132" s="324" t="n">
        <x:v>15.02</x:v>
      </x:c>
      <x:c r="T132" s="324" t="n">
        <x:v>15.07</x:v>
      </x:c>
      <x:c r="U132" s="324" t="n">
        <x:v>15</x:v>
      </x:c>
      <x:c r="V132" s="324" t="n">
        <x:v>255.05</x:v>
      </x:c>
      <x:c r="W132" s="324" t="n">
        <x:v>15.002941</x:v>
      </x:c>
      <x:c r="X132" s="324" t="n">
        <x:v>14.95</x:v>
      </x:c>
      <x:c r="Y132" s="324" t="n">
        <x:v>15.07</x:v>
      </x:c>
      <x:c r="Z132" s="324" t="n">
        <x:v>0.12</x:v>
      </x:c>
      <x:c r="AA132" s="292" t="str">
        <x:v>PROBABLE</x:v>
      </x:c>
      <x:c r="AB132" s="293" t="str">
        <x:v>61CE57811385DE85DC85DE85D985E185D985D985DE85DE85D785DC85D785DE85DC85DE85E385DC</x:v>
      </x:c>
    </x:row>
    <x:row r="133" ht="15" hidden="0" customHeight="1">
      <x:c r="A133" s="318" t="n">
        <x:v>306991948</x:v>
      </x:c>
      <x:c r="B133" s="301" t="n">
        <x:v>306994710</x:v>
      </x:c>
      <x:c r="C133" s="321" t="n">
        <x:v>287.258353</x:v>
      </x:c>
      <x:c r="D133" s="292" t="str">
        <x:v>578113</x:v>
      </x:c>
      <x:c r="E133" s="324" t="n">
        <x:v>15.02</x:v>
      </x:c>
      <x:c r="F133" s="324" t="n">
        <x:v>14.97</x:v>
      </x:c>
      <x:c r="G133" s="324" t="n">
        <x:v>15</x:v>
      </x:c>
      <x:c r="H133" s="324" t="n">
        <x:v>14.97</x:v>
      </x:c>
      <x:c r="I133" s="324" t="n">
        <x:v>15.05</x:v>
      </x:c>
      <x:c r="J133" s="324" t="n">
        <x:v>14.97</x:v>
      </x:c>
      <x:c r="K133" s="324" t="n">
        <x:v>14.95</x:v>
      </x:c>
      <x:c r="L133" s="324" t="n">
        <x:v>15</x:v>
      </x:c>
      <x:c r="M133" s="324" t="n">
        <x:v>15.02</x:v>
      </x:c>
      <x:c r="N133" s="324" t="n">
        <x:v>14.95</x:v>
      </x:c>
      <x:c r="O133" s="324" t="n">
        <x:v>14.97</x:v>
      </x:c>
      <x:c r="P133" s="324" t="n">
        <x:v>14.95</x:v>
      </x:c>
      <x:c r="Q133" s="324" t="n">
        <x:v>15.02</x:v>
      </x:c>
      <x:c r="R133" s="324" t="n">
        <x:v>15</x:v>
      </x:c>
      <x:c r="S133" s="324" t="n">
        <x:v>15</x:v>
      </x:c>
      <x:c r="T133" s="324" t="n">
        <x:v>15.07</x:v>
      </x:c>
      <x:c r="U133" s="324" t="n">
        <x:v>15</x:v>
      </x:c>
      <x:c r="V133" s="324" t="n">
        <x:v>254.91</x:v>
      </x:c>
      <x:c r="W133" s="324" t="n">
        <x:v>14.994706</x:v>
      </x:c>
      <x:c r="X133" s="324" t="n">
        <x:v>14.95</x:v>
      </x:c>
      <x:c r="Y133" s="324" t="n">
        <x:v>15.07</x:v>
      </x:c>
      <x:c r="Z133" s="324" t="n">
        <x:v>0.12</x:v>
      </x:c>
      <x:c r="AA133" s="292" t="str">
        <x:v>PROBABLE</x:v>
      </x:c>
      <x:c r="AB133" s="293" t="str">
        <x:v>61CE57811385DE85D985DC85D985E185D985D785DC85DE85D785D985D785DE85DC85DC85E385DC</x:v>
      </x:c>
    </x:row>
    <x:row r="134" ht="15" hidden="0" customHeight="1">
      <x:c r="A134" s="318" t="n">
        <x:v>307564444</x:v>
      </x:c>
      <x:c r="B134" s="301" t="n">
        <x:v>307567831</x:v>
      </x:c>
      <x:c r="C134" s="321" t="n">
        <x:v>287.830843</x:v>
      </x:c>
      <x:c r="D134" s="292" t="str">
        <x:v>578113</x:v>
      </x:c>
      <x:c r="E134" s="324" t="n">
        <x:v>15.02</x:v>
      </x:c>
      <x:c r="F134" s="324" t="n">
        <x:v>14.97</x:v>
      </x:c>
      <x:c r="G134" s="324" t="n">
        <x:v>15.02</x:v>
      </x:c>
      <x:c r="H134" s="324" t="n">
        <x:v>14.97</x:v>
      </x:c>
      <x:c r="I134" s="324" t="n">
        <x:v>15.05</x:v>
      </x:c>
      <x:c r="J134" s="324" t="n">
        <x:v>14.97</x:v>
      </x:c>
      <x:c r="K134" s="324" t="n">
        <x:v>14.97</x:v>
      </x:c>
      <x:c r="L134" s="324" t="n">
        <x:v>15</x:v>
      </x:c>
      <x:c r="M134" s="324" t="n">
        <x:v>15.02</x:v>
      </x:c>
      <x:c r="N134" s="324" t="n">
        <x:v>14.95</x:v>
      </x:c>
      <x:c r="O134" s="324" t="n">
        <x:v>15</x:v>
      </x:c>
      <x:c r="P134" s="324" t="n">
        <x:v>14.95</x:v>
      </x:c>
      <x:c r="Q134" s="324" t="n">
        <x:v>15.02</x:v>
      </x:c>
      <x:c r="R134" s="324" t="n">
        <x:v>15</x:v>
      </x:c>
      <x:c r="S134" s="324" t="n">
        <x:v>15.02</x:v>
      </x:c>
      <x:c r="T134" s="324" t="n">
        <x:v>15.05</x:v>
      </x:c>
      <x:c r="U134" s="324" t="n">
        <x:v>15</x:v>
      </x:c>
      <x:c r="V134" s="324" t="n">
        <x:v>254.98</x:v>
      </x:c>
      <x:c r="W134" s="324" t="n">
        <x:v>14.998824</x:v>
      </x:c>
      <x:c r="X134" s="324" t="n">
        <x:v>14.95</x:v>
      </x:c>
      <x:c r="Y134" s="324" t="n">
        <x:v>15.05</x:v>
      </x:c>
      <x:c r="Z134" s="324" t="n">
        <x:v>0.1</x:v>
      </x:c>
      <x:c r="AA134" s="292" t="str">
        <x:v>PROBABLE</x:v>
      </x:c>
      <x:c r="AB134" s="293" t="str">
        <x:v>61CE57811385DE85D985DE85D985E185D985D985DC85DE85D785DC85D785DE85DC85DE85E185DC</x:v>
      </x:c>
    </x:row>
    <x:row r="135" ht="15" hidden="0" customHeight="1">
      <x:c r="A135" s="318" t="n">
        <x:v>308101998</x:v>
      </x:c>
      <x:c r="B135" s="301" t="n">
        <x:v>308104553</x:v>
      </x:c>
      <x:c r="C135" s="321" t="n">
        <x:v>288.368392</x:v>
      </x:c>
      <x:c r="D135" s="292" t="str">
        <x:v>578113</x:v>
      </x:c>
      <x:c r="E135" s="324" t="n">
        <x:v>14.92</x:v>
      </x:c>
      <x:c r="F135" s="324" t="n">
        <x:v>15.07</x:v>
      </x:c>
      <x:c r="G135" s="324" t="n">
        <x:v>15.02</x:v>
      </x:c>
      <x:c r="H135" s="324" t="n">
        <x:v>14.97</x:v>
      </x:c>
      <x:c r="I135" s="324" t="n">
        <x:v>15.02</x:v>
      </x:c>
      <x:c r="J135" s="324" t="n">
        <x:v>15</x:v>
      </x:c>
      <x:c r="K135" s="324" t="n">
        <x:v>14.97</x:v>
      </x:c>
      <x:c r="L135" s="324" t="n">
        <x:v>15</x:v>
      </x:c>
      <x:c r="M135" s="324" t="n">
        <x:v>14.97</x:v>
      </x:c>
      <x:c r="N135" s="324" t="n">
        <x:v>14.97</x:v>
      </x:c>
      <x:c r="O135" s="324" t="n">
        <x:v>14.97</x:v>
      </x:c>
      <x:c r="P135" s="324" t="n">
        <x:v>14.95</x:v>
      </x:c>
      <x:c r="Q135" s="324" t="n">
        <x:v>15.02</x:v>
      </x:c>
      <x:c r="R135" s="324" t="n">
        <x:v>15</x:v>
      </x:c>
      <x:c r="S135" s="324" t="n">
        <x:v>15.02</x:v>
      </x:c>
      <x:c r="T135" s="324" t="n">
        <x:v>15.07</x:v>
      </x:c>
      <x:c r="U135" s="324" t="n">
        <x:v>14.95</x:v>
      </x:c>
      <x:c r="V135" s="324" t="n">
        <x:v>254.89</x:v>
      </x:c>
      <x:c r="W135" s="324" t="n">
        <x:v>14.993529</x:v>
      </x:c>
      <x:c r="X135" s="324" t="n">
        <x:v>14.92</x:v>
      </x:c>
      <x:c r="Y135" s="324" t="n">
        <x:v>15.07</x:v>
      </x:c>
      <x:c r="Z135" s="324" t="n">
        <x:v>0.15</x:v>
      </x:c>
      <x:c r="AA135" s="292" t="str">
        <x:v>PROBABLE</x:v>
      </x:c>
      <x:c r="AB135" s="293" t="str">
        <x:v>61CE57811385D485E385DE85D985DE85DC85D985DC85D985D985D985D785DE85DC85DE85E385D7</x:v>
      </x:c>
    </x:row>
    <x:row r="136" ht="15" hidden="0" customHeight="1">
      <x:c r="A136" s="318" t="n">
        <x:v>308639404</x:v>
      </x:c>
      <x:c r="B136" s="301" t="n">
        <x:v>308640812</x:v>
      </x:c>
      <x:c r="C136" s="321" t="n">
        <x:v>288.905793</x:v>
      </x:c>
      <x:c r="D136" s="292" t="str">
        <x:v>578113</x:v>
      </x:c>
      <x:c r="E136" s="324" t="n">
        <x:v>14.92</x:v>
      </x:c>
      <x:c r="F136" s="324" t="n">
        <x:v>15.07</x:v>
      </x:c>
      <x:c r="G136" s="324" t="n">
        <x:v>15.02</x:v>
      </x:c>
      <x:c r="H136" s="324" t="n">
        <x:v>14.97</x:v>
      </x:c>
      <x:c r="I136" s="324" t="n">
        <x:v>15.02</x:v>
      </x:c>
      <x:c r="J136" s="324" t="n">
        <x:v>15</x:v>
      </x:c>
      <x:c r="K136" s="324" t="n">
        <x:v>14.97</x:v>
      </x:c>
      <x:c r="L136" s="324" t="n">
        <x:v>15</x:v>
      </x:c>
      <x:c r="M136" s="324" t="n">
        <x:v>14.97</x:v>
      </x:c>
      <x:c r="N136" s="324" t="n">
        <x:v>14.95</x:v>
      </x:c>
      <x:c r="O136" s="324" t="n">
        <x:v>14.97</x:v>
      </x:c>
      <x:c r="P136" s="324" t="n">
        <x:v>14.95</x:v>
      </x:c>
      <x:c r="Q136" s="324" t="n">
        <x:v>15.02</x:v>
      </x:c>
      <x:c r="R136" s="324" t="n">
        <x:v>15</x:v>
      </x:c>
      <x:c r="S136" s="324" t="n">
        <x:v>15.02</x:v>
      </x:c>
      <x:c r="T136" s="324" t="n">
        <x:v>15.05</x:v>
      </x:c>
      <x:c r="U136" s="324" t="n">
        <x:v>14.95</x:v>
      </x:c>
      <x:c r="V136" s="324" t="n">
        <x:v>254.85</x:v>
      </x:c>
      <x:c r="W136" s="324" t="n">
        <x:v>14.991176</x:v>
      </x:c>
      <x:c r="X136" s="324" t="n">
        <x:v>14.92</x:v>
      </x:c>
      <x:c r="Y136" s="324" t="n">
        <x:v>15.07</x:v>
      </x:c>
      <x:c r="Z136" s="324" t="n">
        <x:v>0.15</x:v>
      </x:c>
      <x:c r="AA136" s="292" t="str">
        <x:v>PROBABLE</x:v>
      </x:c>
      <x:c r="AB136" s="293" t="str">
        <x:v>61CE57811385D485E385DE85D985DE85DC85D985DC85D985D785D985D785DE85DC85DE85E185D7</x:v>
      </x:c>
    </x:row>
    <x:row r="137" ht="15" hidden="0" customHeight="1">
      <x:c r="A137" s="318" t="n">
        <x:v>309243404</x:v>
      </x:c>
      <x:c r="B137" s="301" t="n">
        <x:v>309247396</x:v>
      </x:c>
      <x:c r="C137" s="321" t="n">
        <x:v>289.509787</x:v>
      </x:c>
      <x:c r="D137" s="292" t="str">
        <x:v>578113</x:v>
      </x:c>
      <x:c r="E137" s="324" t="n">
        <x:v>14.95</x:v>
      </x:c>
      <x:c r="F137" s="324" t="n">
        <x:v>15.07</x:v>
      </x:c>
      <x:c r="G137" s="324" t="n">
        <x:v>15.02</x:v>
      </x:c>
      <x:c r="H137" s="324" t="n">
        <x:v>14.97</x:v>
      </x:c>
      <x:c r="I137" s="324" t="n">
        <x:v>15.02</x:v>
      </x:c>
      <x:c r="J137" s="324" t="n">
        <x:v>15</x:v>
      </x:c>
      <x:c r="K137" s="324" t="n">
        <x:v>14.97</x:v>
      </x:c>
      <x:c r="L137" s="324" t="n">
        <x:v>15</x:v>
      </x:c>
      <x:c r="M137" s="324" t="n">
        <x:v>15</x:v>
      </x:c>
      <x:c r="N137" s="324" t="n">
        <x:v>14.95</x:v>
      </x:c>
      <x:c r="O137" s="324" t="n">
        <x:v>14.97</x:v>
      </x:c>
      <x:c r="P137" s="324" t="n">
        <x:v>14.95</x:v>
      </x:c>
      <x:c r="Q137" s="324" t="n">
        <x:v>15.02</x:v>
      </x:c>
      <x:c r="R137" s="324" t="n">
        <x:v>15</x:v>
      </x:c>
      <x:c r="S137" s="324" t="n">
        <x:v>15.02</x:v>
      </x:c>
      <x:c r="T137" s="324" t="n">
        <x:v>15.07</x:v>
      </x:c>
      <x:c r="U137" s="324" t="n">
        <x:v>14.95</x:v>
      </x:c>
      <x:c r="V137" s="324" t="n">
        <x:v>254.93</x:v>
      </x:c>
      <x:c r="W137" s="324" t="n">
        <x:v>14.995882</x:v>
      </x:c>
      <x:c r="X137" s="324" t="n">
        <x:v>14.95</x:v>
      </x:c>
      <x:c r="Y137" s="324" t="n">
        <x:v>15.07</x:v>
      </x:c>
      <x:c r="Z137" s="324" t="n">
        <x:v>0.12</x:v>
      </x:c>
      <x:c r="AA137" s="292" t="str">
        <x:v>PROBABLE</x:v>
      </x:c>
      <x:c r="AB137" s="293" t="str">
        <x:v>61CE57811385D785E385DE85D985DE85DC85D985DC85DC85D785D985D785DE85DC85DE85E385D7</x:v>
      </x:c>
    </x:row>
    <x:row r="138" ht="15" hidden="0" customHeight="1">
      <x:c r="A138" s="318" t="n">
        <x:v>309789444</x:v>
      </x:c>
      <x:c r="B138" s="301" t="n">
        <x:v>309791574</x:v>
      </x:c>
      <x:c r="C138" s="321" t="n">
        <x:v>290.055822</x:v>
      </x:c>
      <x:c r="D138" s="292" t="str">
        <x:v>578113</x:v>
      </x:c>
      <x:c r="E138" s="324" t="n">
        <x:v>14.92</x:v>
      </x:c>
      <x:c r="F138" s="324" t="n">
        <x:v>15.05</x:v>
      </x:c>
      <x:c r="G138" s="324" t="n">
        <x:v>15</x:v>
      </x:c>
      <x:c r="H138" s="324" t="n">
        <x:v>14.97</x:v>
      </x:c>
      <x:c r="I138" s="324" t="n">
        <x:v>15.02</x:v>
      </x:c>
      <x:c r="J138" s="324" t="n">
        <x:v>14.97</x:v>
      </x:c>
      <x:c r="K138" s="324" t="n">
        <x:v>14.97</x:v>
      </x:c>
      <x:c r="L138" s="324" t="n">
        <x:v>15</x:v>
      </x:c>
      <x:c r="M138" s="324" t="n">
        <x:v>14.97</x:v>
      </x:c>
      <x:c r="N138" s="324" t="n">
        <x:v>14.95</x:v>
      </x:c>
      <x:c r="O138" s="324" t="n">
        <x:v>14.97</x:v>
      </x:c>
      <x:c r="P138" s="324" t="n">
        <x:v>14.95</x:v>
      </x:c>
      <x:c r="Q138" s="324" t="n">
        <x:v>15.02</x:v>
      </x:c>
      <x:c r="R138" s="324" t="n">
        <x:v>15</x:v>
      </x:c>
      <x:c r="S138" s="324" t="n">
        <x:v>15.02</x:v>
      </x:c>
      <x:c r="T138" s="324" t="n">
        <x:v>15.05</x:v>
      </x:c>
      <x:c r="U138" s="324" t="n">
        <x:v>14.95</x:v>
      </x:c>
      <x:c r="V138" s="324" t="n">
        <x:v>254.78</x:v>
      </x:c>
      <x:c r="W138" s="324" t="n">
        <x:v>14.987059</x:v>
      </x:c>
      <x:c r="X138" s="324" t="n">
        <x:v>14.92</x:v>
      </x:c>
      <x:c r="Y138" s="324" t="n">
        <x:v>15.05</x:v>
      </x:c>
      <x:c r="Z138" s="324" t="n">
        <x:v>0.13</x:v>
      </x:c>
      <x:c r="AA138" s="292" t="str">
        <x:v>PROBABLE</x:v>
      </x:c>
      <x:c r="AB138" s="293" t="str">
        <x:v>61CE57811385D485E185DC85D985DE85D985D985DC85D985D785D985D785DE85DC85DE85E185D7</x:v>
      </x:c>
    </x:row>
    <x:row r="139" ht="15" hidden="0" customHeight="1">
      <x:c r="A139" s="319" t="n">
        <x:v>310375691</x:v>
      </x:c>
      <x:c r="B139" s="302" t="n">
        <x:v>310378192</x:v>
      </x:c>
      <x:c r="C139" s="322" t="n">
        <x:v>290.642063</x:v>
      </x:c>
      <x:c r="D139" s="295" t="str">
        <x:v>578113</x:v>
      </x:c>
      <x:c r="E139" s="325" t="n">
        <x:v>15</x:v>
      </x:c>
      <x:c r="F139" s="325" t="n">
        <x:v>15.05</x:v>
      </x:c>
      <x:c r="G139" s="325" t="n">
        <x:v>14.97</x:v>
      </x:c>
      <x:c r="H139" s="325" t="n">
        <x:v>15</x:v>
      </x:c>
      <x:c r="I139" s="325" t="n">
        <x:v>15</x:v>
      </x:c>
      <x:c r="J139" s="325" t="n">
        <x:v>15</x:v>
      </x:c>
      <x:c r="K139" s="325" t="n">
        <x:v>14.97</x:v>
      </x:c>
      <x:c r="L139" s="325" t="n">
        <x:v>14.95</x:v>
      </x:c>
      <x:c r="M139" s="325" t="n">
        <x:v>15</x:v>
      </x:c>
      <x:c r="N139" s="325" t="n">
        <x:v>14.95</x:v>
      </x:c>
      <x:c r="O139" s="325" t="n">
        <x:v>14.97</x:v>
      </x:c>
      <x:c r="P139" s="325" t="n">
        <x:v>14.95</x:v>
      </x:c>
      <x:c r="Q139" s="325" t="n">
        <x:v>15.02</x:v>
      </x:c>
      <x:c r="R139" s="325" t="n">
        <x:v>15</x:v>
      </x:c>
      <x:c r="S139" s="325" t="n">
        <x:v>15.02</x:v>
      </x:c>
      <x:c r="T139" s="325" t="n">
        <x:v>15.05</x:v>
      </x:c>
      <x:c r="U139" s="325" t="n">
        <x:v>14.97</x:v>
      </x:c>
      <x:c r="V139" s="325" t="n">
        <x:v>254.87</x:v>
      </x:c>
      <x:c r="W139" s="325" t="n">
        <x:v>14.992353</x:v>
      </x:c>
      <x:c r="X139" s="325" t="n">
        <x:v>14.95</x:v>
      </x:c>
      <x:c r="Y139" s="325" t="n">
        <x:v>15.05</x:v>
      </x:c>
      <x:c r="Z139" s="325" t="n">
        <x:v>0.1</x:v>
      </x:c>
      <x:c r="AA139" s="295" t="str">
        <x:v>PROBABLE</x:v>
      </x:c>
      <x:c r="AB139" s="296" t="str">
        <x:v>61CE57811385DC85E185D985DC85DC85DC85D985D785DC85D785D985D785DE85DC85DE85E185D9</x:v>
      </x:c>
    </x:row>
  </x:sheetData>
  <x:mergeCells>
    <x:mergeCell ref="A1:AB1"/>
    <x:mergeCell ref="A5:AB5"/>
  </x:mergeCells>
  <x:conditionalFormatting sqref="Z7:Z139">
    <x:cfRule type="colorScale" priority="1">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4da39e4fa9d94bf9"/>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15" hidden="0" customWidth="1"/>
    <x:col min="4" max="4" width="15" hidden="0" customWidth="1"/>
    <x:col min="5" max="5" width="14" hidden="0" customWidth="1"/>
    <x:col min="6" max="6" width="15" hidden="0" customWidth="1"/>
    <x:col min="7" max="7" width="15" hidden="0" customWidth="1"/>
    <x:col min="8" max="8" width="14" hidden="0" customWidth="1"/>
    <x:col min="9" max="9" width="17" hidden="0" customWidth="1"/>
    <x:col min="10" max="10" width="15" hidden="0" customWidth="1"/>
    <x:col min="11" max="11" width="17" hidden="0" customWidth="1"/>
    <x:col min="12" max="12" width="17" hidden="0" customWidth="1"/>
    <x:col min="13" max="13" width="12" hidden="0" customWidth="1"/>
    <x:col min="14" max="14" width="18" hidden="0" customWidth="1"/>
    <x:col min="15" max="15" width="16" hidden="0" customWidth="1"/>
  </x:cols>
  <x:sheetData>
    <x:row r="1" ht="15" hidden="0" customHeight="1">
      <x:c r="A1" s="311" t="str">
        <x:v>Hybrid Assistant Battery Check graph ↔ S0010 CAN correlation</x:v>
      </x:c>
      <x:c r="B1" s="311"/>
      <x:c r="C1" s="311"/>
      <x:c r="D1" s="311"/>
      <x:c r="E1" s="311"/>
      <x:c r="F1" s="311"/>
      <x:c r="G1" s="311"/>
      <x:c r="H1" s="311"/>
      <x:c r="I1" s="311"/>
      <x:c r="J1" s="311"/>
      <x:c r="K1" s="311"/>
      <x:c r="L1" s="311"/>
      <x:c r="M1" s="311"/>
      <x:c r="N1" s="311"/>
      <x:c r="O1" s="311"/>
    </x:row>
    <x:row r="2" ht="15" hidden="0" customHeight="1">
      <x:c r="A2" s="316" t="str">
        <x:v>32/32 frames matched. Graph values come from OCR-calibrated Y-axis geometry and ordered block bars; CAN values come from independently reconstructed 7EA ISO-TP responses. Dr. Prius uses the same generic graph path but remains unvalidated until a sample capture is supplied.</x:v>
      </x:c>
      <x:c r="B2" s="316"/>
      <x:c r="C2" s="316"/>
      <x:c r="D2" s="316"/>
      <x:c r="E2" s="316"/>
      <x:c r="F2" s="316"/>
      <x:c r="G2" s="316"/>
      <x:c r="H2" s="316"/>
      <x:c r="I2" s="316"/>
      <x:c r="J2" s="316"/>
      <x:c r="K2" s="316"/>
      <x:c r="L2" s="316"/>
      <x:c r="M2" s="316"/>
      <x:c r="N2" s="316"/>
      <x:c r="O2" s="316"/>
    </x:row>
    <x:row r="3"/>
    <x:row r="4" ht="15" hidden="0" customHeight="1">
      <x:c r="A4" s="268" t="str">
        <x:v>Video_s</x:v>
      </x:c>
      <x:c r="B4" s="268" t="str">
        <x:v>Blocks</x:v>
      </x:c>
      <x:c r="C4" s="268" t="str">
        <x:v>Graph Avg V</x:v>
      </x:c>
      <x:c r="D4" s="268" t="str">
        <x:v>Printed Avg V</x:v>
      </x:c>
      <x:c r="E4" s="268" t="str">
        <x:v>Avg Delta V</x:v>
      </x:c>
      <x:c r="F4" s="268" t="str">
        <x:v>Graph Diff V</x:v>
      </x:c>
      <x:c r="G4" s="268" t="str">
        <x:v>Printed Diff V</x:v>
      </x:c>
      <x:c r="H4" s="268" t="str">
        <x:v>Diff Delta V</x:v>
      </x:c>
      <x:c r="I4" s="268" t="str">
        <x:v>CAN Time Delta s</x:v>
      </x:c>
      <x:c r="J4" s="268" t="str">
        <x:v>Block RMSE V</x:v>
      </x:c>
      <x:c r="K4" s="268" t="str">
        <x:v>Block Max Abs V</x:v>
      </x:c>
      <x:c r="L4" s="268" t="str">
        <x:v>Axis Fit RMSE V</x:v>
      </x:c>
      <x:c r="M4" s="268" t="str">
        <x:v>Confidence</x:v>
      </x:c>
      <x:c r="N4" s="268" t="str">
        <x:v>Power QC</x:v>
      </x:c>
      <x:c r="O4" s="268" t="str">
        <x:v>CAN Match</x:v>
      </x:c>
    </x:row>
    <x:row r="5" ht="15" hidden="0" customHeight="1">
      <x:c r="A5" s="326" t="n">
        <x:v>200</x:v>
      </x:c>
      <x:c r="B5" s="320" t="n">
        <x:v>17</x:v>
      </x:c>
      <x:c r="C5" s="320" t="n">
        <x:v>15.313889</x:v>
      </x:c>
      <x:c r="D5" s="320" t="n">
        <x:v>15.314</x:v>
      </x:c>
      <x:c r="E5" s="320" t="n">
        <x:v>-0.002582</x:v>
      </x:c>
      <x:c r="F5" s="320" t="n">
        <x:v>0.115493</x:v>
      </x:c>
      <x:c r="G5" s="320" t="n">
        <x:v>0.12</x:v>
      </x:c>
      <x:c r="H5" s="320" t="n">
        <x:v>-0.004507</x:v>
      </x:c>
      <x:c r="I5" s="320" t="n">
        <x:v>0.320578</x:v>
      </x:c>
      <x:c r="J5" s="320" t="n">
        <x:v>0.024519</x:v>
      </x:c>
      <x:c r="K5" s="320" t="n">
        <x:v>0.0488</x:v>
      </x:c>
      <x:c r="L5" s="320" t="n">
        <x:v>0.002795</x:v>
      </x:c>
      <x:c r="M5" s="320" t="n">
        <x:v>0.98</x:v>
      </x:c>
      <x:c r="N5" s="289" t="str">
        <x:v>CONSISTENT</x:v>
      </x:c>
      <x:c r="O5" s="290" t="str">
        <x:v>MATCHED</x:v>
      </x:c>
    </x:row>
    <x:row r="6" ht="15" hidden="0" customHeight="1">
      <x:c r="A6" s="327" t="n">
        <x:v>202</x:v>
      </x:c>
      <x:c r="B6" s="321" t="n">
        <x:v>17</x:v>
      </x:c>
      <x:c r="C6" s="321" t="n">
        <x:v>15.306464</x:v>
      </x:c>
      <x:c r="D6" s="321" t="n">
        <x:v>15.306</x:v>
      </x:c>
      <x:c r="E6" s="321" t="n">
        <x:v>-0.001183</x:v>
      </x:c>
      <x:c r="F6" s="321" t="n">
        <x:v>0.086513</x:v>
      </x:c>
      <x:c r="G6" s="321" t="n">
        <x:v>0.09</x:v>
      </x:c>
      <x:c r="H6" s="321" t="n">
        <x:v>-0.003487</x:v>
      </x:c>
      <x:c r="I6" s="321" t="n">
        <x:v>0.035024</x:v>
      </x:c>
      <x:c r="J6" s="321" t="n">
        <x:v>0.007999</x:v>
      </x:c>
      <x:c r="K6" s="321" t="n">
        <x:v>0.019453</x:v>
      </x:c>
      <x:c r="L6" s="321" t="n">
        <x:v>0.002762</x:v>
      </x:c>
      <x:c r="M6" s="321" t="n">
        <x:v>0.98</x:v>
      </x:c>
      <x:c r="N6" s="292" t="str">
        <x:v>CONSISTENT</x:v>
      </x:c>
      <x:c r="O6" s="293" t="str">
        <x:v>MATCHED</x:v>
      </x:c>
    </x:row>
    <x:row r="7" ht="15" hidden="0" customHeight="1">
      <x:c r="A7" s="327" t="n">
        <x:v>204</x:v>
      </x:c>
      <x:c r="B7" s="321" t="n">
        <x:v>17</x:v>
      </x:c>
      <x:c r="C7" s="321" t="n">
        <x:v>15.303201</x:v>
      </x:c>
      <x:c r="D7" s="321" t="n">
        <x:v>15.304</x:v>
      </x:c>
      <x:c r="E7" s="321" t="n">
        <x:v>0.001436</x:v>
      </x:c>
      <x:c r="F7" s="321" t="n">
        <x:v>0.098539</x:v>
      </x:c>
      <x:c r="G7" s="321" t="n">
        <x:v>0.1</x:v>
      </x:c>
      <x:c r="H7" s="321" t="n">
        <x:v>-0.041461</x:v>
      </x:c>
      <x:c r="I7" s="321" t="n">
        <x:v>0.256255</x:v>
      </x:c>
      <x:c r="J7" s="321" t="n">
        <x:v>0.027662</x:v>
      </x:c>
      <x:c r="K7" s="321" t="n">
        <x:v>0.069956</x:v>
      </x:c>
      <x:c r="L7" s="321" t="n">
        <x:v>0.0026</x:v>
      </x:c>
      <x:c r="M7" s="321" t="n">
        <x:v>0.98</x:v>
      </x:c>
      <x:c r="N7" s="292" t="str">
        <x:v>CONSISTENT</x:v>
      </x:c>
      <x:c r="O7" s="293" t="str">
        <x:v>MATCHED</x:v>
      </x:c>
    </x:row>
    <x:row r="8" ht="15" hidden="0" customHeight="1">
      <x:c r="A8" s="327" t="n">
        <x:v>206</x:v>
      </x:c>
      <x:c r="B8" s="321" t="n">
        <x:v>17</x:v>
      </x:c>
      <x:c r="C8" s="321" t="n">
        <x:v>15.293353</x:v>
      </x:c>
      <x:c r="D8" s="321" t="n">
        <x:v>15.294</x:v>
      </x:c>
      <x:c r="E8" s="321" t="n">
        <x:v>-0.001353</x:v>
      </x:c>
      <x:c r="F8" s="321" t="n">
        <x:v>0.098529</x:v>
      </x:c>
      <x:c r="G8" s="321" t="n">
        <x:v>0.1</x:v>
      </x:c>
      <x:c r="H8" s="321" t="n">
        <x:v>-0.021471</x:v>
      </x:c>
      <x:c r="I8" s="321" t="n">
        <x:v>0.140705</x:v>
      </x:c>
      <x:c r="J8" s="321" t="n">
        <x:v>0.037621</x:v>
      </x:c>
      <x:c r="K8" s="321" t="n">
        <x:v>0.099408</x:v>
      </x:c>
      <x:c r="L8" s="321" t="n">
        <x:v>0.002565</x:v>
      </x:c>
      <x:c r="M8" s="321" t="n">
        <x:v>0.98</x:v>
      </x:c>
      <x:c r="N8" s="292" t="str">
        <x:v>CONSISTENT</x:v>
      </x:c>
      <x:c r="O8" s="293" t="str">
        <x:v>MATCHED</x:v>
      </x:c>
    </x:row>
    <x:row r="9" ht="15" hidden="0" customHeight="1">
      <x:c r="A9" s="327" t="n">
        <x:v>208</x:v>
      </x:c>
      <x:c r="B9" s="321" t="n">
        <x:v>17</x:v>
      </x:c>
      <x:c r="C9" s="321" t="n">
        <x:v>15.284516</x:v>
      </x:c>
      <x:c r="D9" s="321" t="n">
        <x:v>15.284</x:v>
      </x:c>
      <x:c r="E9" s="321" t="n">
        <x:v>-0.004308</x:v>
      </x:c>
      <x:c r="F9" s="321" t="n">
        <x:v>0.117833</x:v>
      </x:c>
      <x:c r="G9" s="321" t="n">
        <x:v>0.12</x:v>
      </x:c>
      <x:c r="H9" s="321" t="n">
        <x:v>-0.002167</x:v>
      </x:c>
      <x:c r="I9" s="321" t="n">
        <x:v>0.128818</x:v>
      </x:c>
      <x:c r="J9" s="321" t="n">
        <x:v>0.009487</x:v>
      </x:c>
      <x:c r="K9" s="321" t="n">
        <x:v>0.019618</x:v>
      </x:c>
      <x:c r="L9" s="321" t="n">
        <x:v>0.002337</x:v>
      </x:c>
      <x:c r="M9" s="321" t="n">
        <x:v>0.98</x:v>
      </x:c>
      <x:c r="N9" s="292" t="str">
        <x:v>CONSISTENT</x:v>
      </x:c>
      <x:c r="O9" s="293" t="str">
        <x:v>MATCHED</x:v>
      </x:c>
    </x:row>
    <x:row r="10" ht="15" hidden="0" customHeight="1">
      <x:c r="A10" s="327" t="n">
        <x:v>210</x:v>
      </x:c>
      <x:c r="B10" s="321" t="n">
        <x:v>17</x:v>
      </x:c>
      <x:c r="C10" s="321" t="n">
        <x:v>15.275824</x:v>
      </x:c>
      <x:c r="D10" s="321" t="n">
        <x:v>15.275</x:v>
      </x:c>
      <x:c r="E10" s="321" t="n">
        <x:v>-0.000647</x:v>
      </x:c>
      <x:c r="F10" s="321" t="n">
        <x:v>0.088375</x:v>
      </x:c>
      <x:c r="G10" s="321" t="n">
        <x:v>0.09</x:v>
      </x:c>
      <x:c r="H10" s="321" t="n">
        <x:v>-0.001625</x:v>
      </x:c>
      <x:c r="I10" s="321" t="n">
        <x:v>0.214917</x:v>
      </x:c>
      <x:c r="J10" s="321" t="n">
        <x:v>0.025076</x:v>
      </x:c>
      <x:c r="K10" s="321" t="n">
        <x:v>0.050582</x:v>
      </x:c>
      <x:c r="L10" s="321" t="n">
        <x:v>0.002337</x:v>
      </x:c>
      <x:c r="M10" s="321" t="n">
        <x:v>0.98</x:v>
      </x:c>
      <x:c r="N10" s="292" t="str">
        <x:v>CONSISTENT</x:v>
      </x:c>
      <x:c r="O10" s="293" t="str">
        <x:v>MATCHED</x:v>
      </x:c>
    </x:row>
    <x:row r="11" ht="15" hidden="0" customHeight="1">
      <x:c r="A11" s="327" t="n">
        <x:v>212</x:v>
      </x:c>
      <x:c r="B11" s="321" t="n">
        <x:v>17</x:v>
      </x:c>
      <x:c r="C11" s="321" t="n">
        <x:v>15.271105</x:v>
      </x:c>
      <x:c r="D11" s="321" t="n">
        <x:v>15.271</x:v>
      </x:c>
      <x:c r="E11" s="321" t="n">
        <x:v>-0.000071</x:v>
      </x:c>
      <x:c r="F11" s="321" t="n">
        <x:v>0.119348</x:v>
      </x:c>
      <x:c r="G11" s="321" t="n">
        <x:v>0.12</x:v>
      </x:c>
      <x:c r="H11" s="321" t="n">
        <x:v>-0.000652</x:v>
      </x:c>
      <x:c r="I11" s="321" t="n">
        <x:v>0.099795</x:v>
      </x:c>
      <x:c r="J11" s="321" t="n">
        <x:v>0.030698</x:v>
      </x:c>
      <x:c r="K11" s="321" t="n">
        <x:v>0.070379</x:v>
      </x:c>
      <x:c r="L11" s="321" t="n">
        <x:v>0.000193</x:v>
      </x:c>
      <x:c r="M11" s="321" t="n">
        <x:v>0.98</x:v>
      </x:c>
      <x:c r="N11" s="292" t="str">
        <x:v>CONSISTENT</x:v>
      </x:c>
      <x:c r="O11" s="293" t="str">
        <x:v>MATCHED</x:v>
      </x:c>
    </x:row>
    <x:row r="12" ht="15" hidden="0" customHeight="1">
      <x:c r="A12" s="327" t="n">
        <x:v>214</x:v>
      </x:c>
      <x:c r="B12" s="321" t="n">
        <x:v>17</x:v>
      </x:c>
      <x:c r="C12" s="321" t="n">
        <x:v>15.258774</x:v>
      </x:c>
      <x:c r="D12" s="321" t="n">
        <x:v>15.259</x:v>
      </x:c>
      <x:c r="E12" s="321" t="n">
        <x:v>-0.005932</x:v>
      </x:c>
      <x:c r="F12" s="321" t="n">
        <x:v>0.119348</x:v>
      </x:c>
      <x:c r="G12" s="321" t="n">
        <x:v>0.12</x:v>
      </x:c>
      <x:c r="H12" s="321" t="n">
        <x:v>-0.000652</x:v>
      </x:c>
      <x:c r="I12" s="321" t="n">
        <x:v>0.087779</x:v>
      </x:c>
      <x:c r="J12" s="321" t="n">
        <x:v>0.030248</x:v>
      </x:c>
      <x:c r="K12" s="321" t="n">
        <x:v>0.079649</x:v>
      </x:c>
      <x:c r="L12" s="321" t="n">
        <x:v>0.000193</x:v>
      </x:c>
      <x:c r="M12" s="321" t="n">
        <x:v>0.98</x:v>
      </x:c>
      <x:c r="N12" s="292" t="str">
        <x:v>CONSISTENT</x:v>
      </x:c>
      <x:c r="O12" s="293" t="str">
        <x:v>MATCHED</x:v>
      </x:c>
    </x:row>
    <x:row r="13" ht="15" hidden="0" customHeight="1">
      <x:c r="A13" s="327" t="n">
        <x:v>216</x:v>
      </x:c>
      <x:c r="B13" s="321" t="n">
        <x:v>17</x:v>
      </x:c>
      <x:c r="C13" s="321" t="n">
        <x:v>15.254544</x:v>
      </x:c>
      <x:c r="D13" s="321" t="n">
        <x:v>15.255</x:v>
      </x:c>
      <x:c r="E13" s="321" t="n">
        <x:v>-0.000162</x:v>
      </x:c>
      <x:c r="F13" s="321" t="n">
        <x:v>0.119348</x:v>
      </x:c>
      <x:c r="G13" s="321" t="n">
        <x:v>0.12</x:v>
      </x:c>
      <x:c r="H13" s="321" t="n">
        <x:v>0.019348</x:v>
      </x:c>
      <x:c r="I13" s="321" t="n">
        <x:v>0.240002</x:v>
      </x:c>
      <x:c r="J13" s="321" t="n">
        <x:v>0.039517</x:v>
      </x:c>
      <x:c r="K13" s="321" t="n">
        <x:v>0.099649</x:v>
      </x:c>
      <x:c r="L13" s="321" t="n">
        <x:v>0.000193</x:v>
      </x:c>
      <x:c r="M13" s="321" t="n">
        <x:v>0.98</x:v>
      </x:c>
      <x:c r="N13" s="292" t="str">
        <x:v>CONSISTENT</x:v>
      </x:c>
      <x:c r="O13" s="293" t="str">
        <x:v>MATCHED</x:v>
      </x:c>
    </x:row>
    <x:row r="14" ht="15" hidden="0" customHeight="1">
      <x:c r="A14" s="327" t="n">
        <x:v>218</x:v>
      </x:c>
      <x:c r="B14" s="321" t="n">
        <x:v>17</x:v>
      </x:c>
      <x:c r="C14" s="321" t="n">
        <x:v>15.252856</x:v>
      </x:c>
      <x:c r="D14" s="321" t="n">
        <x:v>15.253</x:v>
      </x:c>
      <x:c r="E14" s="321" t="n">
        <x:v>0.005209</x:v>
      </x:c>
      <x:c r="F14" s="321" t="n">
        <x:v>0.070098</x:v>
      </x:c>
      <x:c r="G14" s="321" t="n">
        <x:v>0.07</x:v>
      </x:c>
      <x:c r="H14" s="321" t="n">
        <x:v>-0.029902</x:v>
      </x:c>
      <x:c r="I14" s="321" t="n">
        <x:v>0.05327</x:v>
      </x:c>
      <x:c r="J14" s="321" t="n">
        <x:v>0.014322</x:v>
      </x:c>
      <x:c r="K14" s="321" t="n">
        <x:v>0.030049</x:v>
      </x:c>
      <x:c r="L14" s="321" t="n">
        <x:v>0.00021</x:v>
      </x:c>
      <x:c r="M14" s="321" t="n">
        <x:v>0.98</x:v>
      </x:c>
      <x:c r="N14" s="292" t="str">
        <x:v>CONSISTENT</x:v>
      </x:c>
      <x:c r="O14" s="293" t="str">
        <x:v>MATCHED</x:v>
      </x:c>
    </x:row>
    <x:row r="15" ht="15" hidden="0" customHeight="1">
      <x:c r="A15" s="327" t="n">
        <x:v>220</x:v>
      </x:c>
      <x:c r="B15" s="321" t="n">
        <x:v>17</x:v>
      </x:c>
      <x:c r="C15" s="321" t="n">
        <x:v>15.237878</x:v>
      </x:c>
      <x:c r="D15" s="321" t="n">
        <x:v>15.239</x:v>
      </x:c>
      <x:c r="E15" s="321" t="n">
        <x:v>-0.004475</x:v>
      </x:c>
      <x:c r="F15" s="321" t="n">
        <x:v>0.121631</x:v>
      </x:c>
      <x:c r="G15" s="321" t="n">
        <x:v>0.12</x:v>
      </x:c>
      <x:c r="H15" s="321" t="n">
        <x:v>0.021631</x:v>
      </x:c>
      <x:c r="I15" s="321" t="n">
        <x:v>0.277613</x:v>
      </x:c>
      <x:c r="J15" s="321" t="n">
        <x:v>0.027102</x:v>
      </x:c>
      <x:c r="K15" s="321" t="n">
        <x:v>0.051994</x:v>
      </x:c>
      <x:c r="L15" s="321" t="n">
        <x:v>0.002557</x:v>
      </x:c>
      <x:c r="M15" s="321" t="n">
        <x:v>0.98</x:v>
      </x:c>
      <x:c r="N15" s="292" t="str">
        <x:v>CONSISTENT</x:v>
      </x:c>
      <x:c r="O15" s="293" t="str">
        <x:v>MATCHED</x:v>
      </x:c>
    </x:row>
    <x:row r="16" ht="15" hidden="0" customHeight="1">
      <x:c r="A16" s="327" t="n">
        <x:v>222</x:v>
      </x:c>
      <x:c r="B16" s="321" t="n">
        <x:v>17</x:v>
      </x:c>
      <x:c r="C16" s="321" t="n">
        <x:v>15.233723</x:v>
      </x:c>
      <x:c r="D16" s="321" t="n">
        <x:v>15.235</x:v>
      </x:c>
      <x:c r="E16" s="321" t="n">
        <x:v>-0.005101</x:v>
      </x:c>
      <x:c r="F16" s="321" t="n">
        <x:v>0.101686</x:v>
      </x:c>
      <x:c r="G16" s="321" t="n">
        <x:v>0.1</x:v>
      </x:c>
      <x:c r="H16" s="321" t="n">
        <x:v>-0.018314</x:v>
      </x:c>
      <x:c r="I16" s="321" t="n">
        <x:v>0.008883</x:v>
      </x:c>
      <x:c r="J16" s="321" t="n">
        <x:v>0.028477</x:v>
      </x:c>
      <x:c r="K16" s="321" t="n">
        <x:v>0.051259</x:v>
      </x:c>
      <x:c r="L16" s="321" t="n">
        <x:v>0.002557</x:v>
      </x:c>
      <x:c r="M16" s="321" t="n">
        <x:v>0.98</x:v>
      </x:c>
      <x:c r="N16" s="292" t="str">
        <x:v>CONSISTENT</x:v>
      </x:c>
      <x:c r="O16" s="293" t="str">
        <x:v>MATCHED</x:v>
      </x:c>
    </x:row>
    <x:row r="17" ht="15" hidden="0" customHeight="1">
      <x:c r="A17" s="327" t="n">
        <x:v>224</x:v>
      </x:c>
      <x:c r="B17" s="321" t="n">
        <x:v>17</x:v>
      </x:c>
      <x:c r="C17" s="321" t="n">
        <x:v>15.221433</x:v>
      </x:c>
      <x:c r="D17" s="321" t="n">
        <x:v>15.222</x:v>
      </x:c>
      <x:c r="E17" s="321" t="n">
        <x:v>-0.004449</x:v>
      </x:c>
      <x:c r="F17" s="321" t="n">
        <x:v>0.100596</x:v>
      </x:c>
      <x:c r="G17" s="321" t="n">
        <x:v>0.1</x:v>
      </x:c>
      <x:c r="H17" s="321" t="n">
        <x:v>-0.029404</x:v>
      </x:c>
      <x:c r="I17" s="321" t="n">
        <x:v>0.267587</x:v>
      </x:c>
      <x:c r="J17" s="321" t="n">
        <x:v>0.033946</x:v>
      </x:c>
      <x:c r="K17" s="321" t="n">
        <x:v>0.079904</x:v>
      </x:c>
      <x:c r="L17" s="321" t="n">
        <x:v>0.002719</x:v>
      </x:c>
      <x:c r="M17" s="321" t="n">
        <x:v>0.98</x:v>
      </x:c>
      <x:c r="N17" s="292" t="str">
        <x:v>CONSISTENT</x:v>
      </x:c>
      <x:c r="O17" s="293" t="str">
        <x:v>MATCHED</x:v>
      </x:c>
    </x:row>
    <x:row r="18" ht="15" hidden="0" customHeight="1">
      <x:c r="A18" s="327" t="n">
        <x:v>226</x:v>
      </x:c>
      <x:c r="B18" s="321" t="n">
        <x:v>17</x:v>
      </x:c>
      <x:c r="C18" s="321" t="n">
        <x:v>15.214385</x:v>
      </x:c>
      <x:c r="D18" s="321" t="n">
        <x:v>15.215</x:v>
      </x:c>
      <x:c r="E18" s="321" t="n">
        <x:v>-0.002674</x:v>
      </x:c>
      <x:c r="F18" s="321" t="n">
        <x:v>0.130553</x:v>
      </x:c>
      <x:c r="G18" s="321" t="n">
        <x:v>0.13</x:v>
      </x:c>
      <x:c r="H18" s="321" t="n">
        <x:v>0.000553</x:v>
      </x:c>
      <x:c r="I18" s="321" t="n">
        <x:v>0.061095</x:v>
      </x:c>
      <x:c r="J18" s="321" t="n">
        <x:v>0.031759</x:v>
      </x:c>
      <x:c r="K18" s="321" t="n">
        <x:v>0.080649</x:v>
      </x:c>
      <x:c r="L18" s="321" t="n">
        <x:v>0.002719</x:v>
      </x:c>
      <x:c r="M18" s="321" t="n">
        <x:v>0.98</x:v>
      </x:c>
      <x:c r="N18" s="292" t="str">
        <x:v>CONSISTENT</x:v>
      </x:c>
      <x:c r="O18" s="293" t="str">
        <x:v>MATCHED</x:v>
      </x:c>
    </x:row>
    <x:row r="19" ht="15" hidden="0" customHeight="1">
      <x:c r="A19" s="327" t="n">
        <x:v>228</x:v>
      </x:c>
      <x:c r="B19" s="321" t="n">
        <x:v>17</x:v>
      </x:c>
      <x:c r="C19" s="321" t="n">
        <x:v>15.20255</x:v>
      </x:c>
      <x:c r="D19" s="321" t="n">
        <x:v>15.203</x:v>
      </x:c>
      <x:c r="E19" s="321" t="n">
        <x:v>-0.005097</x:v>
      </x:c>
      <x:c r="F19" s="321" t="n">
        <x:v>0.100596</x:v>
      </x:c>
      <x:c r="G19" s="321" t="n">
        <x:v>0.1</x:v>
      </x:c>
      <x:c r="H19" s="321" t="n">
        <x:v>-0.029404</x:v>
      </x:c>
      <x:c r="I19" s="321" t="n">
        <x:v>0.244991</x:v>
      </x:c>
      <x:c r="J19" s="321" t="n">
        <x:v>0.026887</x:v>
      </x:c>
      <x:c r="K19" s="321" t="n">
        <x:v>0.050692</x:v>
      </x:c>
      <x:c r="L19" s="321" t="n">
        <x:v>0.002719</x:v>
      </x:c>
      <x:c r="M19" s="321" t="n">
        <x:v>0.98</x:v>
      </x:c>
      <x:c r="N19" s="292" t="str">
        <x:v>CONSISTENT</x:v>
      </x:c>
      <x:c r="O19" s="293" t="str">
        <x:v>MATCHED</x:v>
      </x:c>
    </x:row>
    <x:row r="20" ht="15" hidden="0" customHeight="1">
      <x:c r="A20" s="327" t="n">
        <x:v>230</x:v>
      </x:c>
      <x:c r="B20" s="321" t="n">
        <x:v>17</x:v>
      </x:c>
      <x:c r="C20" s="321" t="n">
        <x:v>15.199591</x:v>
      </x:c>
      <x:c r="D20" s="321" t="n">
        <x:v>15.2</x:v>
      </x:c>
      <x:c r="E20" s="321" t="n">
        <x:v>-0.001585</x:v>
      </x:c>
      <x:c r="F20" s="321" t="n">
        <x:v>0.130553</x:v>
      </x:c>
      <x:c r="G20" s="321" t="n">
        <x:v>0.13</x:v>
      </x:c>
      <x:c r="H20" s="321" t="n">
        <x:v>0.000553</x:v>
      </x:c>
      <x:c r="I20" s="321" t="n">
        <x:v>0.341182</x:v>
      </x:c>
      <x:c r="J20" s="321" t="n">
        <x:v>0.005038</x:v>
      </x:c>
      <x:c r="K20" s="321" t="n">
        <x:v>0.020692</x:v>
      </x:c>
      <x:c r="L20" s="321" t="n">
        <x:v>0.002719</x:v>
      </x:c>
      <x:c r="M20" s="321" t="n">
        <x:v>0.98</x:v>
      </x:c>
      <x:c r="N20" s="292" t="str">
        <x:v>CONSISTENT</x:v>
      </x:c>
      <x:c r="O20" s="293" t="str">
        <x:v>MATCHED</x:v>
      </x:c>
    </x:row>
    <x:row r="21" ht="15" hidden="0" customHeight="1">
      <x:c r="A21" s="327" t="n">
        <x:v>232</x:v>
      </x:c>
      <x:c r="B21" s="321" t="n">
        <x:v>17</x:v>
      </x:c>
      <x:c r="C21" s="321" t="n">
        <x:v>15.195436</x:v>
      </x:c>
      <x:c r="D21" s="321" t="n">
        <x:v>15.196</x:v>
      </x:c>
      <x:c r="E21" s="321" t="n">
        <x:v>-0.005152</x:v>
      </x:c>
      <x:c r="F21" s="321" t="n">
        <x:v>0.100596</x:v>
      </x:c>
      <x:c r="G21" s="321" t="n">
        <x:v>0.1</x:v>
      </x:c>
      <x:c r="H21" s="321" t="n">
        <x:v>0.000596</x:v>
      </x:c>
      <x:c r="I21" s="321" t="n">
        <x:v>0.102315</x:v>
      </x:c>
      <x:c r="J21" s="321" t="n">
        <x:v>0.040152</x:v>
      </x:c>
      <x:c r="K21" s="321" t="n">
        <x:v>0.100649</x:v>
      </x:c>
      <x:c r="L21" s="321" t="n">
        <x:v>0.002719</x:v>
      </x:c>
      <x:c r="M21" s="321" t="n">
        <x:v>0.98</x:v>
      </x:c>
      <x:c r="N21" s="292" t="str">
        <x:v>CONSISTENT</x:v>
      </x:c>
      <x:c r="O21" s="293" t="str">
        <x:v>MATCHED</x:v>
      </x:c>
    </x:row>
    <x:row r="22" ht="15" hidden="0" customHeight="1">
      <x:c r="A22" s="327" t="n">
        <x:v>256</x:v>
      </x:c>
      <x:c r="B22" s="321" t="n">
        <x:v>17</x:v>
      </x:c>
      <x:c r="C22" s="321" t="n">
        <x:v>15.105096</x:v>
      </x:c>
      <x:c r="D22" s="321" t="n">
        <x:v>15.105</x:v>
      </x:c>
      <x:c r="E22" s="321" t="n">
        <x:v>0.00039</x:v>
      </x:c>
      <x:c r="F22" s="321" t="n">
        <x:v>0.148254</x:v>
      </x:c>
      <x:c r="G22" s="321" t="n">
        <x:v>0.15</x:v>
      </x:c>
      <x:c r="H22" s="321" t="n">
        <x:v>-0.001746</x:v>
      </x:c>
      <x:c r="I22" s="321" t="n">
        <x:v>0.204636</x:v>
      </x:c>
      <x:c r="J22" s="321" t="n">
        <x:v>0.01199</x:v>
      </x:c>
      <x:c r="K22" s="321" t="n">
        <x:v>0.02986</x:v>
      </x:c>
      <x:c r="L22" s="321" t="n">
        <x:v>0.002627</x:v>
      </x:c>
      <x:c r="M22" s="321" t="n">
        <x:v>0.98</x:v>
      </x:c>
      <x:c r="N22" s="292" t="str">
        <x:v>CONSISTENT</x:v>
      </x:c>
      <x:c r="O22" s="293" t="str">
        <x:v>MATCHED</x:v>
      </x:c>
    </x:row>
    <x:row r="23" ht="15" hidden="0" customHeight="1">
      <x:c r="A23" s="327" t="n">
        <x:v>258</x:v>
      </x:c>
      <x:c r="B23" s="321" t="n">
        <x:v>17</x:v>
      </x:c>
      <x:c r="C23" s="321" t="n">
        <x:v>15.09862</x:v>
      </x:c>
      <x:c r="D23" s="321" t="n">
        <x:v>15.099</x:v>
      </x:c>
      <x:c r="E23" s="321" t="n">
        <x:v>0.003914</x:v>
      </x:c>
      <x:c r="F23" s="321" t="n">
        <x:v>0.088571</x:v>
      </x:c>
      <x:c r="G23" s="321" t="n">
        <x:v>0.09</x:v>
      </x:c>
      <x:c r="H23" s="321" t="n">
        <x:v>-0.061429</x:v>
      </x:c>
      <x:c r="I23" s="321" t="n">
        <x:v>0.015987</x:v>
      </x:c>
      <x:c r="J23" s="321" t="n">
        <x:v>0.032037</x:v>
      </x:c>
      <x:c r="K23" s="321" t="n">
        <x:v>0.07014</x:v>
      </x:c>
      <x:c r="L23" s="321" t="n">
        <x:v>0.002627</x:v>
      </x:c>
      <x:c r="M23" s="321" t="n">
        <x:v>0.98</x:v>
      </x:c>
      <x:c r="N23" s="292" t="str">
        <x:v>CONSISTENT</x:v>
      </x:c>
      <x:c r="O23" s="293" t="str">
        <x:v>MATCHED</x:v>
      </x:c>
    </x:row>
    <x:row r="24" ht="15" hidden="0" customHeight="1">
      <x:c r="A24" s="327" t="n">
        <x:v>260</x:v>
      </x:c>
      <x:c r="B24" s="321" t="n">
        <x:v>17</x:v>
      </x:c>
      <x:c r="C24" s="321" t="n">
        <x:v>15.088184</x:v>
      </x:c>
      <x:c r="D24" s="321" t="n">
        <x:v>15.088</x:v>
      </x:c>
      <x:c r="E24" s="321" t="n">
        <x:v>-0.006522</x:v>
      </x:c>
      <x:c r="F24" s="321" t="n">
        <x:v>0.118276</x:v>
      </x:c>
      <x:c r="G24" s="321" t="n">
        <x:v>0.12</x:v>
      </x:c>
      <x:c r="H24" s="321" t="n">
        <x:v>-0.001724</x:v>
      </x:c>
      <x:c r="I24" s="321" t="n">
        <x:v>0.263496</x:v>
      </x:c>
      <x:c r="J24" s="321" t="n">
        <x:v>0.035964</x:v>
      </x:c>
      <x:c r="K24" s="321" t="n">
        <x:v>0.099082</x:v>
      </x:c>
      <x:c r="L24" s="321" t="n">
        <x:v>0.002627</x:v>
      </x:c>
      <x:c r="M24" s="321" t="n">
        <x:v>0.98</x:v>
      </x:c>
      <x:c r="N24" s="292" t="str">
        <x:v>CONSISTENT</x:v>
      </x:c>
      <x:c r="O24" s="293" t="str">
        <x:v>MATCHED</x:v>
      </x:c>
    </x:row>
    <x:row r="25" ht="15" hidden="0" customHeight="1">
      <x:c r="A25" s="327" t="n">
        <x:v>262</x:v>
      </x:c>
      <x:c r="B25" s="321" t="n">
        <x:v>17</x:v>
      </x:c>
      <x:c r="C25" s="321" t="n">
        <x:v>15.079272</x:v>
      </x:c>
      <x:c r="D25" s="321" t="n">
        <x:v>15.079</x:v>
      </x:c>
      <x:c r="E25" s="321" t="n">
        <x:v>-0.004846</x:v>
      </x:c>
      <x:c r="F25" s="321" t="n">
        <x:v>0.100124</x:v>
      </x:c>
      <x:c r="G25" s="321" t="n">
        <x:v>0.1</x:v>
      </x:c>
      <x:c r="H25" s="321" t="n">
        <x:v>-0.039876</x:v>
      </x:c>
      <x:c r="I25" s="321" t="n">
        <x:v>0.114703</x:v>
      </x:c>
      <x:c r="J25" s="321" t="n">
        <x:v>0.028729</x:v>
      </x:c>
      <x:c r="K25" s="321" t="n">
        <x:v>0.069916</x:v>
      </x:c>
      <x:c r="L25" s="321" t="n">
        <x:v>0.000245</x:v>
      </x:c>
      <x:c r="M25" s="321" t="n">
        <x:v>0.98</x:v>
      </x:c>
      <x:c r="N25" s="292" t="str">
        <x:v>CONSISTENT</x:v>
      </x:c>
      <x:c r="O25" s="293" t="str">
        <x:v>MATCHED</x:v>
      </x:c>
    </x:row>
    <x:row r="26" ht="15" hidden="0" customHeight="1">
      <x:c r="A26" s="327" t="n">
        <x:v>264</x:v>
      </x:c>
      <x:c r="B26" s="321" t="n">
        <x:v>17</x:v>
      </x:c>
      <x:c r="C26" s="321" t="n">
        <x:v>15.076318</x:v>
      </x:c>
      <x:c r="D26" s="321" t="n">
        <x:v>15.076</x:v>
      </x:c>
      <x:c r="E26" s="321" t="n">
        <x:v>-0.000741</x:v>
      </x:c>
      <x:c r="F26" s="321" t="n">
        <x:v>0.100124</x:v>
      </x:c>
      <x:c r="G26" s="321" t="n">
        <x:v>0.1</x:v>
      </x:c>
      <x:c r="H26" s="321" t="n">
        <x:v>-0.019876</x:v>
      </x:c>
      <x:c r="I26" s="321" t="n">
        <x:v>0.174695</x:v>
      </x:c>
      <x:c r="J26" s="321" t="n">
        <x:v>0.028382</x:v>
      </x:c>
      <x:c r="K26" s="321" t="n">
        <x:v>0.069888</x:v>
      </x:c>
      <x:c r="L26" s="321" t="n">
        <x:v>0.000245</x:v>
      </x:c>
      <x:c r="M26" s="321" t="n">
        <x:v>0.98</x:v>
      </x:c>
      <x:c r="N26" s="292" t="str">
        <x:v>CONSISTENT</x:v>
      </x:c>
      <x:c r="O26" s="293" t="str">
        <x:v>MATCHED</x:v>
      </x:c>
    </x:row>
    <x:row r="27" ht="15" hidden="0" customHeight="1">
      <x:c r="A27" s="327" t="n">
        <x:v>266</x:v>
      </x:c>
      <x:c r="B27" s="321" t="n">
        <x:v>17</x:v>
      </x:c>
      <x:c r="C27" s="321" t="n">
        <x:v>15.071581</x:v>
      </x:c>
      <x:c r="D27" s="321" t="n">
        <x:v>15.072</x:v>
      </x:c>
      <x:c r="E27" s="321" t="n">
        <x:v>-0.00136</x:v>
      </x:c>
      <x:c r="F27" s="321" t="n">
        <x:v>0.11972</x:v>
      </x:c>
      <x:c r="G27" s="321" t="n">
        <x:v>0.12</x:v>
      </x:c>
      <x:c r="H27" s="321" t="n">
        <x:v>-0.00028</x:v>
      </x:c>
      <x:c r="I27" s="321" t="n">
        <x:v>0.049064</x:v>
      </x:c>
      <x:c r="J27" s="321" t="n">
        <x:v>0.004927</x:v>
      </x:c>
      <x:c r="K27" s="321" t="n">
        <x:v>0.020292</x:v>
      </x:c>
      <x:c r="L27" s="321" t="n">
        <x:v>0.000245</x:v>
      </x:c>
      <x:c r="M27" s="321" t="n">
        <x:v>0.98</x:v>
      </x:c>
      <x:c r="N27" s="292" t="str">
        <x:v>CONSISTENT</x:v>
      </x:c>
      <x:c r="O27" s="293" t="str">
        <x:v>MATCHED</x:v>
      </x:c>
    </x:row>
    <x:row r="28" ht="15" hidden="0" customHeight="1">
      <x:c r="A28" s="327" t="n">
        <x:v>268</x:v>
      </x:c>
      <x:c r="B28" s="321" t="n">
        <x:v>17</x:v>
      </x:c>
      <x:c r="C28" s="321" t="n">
        <x:v>15.060991</x:v>
      </x:c>
      <x:c r="D28" s="321" t="n">
        <x:v>15.061</x:v>
      </x:c>
      <x:c r="E28" s="321" t="n">
        <x:v>-0.007833</x:v>
      </x:c>
      <x:c r="F28" s="321" t="n">
        <x:v>0.100124</x:v>
      </x:c>
      <x:c r="G28" s="321" t="n">
        <x:v>0.1</x:v>
      </x:c>
      <x:c r="H28" s="321" t="n">
        <x:v>-0.039876</x:v>
      </x:c>
      <x:c r="I28" s="321" t="n">
        <x:v>0.258744</x:v>
      </x:c>
      <x:c r="J28" s="321" t="n">
        <x:v>0.026727</x:v>
      </x:c>
      <x:c r="K28" s="321" t="n">
        <x:v>0.050201</x:v>
      </x:c>
      <x:c r="L28" s="321" t="n">
        <x:v>0.000245</x:v>
      </x:c>
      <x:c r="M28" s="321" t="n">
        <x:v>0.98</x:v>
      </x:c>
      <x:c r="N28" s="292" t="str">
        <x:v>CONSISTENT</x:v>
      </x:c>
      <x:c r="O28" s="293" t="str">
        <x:v>MATCHED</x:v>
      </x:c>
    </x:row>
    <x:row r="29" ht="15" hidden="0" customHeight="1">
      <x:c r="A29" s="327" t="n">
        <x:v>270</x:v>
      </x:c>
      <x:c r="B29" s="321" t="n">
        <x:v>17</x:v>
      </x:c>
      <x:c r="C29" s="321" t="n">
        <x:v>15.059004</x:v>
      </x:c>
      <x:c r="D29" s="321" t="n">
        <x:v>15.059</x:v>
      </x:c>
      <x:c r="E29" s="321" t="n">
        <x:v>0.007828</x:v>
      </x:c>
      <x:c r="F29" s="321" t="n">
        <x:v>0.100046</x:v>
      </x:c>
      <x:c r="G29" s="321" t="n">
        <x:v>0.1</x:v>
      </x:c>
      <x:c r="H29" s="321" t="n">
        <x:v>0.010046</x:v>
      </x:c>
      <x:c r="I29" s="321" t="n">
        <x:v>0.195921</x:v>
      </x:c>
      <x:c r="J29" s="321" t="n">
        <x:v>0.028382</x:v>
      </x:c>
      <x:c r="K29" s="321" t="n">
        <x:v>0.050409</x:v>
      </x:c>
      <x:c r="L29" s="321" t="n">
        <x:v>0.002705</x:v>
      </x:c>
      <x:c r="M29" s="321" t="n">
        <x:v>0.98</x:v>
      </x:c>
      <x:c r="N29" s="292" t="str">
        <x:v>CONSISTENT</x:v>
      </x:c>
      <x:c r="O29" s="293" t="str">
        <x:v>MATCHED</x:v>
      </x:c>
    </x:row>
    <x:row r="30" ht="15" hidden="0" customHeight="1">
      <x:c r="A30" s="327" t="n">
        <x:v>272</x:v>
      </x:c>
      <x:c r="B30" s="321" t="n">
        <x:v>17</x:v>
      </x:c>
      <x:c r="C30" s="321" t="n">
        <x:v>15.048995</x:v>
      </x:c>
      <x:c r="D30" s="321" t="n">
        <x:v>15.049</x:v>
      </x:c>
      <x:c r="E30" s="321" t="n">
        <x:v>-0.005711</x:v>
      </x:c>
      <x:c r="F30" s="321" t="n">
        <x:v>0.150069</x:v>
      </x:c>
      <x:c r="G30" s="321" t="n">
        <x:v>0.15</x:v>
      </x:c>
      <x:c r="H30" s="321" t="n">
        <x:v>0.030069</x:v>
      </x:c>
      <x:c r="I30" s="321" t="n">
        <x:v>0.029094</x:v>
      </x:c>
      <x:c r="J30" s="321" t="n">
        <x:v>0.011333</x:v>
      </x:c>
      <x:c r="K30" s="321" t="n">
        <x:v>0.030432</x:v>
      </x:c>
      <x:c r="L30" s="321" t="n">
        <x:v>0.002705</x:v>
      </x:c>
      <x:c r="M30" s="321" t="n">
        <x:v>0.98</x:v>
      </x:c>
      <x:c r="N30" s="292" t="str">
        <x:v>CONSISTENT</x:v>
      </x:c>
      <x:c r="O30" s="293" t="str">
        <x:v>MATCHED</x:v>
      </x:c>
    </x:row>
    <x:row r="31" ht="15" hidden="0" customHeight="1">
      <x:c r="A31" s="327" t="n">
        <x:v>274</x:v>
      </x:c>
      <x:c r="B31" s="321" t="n">
        <x:v>17</x:v>
      </x:c>
      <x:c r="C31" s="321" t="n">
        <x:v>15.042468</x:v>
      </x:c>
      <x:c r="D31" s="321" t="n">
        <x:v>15.043</x:v>
      </x:c>
      <x:c r="E31" s="321" t="n">
        <x:v>-0.00165</x:v>
      </x:c>
      <x:c r="F31" s="321" t="n">
        <x:v>0.08983</x:v>
      </x:c>
      <x:c r="G31" s="321" t="n">
        <x:v>0.09</x:v>
      </x:c>
      <x:c r="H31" s="321" t="n">
        <x:v>-0.03017</x:v>
      </x:c>
      <x:c r="I31" s="321" t="n">
        <x:v>0.292386</x:v>
      </x:c>
      <x:c r="J31" s="321" t="n">
        <x:v>0.016863</x:v>
      </x:c>
      <x:c r="K31" s="321" t="n">
        <x:v>0.030659</x:v>
      </x:c>
      <x:c r="L31" s="321" t="n">
        <x:v>0.002705</x:v>
      </x:c>
      <x:c r="M31" s="321" t="n">
        <x:v>0.98</x:v>
      </x:c>
      <x:c r="N31" s="292" t="str">
        <x:v>CONSISTENT</x:v>
      </x:c>
      <x:c r="O31" s="293" t="str">
        <x:v>MATCHED</x:v>
      </x:c>
    </x:row>
    <x:row r="32" ht="15" hidden="0" customHeight="1">
      <x:c r="A32" s="327" t="n">
        <x:v>276</x:v>
      </x:c>
      <x:c r="B32" s="321" t="n">
        <x:v>17</x:v>
      </x:c>
      <x:c r="C32" s="321" t="n">
        <x:v>15.03644</x:v>
      </x:c>
      <x:c r="D32" s="321" t="n">
        <x:v>15.036</x:v>
      </x:c>
      <x:c r="E32" s="321" t="n">
        <x:v>0.000558</x:v>
      </x:c>
      <x:c r="F32" s="321" t="n">
        <x:v>0.089307</x:v>
      </x:c>
      <x:c r="G32" s="321" t="n">
        <x:v>0.09</x:v>
      </x:c>
      <x:c r="H32" s="321" t="n">
        <x:v>-0.000693</x:v>
      </x:c>
      <x:c r="I32" s="321" t="n">
        <x:v>0.028791</x:v>
      </x:c>
      <x:c r="J32" s="321" t="n">
        <x:v>0.008755</x:v>
      </x:c>
      <x:c r="K32" s="321" t="n">
        <x:v>0.030085</x:v>
      </x:c>
      <x:c r="L32" s="321" t="n">
        <x:v>0.002582</x:v>
      </x:c>
      <x:c r="M32" s="321" t="n">
        <x:v>0.98</x:v>
      </x:c>
      <x:c r="N32" s="292" t="str">
        <x:v>CONSISTENT</x:v>
      </x:c>
      <x:c r="O32" s="293" t="str">
        <x:v>MATCHED</x:v>
      </x:c>
    </x:row>
    <x:row r="33" ht="15" hidden="0" customHeight="1">
      <x:c r="A33" s="327" t="n">
        <x:v>278</x:v>
      </x:c>
      <x:c r="B33" s="321" t="n">
        <x:v>17</x:v>
      </x:c>
      <x:c r="C33" s="321" t="n">
        <x:v>15.032977</x:v>
      </x:c>
      <x:c r="D33" s="321" t="n">
        <x:v>15.033</x:v>
      </x:c>
      <x:c r="E33" s="321" t="n">
        <x:v>-0.001729</x:v>
      </x:c>
      <x:c r="F33" s="321" t="n">
        <x:v>0.138703</x:v>
      </x:c>
      <x:c r="G33" s="321" t="n">
        <x:v>0.14</x:v>
      </x:c>
      <x:c r="H33" s="321" t="n">
        <x:v>-0.011297</x:v>
      </x:c>
      <x:c r="I33" s="321" t="n">
        <x:v>0.165268</x:v>
      </x:c>
      <x:c r="J33" s="321" t="n">
        <x:v>0.022273</x:v>
      </x:c>
      <x:c r="K33" s="321" t="n">
        <x:v>0.050052</x:v>
      </x:c>
      <x:c r="L33" s="321" t="n">
        <x:v>0.002582</x:v>
      </x:c>
      <x:c r="M33" s="321" t="n">
        <x:v>0.98</x:v>
      </x:c>
      <x:c r="N33" s="292" t="str">
        <x:v>CONSISTENT</x:v>
      </x:c>
      <x:c r="O33" s="293" t="str">
        <x:v>MATCHED</x:v>
      </x:c>
    </x:row>
    <x:row r="34" ht="15" hidden="0" customHeight="1">
      <x:c r="A34" s="327" t="n">
        <x:v>280</x:v>
      </x:c>
      <x:c r="B34" s="321" t="n">
        <x:v>17</x:v>
      </x:c>
      <x:c r="C34" s="321" t="n">
        <x:v>15.023679</x:v>
      </x:c>
      <x:c r="D34" s="321" t="n">
        <x:v>15.024</x:v>
      </x:c>
      <x:c r="E34" s="321" t="n">
        <x:v>-0.002792</x:v>
      </x:c>
      <x:c r="F34" s="321" t="n">
        <x:v>0.138703</x:v>
      </x:c>
      <x:c r="G34" s="321" t="n">
        <x:v>0.14</x:v>
      </x:c>
      <x:c r="H34" s="321" t="n">
        <x:v>0.038703</x:v>
      </x:c>
      <x:c r="I34" s="321" t="n">
        <x:v>0.210452</x:v>
      </x:c>
      <x:c r="J34" s="321" t="n">
        <x:v>0.037876</x:v>
      </x:c>
      <x:c r="K34" s="321" t="n">
        <x:v>0.119101</x:v>
      </x:c>
      <x:c r="L34" s="321" t="n">
        <x:v>0.002582</x:v>
      </x:c>
      <x:c r="M34" s="321" t="n">
        <x:v>0.98</x:v>
      </x:c>
      <x:c r="N34" s="292" t="str">
        <x:v>CONSISTENT</x:v>
      </x:c>
      <x:c r="O34" s="293" t="str">
        <x:v>MATCHED</x:v>
      </x:c>
    </x:row>
    <x:row r="35" ht="15" hidden="0" customHeight="1">
      <x:c r="A35" s="327" t="n">
        <x:v>282</x:v>
      </x:c>
      <x:c r="B35" s="321" t="n">
        <x:v>17</x:v>
      </x:c>
      <x:c r="C35" s="321" t="n">
        <x:v>15.017798</x:v>
      </x:c>
      <x:c r="D35" s="321" t="n">
        <x:v>15.018</x:v>
      </x:c>
      <x:c r="E35" s="321" t="n">
        <x:v>-0.005731</x:v>
      </x:c>
      <x:c r="F35" s="321" t="n">
        <x:v>0.138703</x:v>
      </x:c>
      <x:c r="G35" s="321" t="n">
        <x:v>0.14</x:v>
      </x:c>
      <x:c r="H35" s="321" t="n">
        <x:v>0.018703</x:v>
      </x:c>
      <x:c r="I35" s="321" t="n">
        <x:v>0.531689</x:v>
      </x:c>
      <x:c r="J35" s="321" t="n">
        <x:v>0.012243</x:v>
      </x:c>
      <x:c r="K35" s="321" t="n">
        <x:v>0.029948</x:v>
      </x:c>
      <x:c r="L35" s="321" t="n">
        <x:v>0.002582</x:v>
      </x:c>
      <x:c r="M35" s="321" t="n">
        <x:v>0.98</x:v>
      </x:c>
      <x:c r="N35" s="292" t="str">
        <x:v>CONSISTENT</x:v>
      </x:c>
      <x:c r="O35" s="293" t="str">
        <x:v>MATCHED</x:v>
      </x:c>
    </x:row>
    <x:row r="36" ht="15" hidden="0" customHeight="1">
      <x:c r="A36" s="328" t="n">
        <x:v>284</x:v>
      </x:c>
      <x:c r="B36" s="322" t="n">
        <x:v>17</x:v>
      </x:c>
      <x:c r="C36" s="322" t="n">
        <x:v>15.00965</x:v>
      </x:c>
      <x:c r="D36" s="322" t="n">
        <x:v>15.009</x:v>
      </x:c>
      <x:c r="E36" s="322" t="n">
        <x:v>-0.004468</x:v>
      </x:c>
      <x:c r="F36" s="322" t="n">
        <x:v>0.098933</x:v>
      </x:c>
      <x:c r="G36" s="322" t="n">
        <x:v>0.1</x:v>
      </x:c>
      <x:c r="H36" s="322" t="n">
        <x:v>-0.051067</x:v>
      </x:c>
      <x:c r="I36" s="322" t="n">
        <x:v>0.149136</x:v>
      </x:c>
      <x:c r="J36" s="322" t="n">
        <x:v>0.032933</x:v>
      </x:c>
      <x:c r="K36" s="322" t="n">
        <x:v>0.078964</x:v>
      </x:c>
      <x:c r="L36" s="322" t="n">
        <x:v>0.002315</x:v>
      </x:c>
      <x:c r="M36" s="322" t="n">
        <x:v>0.98</x:v>
      </x:c>
      <x:c r="N36" s="295" t="str">
        <x:v>CONSISTENT</x:v>
      </x:c>
      <x:c r="O36" s="296" t="str">
        <x:v>MATCHED</x:v>
      </x:c>
    </x:row>
  </x:sheetData>
  <x:mergeCells>
    <x:mergeCell ref="A1:O1"/>
    <x:mergeCell ref="A2:O2"/>
  </x:mergeCells>
  <x:pageMargins left="0.7" right="0.7" top="0.75" bottom="0.75" header="0.3" footer="0.3"/>
  <x:tableParts count="1">
    <x:tablePart xmlns:r="http://schemas.openxmlformats.org/officeDocument/2006/relationships" r:id="R314ef0e3064644f1"/>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46" hidden="0" customWidth="1"/>
    <x:col min="2" max="2" width="25" hidden="0" customWidth="1"/>
    <x:col min="3" max="3" width="11.220000267028809" hidden="0" customWidth="1"/>
    <x:col min="4" max="4" width="12.5600004196167" hidden="0" customWidth="1"/>
    <x:col min="5" max="5" width="11.670000076293945" hidden="0" customWidth="1"/>
    <x:col min="6" max="6" width="13.670000076293945" hidden="0" customWidth="1"/>
    <x:col min="7" max="7" width="44" hidden="0" customWidth="1"/>
    <x:col min="8" max="8" width="9.109999656677246" hidden="0" customWidth="1"/>
    <x:col min="9" max="9" width="30" hidden="0" customWidth="1"/>
    <x:col min="10" max="10" width="18" hidden="0" customWidth="1"/>
    <x:col min="11" max="11" width="10.329999923706055" hidden="0" customWidth="1"/>
    <x:col min="12" max="12" width="58" hidden="0" customWidth="1"/>
    <x:col min="13" max="13" width="80" hidden="0" customWidth="1"/>
  </x:cols>
  <x:sheetData>
    <x:row r="1" ht="15" hidden="0" customHeight="1">
      <x:c r="A1" s="268" t="str">
        <x:v>Key</x:v>
      </x:c>
      <x:c r="B1" s="268" t="str">
        <x:v>Profile</x:v>
      </x:c>
      <x:c r="C1" s="268" t="str">
        <x:v>Request ID</x:v>
      </x:c>
      <x:c r="D1" s="268" t="str">
        <x:v>Response ID</x:v>
      </x:c>
      <x:c r="E1" s="268" t="str">
        <x:v>Service/PID</x:v>
      </x:c>
      <x:c r="F1" s="268" t="str">
        <x:v>Decoder</x:v>
      </x:c>
      <x:c r="G1" s="268" t="str">
        <x:v>Repeat / Layout</x:v>
      </x:c>
      <x:c r="H1" s="268" t="str">
        <x:v>Bounds</x:v>
      </x:c>
      <x:c r="I1" s="268" t="str">
        <x:v>Safety Class</x:v>
      </x:c>
      <x:c r="J1" s="268" t="str">
        <x:v>Evidence Grade</x:v>
      </x:c>
      <x:c r="K1" s="268" t="str">
        <x:v>Transport</x:v>
      </x:c>
      <x:c r="L1" s="268" t="str">
        <x:v>Source</x:v>
      </x:c>
      <x:c r="M1" s="268" t="str">
        <x:v>Validation / Notes</x:v>
      </x:c>
    </x:row>
    <x:row r="2" ht="26.399999618530273" hidden="0" customHeight="1">
      <x:c r="A2" s="297" t="str">
        <x:v>AHV40_HYBRID_ECU_21CE_BLOCK_VOLTAGES</x:v>
      </x:c>
      <x:c r="B2" s="298" t="str">
        <x:v>CAMRY_HYBRID_GEN1</x:v>
      </x:c>
      <x:c r="C2" s="329" t="str">
        <x:v>7E2h</x:v>
      </x:c>
      <x:c r="D2" s="329" t="str">
        <x:v>7EAh</x:v>
      </x:c>
      <x:c r="E2" s="329" t="str">
        <x:v>21CEh</x:v>
      </x:c>
      <x:c r="F2" s="298" t="str">
        <x:v>block_array</x:v>
      </x:c>
      <x:c r="G2" s="298" t="str">
        <x:v>17 × 2 byte big; (raw -32768) × 0.01 V</x:v>
      </x:c>
      <x:c r="H2" s="298" t="str">
        <x:v>5 to 25</x:v>
      </x:c>
      <x:c r="I2" s="298" t="str">
        <x:v>READ_ONLY_DIAGNOSTIC</x:v>
      </x:c>
      <x:c r="J2" s="298" t="str">
        <x:v>PROBABLE</x:v>
      </x:c>
      <x:c r="K2" s="298" t="str">
        <x:v>ISO-TP</x:v>
      </x:c>
      <x:c r="L2" s="298" t="str">
        <x:v>S0010 2007 Camry Hybrid; Hybrid Assistant Battery Check screen; CYD logger v2.4.2</x:v>
      </x:c>
      <x:c r="M2" s="299" t="str">
        <x:v>At video near 200 s, 17 decoded values reproduce the displayed graph, average 15.316 V, difference 0.120 V, and pack sum 260.38 V. Promote after independent repeated capture or Techstream/AP200 corroboration.</x:v>
      </x:c>
    </x:row>
    <x:row r="3" ht="15" hidden="0" customHeight="1">
      <x:c r="A3" s="291" t="str">
        <x:v>AHV40_BATTERY_ECU_2101_SOC_CURRENT_VOLTAGE</x:v>
      </x:c>
      <x:c r="B3" s="292" t="str">
        <x:v>CAMRY_HYBRID_GEN1</x:v>
      </x:c>
      <x:c r="C3" s="306" t="str">
        <x:v>7E3h</x:v>
      </x:c>
      <x:c r="D3" s="306" t="str">
        <x:v>7EBh</x:v>
      </x:c>
      <x:c r="E3" s="306" t="str">
        <x:v>2101h</x:v>
      </x:c>
      <x:c r="F3" s="292" t="str">
        <x:v>catalog_candidate</x:v>
      </x:c>
      <x:c r="G3" s="292" t="str">
        <x:v>See notes</x:v>
      </x:c>
      <x:c r="H3" s="292" t="str">
        <x:v>Unvalidated</x:v>
      </x:c>
      <x:c r="I3" s="292" t="str">
        <x:v>READ_ONLY_DIAGNOSTIC</x:v>
      </x:c>
      <x:c r="J3" s="292" t="str">
        <x:v>CANDIDATE</x:v>
      </x:c>
      <x:c r="K3" s="292" t="str">
        <x:v>ISO-TP</x:v>
      </x:c>
      <x:c r="L3" s="292" t="str">
        <x:v>2007-2011 camry hybrid PID table - Google Search.pdf</x:v>
      </x:c>
      <x:c r="M3" s="293" t="str">
        <x:v>Candidate fields: SoC A/2; signed current ((B*256)+C)/100; voltage ((D*256)+E)/10. Not observed in S0010.</x:v>
      </x:c>
    </x:row>
    <x:row r="4" ht="15" hidden="0" customHeight="1">
      <x:c r="A4" s="291" t="str">
        <x:v>AHV40_BATTERY_ECU_2102_TEMPERATURES</x:v>
      </x:c>
      <x:c r="B4" s="292" t="str">
        <x:v>CAMRY_HYBRID_GEN1</x:v>
      </x:c>
      <x:c r="C4" s="306" t="str">
        <x:v>7E3h</x:v>
      </x:c>
      <x:c r="D4" s="306" t="str">
        <x:v>7EBh</x:v>
      </x:c>
      <x:c r="E4" s="306" t="str">
        <x:v>2102h</x:v>
      </x:c>
      <x:c r="F4" s="292" t="str">
        <x:v>catalog_candidate</x:v>
      </x:c>
      <x:c r="G4" s="292" t="str">
        <x:v>See notes</x:v>
      </x:c>
      <x:c r="H4" s="292" t="str">
        <x:v>Unvalidated</x:v>
      </x:c>
      <x:c r="I4" s="292" t="str">
        <x:v>READ_ONLY_DIAGNOSTIC</x:v>
      </x:c>
      <x:c r="J4" s="292" t="str">
        <x:v>CANDIDATE</x:v>
      </x:c>
      <x:c r="K4" s="292" t="str">
        <x:v>ISO-TP</x:v>
      </x:c>
      <x:c r="L4" s="292" t="str">
        <x:v>2007-2011 camry hybrid PID table - Google Search.pdf</x:v>
      </x:c>
      <x:c r="M4" s="293" t="str">
        <x:v>Candidate temperatures A-40, B-40, C-40 deg C. Not observed in S0010.</x:v>
      </x:c>
    </x:row>
    <x:row r="5" ht="26.399999618530273" hidden="0" customHeight="1">
      <x:c r="A5" s="291" t="str">
        <x:v>AHV40_HYBRID_ECU_2122_MG_STATOR_TEMPERATURES</x:v>
      </x:c>
      <x:c r="B5" s="292" t="str">
        <x:v>CAMRY_HYBRID_GEN1</x:v>
      </x:c>
      <x:c r="C5" s="306" t="str">
        <x:v>7E2h</x:v>
      </x:c>
      <x:c r="D5" s="306" t="str">
        <x:v>7EAh</x:v>
      </x:c>
      <x:c r="E5" s="306" t="str">
        <x:v>2122h</x:v>
      </x:c>
      <x:c r="F5" s="292" t="str">
        <x:v>catalog_candidate</x:v>
      </x:c>
      <x:c r="G5" s="292" t="str">
        <x:v>See notes</x:v>
      </x:c>
      <x:c r="H5" s="292" t="str">
        <x:v>Unvalidated</x:v>
      </x:c>
      <x:c r="I5" s="292" t="str">
        <x:v>READ_ONLY_DIAGNOSTIC</x:v>
      </x:c>
      <x:c r="J5" s="292" t="str">
        <x:v>CANDIDATE</x:v>
      </x:c>
      <x:c r="K5" s="292" t="str">
        <x:v>ISO-TP</x:v>
      </x:c>
      <x:c r="L5" s="292" t="str">
        <x:v>2007-2011 camry hybrid PID table - Google Search.pdf</x:v>
      </x:c>
      <x:c r="M5" s="293" t="str">
        <x:v>Candidate MG1/MG2 stator temperatures; not observed in S0010.</x:v>
      </x:c>
    </x:row>
    <x:row r="6" ht="15" hidden="0" customHeight="1">
      <x:c r="A6" s="291" t="str">
        <x:v>AHV40_HYBRID_ECU_212B_INVERTER_TEMPERATURES</x:v>
      </x:c>
      <x:c r="B6" s="292" t="str">
        <x:v>CAMRY_HYBRID_GEN1</x:v>
      </x:c>
      <x:c r="C6" s="306" t="str">
        <x:v>7E2h</x:v>
      </x:c>
      <x:c r="D6" s="306" t="str">
        <x:v>7EAh</x:v>
      </x:c>
      <x:c r="E6" s="306" t="str">
        <x:v>212Bh</x:v>
      </x:c>
      <x:c r="F6" s="292" t="str">
        <x:v>catalog_candidate</x:v>
      </x:c>
      <x:c r="G6" s="292" t="str">
        <x:v>See notes</x:v>
      </x:c>
      <x:c r="H6" s="292" t="str">
        <x:v>Unvalidated</x:v>
      </x:c>
      <x:c r="I6" s="292" t="str">
        <x:v>READ_ONLY_DIAGNOSTIC</x:v>
      </x:c>
      <x:c r="J6" s="292" t="str">
        <x:v>CANDIDATE</x:v>
      </x:c>
      <x:c r="K6" s="292" t="str">
        <x:v>ISO-TP</x:v>
      </x:c>
      <x:c r="L6" s="292" t="str">
        <x:v>2007-2011 camry hybrid PID table - Google Search.pdf</x:v>
      </x:c>
      <x:c r="M6" s="293" t="str">
        <x:v>Candidate MG1/MG2 inverter temperatures; not observed in S0010.</x:v>
      </x:c>
    </x:row>
    <x:row r="7" ht="26.399999618530273" hidden="0" customHeight="1">
      <x:c r="A7" s="291" t="str">
        <x:v>AHV40_BATTERY_ECU_2141_2144_BLOCK_VOLTAGES</x:v>
      </x:c>
      <x:c r="B7" s="292" t="str">
        <x:v>CAMRY_HYBRID_GEN1</x:v>
      </x:c>
      <x:c r="C7" s="306" t="str">
        <x:v>7E3h</x:v>
      </x:c>
      <x:c r="D7" s="306" t="str">
        <x:v>7EBh</x:v>
      </x:c>
      <x:c r="E7" s="306" t="str">
        <x:v>2141h (41-44h)</x:v>
      </x:c>
      <x:c r="F7" s="292" t="str">
        <x:v>catalog_candidate</x:v>
      </x:c>
      <x:c r="G7" s="292" t="str">
        <x:v>See notes</x:v>
      </x:c>
      <x:c r="H7" s="292" t="str">
        <x:v>Unvalidated</x:v>
      </x:c>
      <x:c r="I7" s="292" t="str">
        <x:v>READ_ONLY_DIAGNOSTIC</x:v>
      </x:c>
      <x:c r="J7" s="292" t="str">
        <x:v>CANDIDATE</x:v>
      </x:c>
      <x:c r="K7" s="292" t="str">
        <x:v>ISO-TP</x:v>
      </x:c>
      <x:c r="L7" s="292" t="str">
        <x:v>2007-2011 camry hybrid PID table - Google Search.pdf</x:v>
      </x:c>
      <x:c r="M7" s="293" t="str">
        <x:v>Seventeen block-voltage catalog candidates across 2141-2144; not requested by Hybrid Assistant in S0010 and not interchangeable with observed 7E2/21CE.</x:v>
      </x:c>
    </x:row>
    <x:row r="8" ht="26.399999618530273" hidden="0" customHeight="1">
      <x:c r="A8" s="294" t="str">
        <x:v>AHV40_BATTERY_ECU_2145_2148_INTERNAL_RESISTANCE</x:v>
      </x:c>
      <x:c r="B8" s="295" t="str">
        <x:v>CAMRY_HYBRID_GEN1</x:v>
      </x:c>
      <x:c r="C8" s="308" t="str">
        <x:v>7E3h</x:v>
      </x:c>
      <x:c r="D8" s="308" t="str">
        <x:v>7EBh</x:v>
      </x:c>
      <x:c r="E8" s="308" t="str">
        <x:v>2145h (45-48h)</x:v>
      </x:c>
      <x:c r="F8" s="295" t="str">
        <x:v>catalog_candidate</x:v>
      </x:c>
      <x:c r="G8" s="295" t="str">
        <x:v>See notes</x:v>
      </x:c>
      <x:c r="H8" s="295" t="str">
        <x:v>Unvalidated</x:v>
      </x:c>
      <x:c r="I8" s="295" t="str">
        <x:v>READ_ONLY_DIAGNOSTIC</x:v>
      </x:c>
      <x:c r="J8" s="295" t="str">
        <x:v>CANDIDATE</x:v>
      </x:c>
      <x:c r="K8" s="295" t="str">
        <x:v>ISO-TP</x:v>
      </x:c>
      <x:c r="L8" s="295" t="str">
        <x:v>2007-2011 camry hybrid PID table - Google Search.pdf</x:v>
      </x:c>
      <x:c r="M8" s="296" t="str">
        <x:v>Seventeen internal-resistance catalog candidates across 2145-2148; unobserved and unvalidated.</x:v>
      </x:c>
    </x:row>
  </x:sheetData>
  <x:conditionalFormatting sqref="J2:J8">
    <x:cfRule type="containsText" dxfId="0" priority="1" operator="containsText" text="CANDIDATE"/>
  </x:conditionalFormatting>
  <x:pageMargins left="0.7" right="0.7" top="0.75" bottom="0.75" header="0.3" footer="0.3"/>
  <x:tableParts count="1">
    <x:tablePart xmlns:r="http://schemas.openxmlformats.org/officeDocument/2006/relationships" r:id="R45d3d5d588824de1"/>
  </x:tableParts>
</x:worksheet>
</file>

<file path=xl/worksheets/sheet43.xml><?xml version="1.0" encoding="utf-8"?>
<x:worksheet xmlns:x="http://schemas.openxmlformats.org/spreadsheetml/2006/main">
  <x:sheetFormatPr defaultRowHeight="15"/>
  <x:cols>
    <x:col min="1" max="1" width="19" hidden="0" customWidth="1"/>
    <x:col min="2" max="2" width="21" hidden="0" customWidth="1"/>
    <x:col min="3" max="3" width="31" hidden="0" customWidth="1"/>
    <x:col min="4" max="4" width="35" hidden="0" customWidth="1"/>
    <x:col min="5" max="5" width="75" hidden="0" customWidth="1"/>
  </x:cols>
  <x:sheetData>
    <x:row r="1" ht="34" customHeight="1">
      <x:c r="A1" s="336" t="str">
        <x:v>Record</x:v>
      </x:c>
      <x:c r="B1" s="336" t="str">
        <x:v>Type</x:v>
      </x:c>
      <x:c r="C1" s="336" t="str">
        <x:v>Source / Profile</x:v>
      </x:c>
      <x:c r="D1" s="336" t="str">
        <x:v>Evidence / Safety</x:v>
      </x:c>
      <x:c r="E1" s="336" t="str">
        <x:v>Details</x:v>
      </x:c>
    </x:row>
    <x:row r="2" ht="48" customHeight="1">
      <x:c r="A2" s="333" t="str">
        <x:v>v0.5.3</x:v>
      </x:c>
      <x:c r="B2" s="333" t="str">
        <x:v>Version</x:v>
      </x:c>
      <x:c r="C2" s="333" t="str">
        <x:v>Database</x:v>
      </x:c>
      <x:c r="D2" s="333" t="str">
        <x:v>Validated checkpoint</x:v>
      </x:c>
      <x:c r="E2" s="333" t="str">
        <x:v>2026-08-30; preserves v0.5.2 as rollback</x:v>
      </x:c>
    </x:row>
    <x:row r="3" ht="48" customHeight="1">
      <x:c r="A3" s="333" t="str">
        <x:v>S0012</x:v>
      </x:c>
      <x:c r="B3" s="333" t="str">
        <x:v>Capture</x:v>
      </x:c>
      <x:c r="C3" s="333" t="str">
        <x:v>2007 Camry Hybrid / AHV40</x:v>
      </x:c>
      <x:c r="D3" s="333" t="str">
        <x:v>PASSIVE capture</x:v>
      </x:c>
      <x:c r="E3" s="333" t="str">
        <x:v>CYD logger v2.4.2; 737,093 raw records; BLE-aligned Android screen recording</x:v>
      </x:c>
    </x:row>
    <x:row r="4" ht="48" customHeight="1">
      <x:c r="A4" s="333" t="str">
        <x:v>Dr. Prius</x:v>
      </x:c>
      <x:c r="B4" s="333" t="str">
        <x:v>OCR evidence</x:v>
      </x:c>
      <x:c r="C4" s="333" t="str">
        <x:v>Battery Monitor landscape</x:v>
      </x:c>
      <x:c r="D4" s="333" t="str">
        <x:v>CANDIDATE + CAN comparison</x:v>
      </x:c>
      <x:c r="E4" s="333" t="str">
        <x:v>Per-frame orientation detection; 17 ordered block values; printed pack/SOC/current/temperature metrics; app-switcher and Special Features screens rejected</x:v>
      </x:c>
    </x:row>
    <x:row r="5" ht="48" customHeight="1">
      <x:c r="A5" s="333" t="str">
        <x:v>Mode 13</x:v>
      </x:c>
      <x:c r="B5" s="333" t="str">
        <x:v>Observed diagnostic</x:v>
      </x:c>
      <x:c r="C5" s="333" t="str">
        <x:v>7E2/7EA and 7E0/7E8</x:v>
      </x:c>
      <x:c r="D5" s="333" t="str">
        <x:v>PROBABLE / READ_ONLY_DIAGNOSTIC</x:v>
      </x:c>
      <x:c r="E5" s="333" t="str">
        <x:v>53 00 observed during battery and engine code reads; no DTC present in this capture</x:v>
      </x:c>
    </x:row>
    <x:row r="6" ht="48" customHeight="1">
      <x:c r="A6" s="333" t="str">
        <x:v>Mode 04</x:v>
      </x:c>
      <x:c r="B6" s="333" t="str">
        <x:v>Observed diagnostic</x:v>
      </x:c>
      <x:c r="C6" s="333" t="str">
        <x:v>7E2/7EA and 7E0/7E8</x:v>
      </x:c>
      <x:c r="D6" s="333" t="str">
        <x:v>PROBABLE / CONTROL_WRITE_QUARANTINED</x:v>
      </x:c>
      <x:c r="E6" s="333" t="str">
        <x:v>44 acknowledgements observed during clear operations; evidence only; never add to automatic transmit</x:v>
      </x:c>
    </x:row>
    <x:row r="7" ht="48" customHeight="1">
      <x:c r="A7" s="333" t="str">
        <x:v>Evidence Builder</x:v>
      </x:c>
      <x:c r="B7" s="333" t="str">
        <x:v>Processor</x:v>
      </x:c>
      <x:c r="C7" s="333" t="str">
        <x:v>v1.0.2</x:v>
      </x:c>
      <x:c r="D7" s="333" t="str">
        <x:v>PASSIVE ONLY</x:v>
      </x:c>
      <x:c r="E7" s="333" t="str">
        <x:v>Adds DIAGNOSTIC_ACTIONS_ALIGNED.csv, Dr. Prius graph extraction, hidden OCR subprocesses, and automated dependency repair</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20" hidden="0" customWidth="1"/>
    <x:col min="5" max="5" width="24" hidden="0" customWidth="1"/>
    <x:col min="6" max="6" width="25" hidden="0" customWidth="1"/>
    <x:col min="7" max="7" width="25" hidden="0" customWidth="1"/>
    <x:col min="8" max="8" width="16" hidden="0" customWidth="1"/>
    <x:col min="9" max="9" width="16" hidden="0" customWidth="1"/>
    <x:col min="10" max="10" width="38" hidden="0" customWidth="1"/>
    <x:col min="11" max="11" width="38" hidden="0" customWidth="1"/>
    <x:col min="12" max="12" width="16" hidden="0" customWidth="1"/>
    <x:col min="13" max="13" width="16" hidden="0" customWidth="1"/>
    <x:col min="14" max="14" width="31" hidden="0" customWidth="1"/>
    <x:col min="15" max="15" width="31" hidden="0" customWidth="1"/>
    <x:col min="16" max="16" width="31" hidden="0" customWidth="1"/>
    <x:col min="17" max="17" width="31" hidden="0" customWidth="1"/>
    <x:col min="18" max="18" width="34" hidden="0" customWidth="1"/>
  </x:cols>
  <x:sheetData>
    <x:row r="1" ht="34" customHeight="1">
      <x:c r="A1" s="336" t="str">
        <x:v>StartVideo_s</x:v>
      </x:c>
      <x:c r="B1" s="336" t="str">
        <x:v>EndVideo_s</x:v>
      </x:c>
      <x:c r="C1" s="336" t="str">
        <x:v>StartRequestTime_us</x:v>
      </x:c>
      <x:c r="D1" s="336" t="str">
        <x:v>EndRequestTime_us</x:v>
      </x:c>
      <x:c r="E1" s="336" t="str">
        <x:v>Profile</x:v>
      </x:c>
      <x:c r="F1" s="336" t="str">
        <x:v>ECU</x:v>
      </x:c>
      <x:c r="G1" s="336" t="str">
        <x:v>Operation</x:v>
      </x:c>
      <x:c r="H1" s="343" t="str">
        <x:v>RequestCAN_ID</x:v>
      </x:c>
      <x:c r="I1" s="343" t="str">
        <x:v>ResponseCAN_ID</x:v>
      </x:c>
      <x:c r="J1" s="336" t="str">
        <x:v>RequestPayloads</x:v>
      </x:c>
      <x:c r="K1" s="336" t="str">
        <x:v>ResponsePayloads</x:v>
      </x:c>
      <x:c r="L1" s="336" t="str">
        <x:v>AttemptCount</x:v>
      </x:c>
      <x:c r="M1" s="336" t="str">
        <x:v>SuccessfulResponses</x:v>
      </x:c>
      <x:c r="N1" s="336" t="str">
        <x:v>Result</x:v>
      </x:c>
      <x:c r="O1" s="336" t="str">
        <x:v>SafetyClass</x:v>
      </x:c>
      <x:c r="P1" s="336" t="str">
        <x:v>EvidenceGrade</x:v>
      </x:c>
      <x:c r="Q1" s="336" t="str">
        <x:v>DecoderKeys</x:v>
      </x:c>
      <x:c r="R1" s="336" t="str">
        <x:v>CorrelationBasis</x:v>
      </x:c>
    </x:row>
    <x:row r="2" ht="56" customHeight="1">
      <x:c r="A2" s="333" t="str">
        <x:v>276.915292</x:v>
      </x:c>
      <x:c r="B2" s="333" t="str">
        <x:v>285.526352</x:v>
      </x:c>
      <x:c r="C2" s="333" t="str">
        <x:v>474208489</x:v>
      </x:c>
      <x:c r="D2" s="333" t="str">
        <x:v>482819650</x:v>
      </x:c>
      <x:c r="E2" s="333" t="str">
        <x:v>CAMRY_HYBRID_GEN1</x:v>
      </x:c>
      <x:c r="F2" s="333" t="str">
        <x:v>HYBRID_VEHICLE_ECU</x:v>
      </x:c>
      <x:c r="G2" s="333" t="str">
        <x:v>CLEAR_DTC</x:v>
      </x:c>
      <x:c r="H2" s="333" t="str">
        <x:v>'7E2</x:v>
      </x:c>
      <x:c r="I2" s="333" t="str">
        <x:v>'7EA</x:v>
      </x:c>
      <x:c r="J2" s="333" t="str">
        <x:v>04</x:v>
      </x:c>
      <x:c r="K2" s="333" t="str">
        <x:v>44</x:v>
      </x:c>
      <x:c r="L2" s="333" t="str">
        <x:v>4</x:v>
      </x:c>
      <x:c r="M2" s="333" t="str">
        <x:v>4</x:v>
      </x:c>
      <x:c r="N2" s="333" t="str">
        <x:v>ACKNOWLEDGED</x:v>
      </x:c>
      <x:c r="O2" s="333" t="str">
        <x:v>CONTROL_WRITE_QUARANTINED</x:v>
      </x:c>
      <x:c r="P2" s="333" t="str">
        <x:v>PROBABLE</x:v>
      </x:c>
      <x:c r="Q2" s="333" t="str">
        <x:v>AHV40_HYBRID_ECU_04_CLEAR_DTC_QUARANTINED</x:v>
      </x:c>
      <x:c r="R2" s="333" t="str">
        <x:v>BLE_ALIGNED_PASSIVE_CAN_OBSERVATION</x:v>
      </x:c>
    </x:row>
    <x:row r="3" ht="56" customHeight="1">
      <x:c r="A3" s="333" t="str">
        <x:v>291.134931</x:v>
      </x:c>
      <x:c r="B3" s="333" t="str">
        <x:v>294.354759</x:v>
      </x:c>
      <x:c r="C3" s="333" t="str">
        <x:v>488428295</x:v>
      </x:c>
      <x:c r="D3" s="333" t="str">
        <x:v>491648161</x:v>
      </x:c>
      <x:c r="E3" s="333" t="str">
        <x:v>CAMRY_HYBRID_GEN1</x:v>
      </x:c>
      <x:c r="F3" s="333" t="str">
        <x:v>HYBRID_VEHICLE_ECU</x:v>
      </x:c>
      <x:c r="G3" s="333" t="str">
        <x:v>READ_DTC_BY_STATUS</x:v>
      </x:c>
      <x:c r="H3" s="333" t="str">
        <x:v>'7E2</x:v>
      </x:c>
      <x:c r="I3" s="333" t="str">
        <x:v>'7EA</x:v>
      </x:c>
      <x:c r="J3" s="333" t="str">
        <x:v>1380;13B0</x:v>
      </x:c>
      <x:c r="K3" s="333" t="str">
        <x:v>5300</x:v>
      </x:c>
      <x:c r="L3" s="333" t="str">
        <x:v>4</x:v>
      </x:c>
      <x:c r="M3" s="333" t="str">
        <x:v>4</x:v>
      </x:c>
      <x:c r="N3" s="333" t="str">
        <x:v>NO_DTC_PRESENT</x:v>
      </x:c>
      <x:c r="O3" s="333" t="str">
        <x:v>READ_ONLY_DIAGNOSTIC</x:v>
      </x:c>
      <x:c r="P3" s="333" t="str">
        <x:v>PROBABLE</x:v>
      </x:c>
      <x:c r="Q3" s="333" t="str">
        <x:v>AHV40_HYBRID_ECU_1380_READ_DTC_BY_STATUS;AHV40_HYBRID_ECU_13B0_READ_DTC_BY_STATUS</x:v>
      </x:c>
      <x:c r="R3" s="333" t="str">
        <x:v>BLE_ALIGNED_PASSIVE_CAN_OBSERVATION</x:v>
      </x:c>
    </x:row>
    <x:row r="4" ht="56" customHeight="1">
      <x:c r="A4" s="333" t="str">
        <x:v>299.925921</x:v>
      </x:c>
      <x:c r="B4" s="333" t="str">
        <x:v>305.850094</x:v>
      </x:c>
      <x:c r="C4" s="333" t="str">
        <x:v>497219388</x:v>
      </x:c>
      <x:c r="D4" s="333" t="str">
        <x:v>503143631</x:v>
      </x:c>
      <x:c r="E4" s="333" t="str">
        <x:v>CAMRY_HYBRID_GEN1</x:v>
      </x:c>
      <x:c r="F4" s="333" t="str">
        <x:v>ENGINE_ECU</x:v>
      </x:c>
      <x:c r="G4" s="333" t="str">
        <x:v>READ_DTC_BY_STATUS</x:v>
      </x:c>
      <x:c r="H4" s="333" t="str">
        <x:v>'7E0</x:v>
      </x:c>
      <x:c r="I4" s="333" t="str">
        <x:v>'7E8</x:v>
      </x:c>
      <x:c r="J4" s="333" t="str">
        <x:v>13B0</x:v>
      </x:c>
      <x:c r="K4" s="333" t="str">
        <x:v>5300</x:v>
      </x:c>
      <x:c r="L4" s="333" t="str">
        <x:v>3</x:v>
      </x:c>
      <x:c r="M4" s="333" t="str">
        <x:v>3</x:v>
      </x:c>
      <x:c r="N4" s="333" t="str">
        <x:v>NO_DTC_PRESENT</x:v>
      </x:c>
      <x:c r="O4" s="333" t="str">
        <x:v>READ_ONLY_DIAGNOSTIC</x:v>
      </x:c>
      <x:c r="P4" s="333" t="str">
        <x:v>PROBABLE</x:v>
      </x:c>
      <x:c r="Q4" s="333" t="str">
        <x:v>AHV40_ENGINE_ECU_13B0_READ_DTC_BY_STATUS</x:v>
      </x:c>
      <x:c r="R4" s="333" t="str">
        <x:v>BLE_ALIGNED_PASSIVE_CAN_OBSERVATION</x:v>
      </x:c>
    </x:row>
    <x:row r="5" ht="56" customHeight="1">
      <x:c r="A5" s="333" t="str">
        <x:v>311.443701</x:v>
      </x:c>
      <x:c r="B5" s="333" t="str">
        <x:v>314.525054</x:v>
      </x:c>
      <x:c r="C5" s="333" t="str">
        <x:v>508737303</x:v>
      </x:c>
      <x:c r="D5" s="333" t="str">
        <x:v>511818692</x:v>
      </x:c>
      <x:c r="E5" s="333" t="str">
        <x:v>CAMRY_HYBRID_GEN1</x:v>
      </x:c>
      <x:c r="F5" s="333" t="str">
        <x:v>ENGINE_ECU</x:v>
      </x:c>
      <x:c r="G5" s="333" t="str">
        <x:v>CLEAR_DTC</x:v>
      </x:c>
      <x:c r="H5" s="333" t="str">
        <x:v>'7E0</x:v>
      </x:c>
      <x:c r="I5" s="333" t="str">
        <x:v>'7E8</x:v>
      </x:c>
      <x:c r="J5" s="333" t="str">
        <x:v>04</x:v>
      </x:c>
      <x:c r="K5" s="333" t="str">
        <x:v>44</x:v>
      </x:c>
      <x:c r="L5" s="333" t="str">
        <x:v>3</x:v>
      </x:c>
      <x:c r="M5" s="333" t="str">
        <x:v>3</x:v>
      </x:c>
      <x:c r="N5" s="333" t="str">
        <x:v>ACKNOWLEDGED</x:v>
      </x:c>
      <x:c r="O5" s="333" t="str">
        <x:v>CONTROL_WRITE_QUARANTINED</x:v>
      </x:c>
      <x:c r="P5" s="333" t="str">
        <x:v>PROBABLE</x:v>
      </x:c>
      <x:c r="Q5" s="333" t="str">
        <x:v>AHV40_ENGINE_ECU_04_CLEAR_DTC_QUARANTINED</x:v>
      </x:c>
      <x:c r="R5" s="333" t="str">
        <x:v>BLE_ALIGNED_PASSIVE_CAN_OBSERVATION</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s>
  <x:sheetData>
    <x:row r="1" ht="34" customHeight="1">
      <x:c r="A1" s="336" t="str">
        <x:v>Video_s</x:v>
      </x:c>
      <x:c r="B1" s="336" t="str">
        <x:v>ExtractedBlockCount</x:v>
      </x:c>
      <x:c r="C1" s="336" t="str">
        <x:v>ReconstructedBlockCount</x:v>
      </x:c>
      <x:c r="D1" s="336" t="str">
        <x:v>ReconstructedBlocks</x:v>
      </x:c>
      <x:c r="E1" s="336" t="str">
        <x:v>B01_V</x:v>
      </x:c>
      <x:c r="F1" s="336" t="str">
        <x:v>B02_V</x:v>
      </x:c>
      <x:c r="G1" s="336" t="str">
        <x:v>B03_V</x:v>
      </x:c>
      <x:c r="H1" s="336" t="str">
        <x:v>B04_V</x:v>
      </x:c>
      <x:c r="I1" s="336" t="str">
        <x:v>B05_V</x:v>
      </x:c>
      <x:c r="J1" s="336" t="str">
        <x:v>B06_V</x:v>
      </x:c>
      <x:c r="K1" s="336" t="str">
        <x:v>B07_V</x:v>
      </x:c>
      <x:c r="L1" s="336" t="str">
        <x:v>B08_V</x:v>
      </x:c>
      <x:c r="M1" s="336" t="str">
        <x:v>B09_V</x:v>
      </x:c>
      <x:c r="N1" s="336" t="str">
        <x:v>B10_V</x:v>
      </x:c>
      <x:c r="O1" s="336" t="str">
        <x:v>B11_V</x:v>
      </x:c>
      <x:c r="P1" s="336" t="str">
        <x:v>B12_V</x:v>
      </x:c>
      <x:c r="Q1" s="336" t="str">
        <x:v>B13_V</x:v>
      </x:c>
      <x:c r="R1" s="336" t="str">
        <x:v>B14_V</x:v>
      </x:c>
      <x:c r="S1" s="336" t="str">
        <x:v>B15_V</x:v>
      </x:c>
      <x:c r="T1" s="336" t="str">
        <x:v>B16_V</x:v>
      </x:c>
      <x:c r="U1" s="336" t="str">
        <x:v>B17_V</x:v>
      </x:c>
      <x:c r="V1" s="336" t="str">
        <x:v>GraphPackSum_V</x:v>
      </x:c>
      <x:c r="W1" s="336" t="str">
        <x:v>PrintedPackVoltage_V</x:v>
      </x:c>
      <x:c r="X1" s="336" t="str">
        <x:v>GraphDifference_V</x:v>
      </x:c>
      <x:c r="Y1" s="336" t="str">
        <x:v>PrintedVoltageDifference_V</x:v>
      </x:c>
      <x:c r="Z1" s="336" t="str">
        <x:v>ActualSOC_pct</x:v>
      </x:c>
      <x:c r="AA1" s="336" t="str">
        <x:v>CurrentDirection</x:v>
      </x:c>
      <x:c r="AB1" s="336" t="str">
        <x:v>Current_A</x:v>
      </x:c>
      <x:c r="AC1" s="336" t="str">
        <x:v>BatteryTemp1_F</x:v>
      </x:c>
      <x:c r="AD1" s="336" t="str">
        <x:v>BatteryTemp2_F</x:v>
      </x:c>
      <x:c r="AE1" s="336" t="str">
        <x:v>BatteryTemp3_F</x:v>
      </x:c>
      <x:c r="AF1" s="336" t="str">
        <x:v>NearestCANVideo_s</x:v>
      </x:c>
      <x:c r="AG1" s="336" t="str">
        <x:v>CANTimeDelta_s</x:v>
      </x:c>
      <x:c r="AH1" s="336" t="str">
        <x:v>CANBlockRMSE_V</x:v>
      </x:c>
      <x:c r="AI1" s="336" t="str">
        <x:v>CANMatch</x:v>
      </x:c>
      <x:c r="AJ1" s="336" t="str">
        <x:v>EvidenceGrade</x:v>
      </x:c>
      <x:c r="AK1" s="336" t="str">
        <x:v>Confidence</x:v>
      </x:c>
      <x:c r="AL1" s="336" t="str">
        <x:v>SourceFrame</x:v>
      </x:c>
    </x:row>
    <x:row r="2" ht="38" customHeight="1">
      <x:c r="A2" s="333" t="str">
        <x:v>226.000</x:v>
      </x:c>
      <x:c r="B2" s="333" t="str">
        <x:v>17</x:v>
      </x:c>
      <x:c r="C2" s="333" t="str">
        <x:v>0</x:v>
      </x:c>
      <x:c r="D2" s="333" t="str"/>
      <x:c r="E2" s="333" t="str">
        <x:v>16.900000</x:v>
      </x:c>
      <x:c r="F2" s="333" t="str">
        <x:v>16.950000</x:v>
      </x:c>
      <x:c r="G2" s="333" t="str">
        <x:v>16.930000</x:v>
      </x:c>
      <x:c r="H2" s="333" t="str">
        <x:v>17.000000</x:v>
      </x:c>
      <x:c r="I2" s="333" t="str">
        <x:v>17.000000</x:v>
      </x:c>
      <x:c r="J2" s="333" t="str">
        <x:v>16.950000</x:v>
      </x:c>
      <x:c r="K2" s="333" t="str">
        <x:v>16.930000</x:v>
      </x:c>
      <x:c r="L2" s="333" t="str">
        <x:v>16.960000</x:v>
      </x:c>
      <x:c r="M2" s="333" t="str">
        <x:v>16.980000</x:v>
      </x:c>
      <x:c r="N2" s="333" t="str">
        <x:v>16.930000</x:v>
      </x:c>
      <x:c r="O2" s="333" t="str">
        <x:v>16.930000</x:v>
      </x:c>
      <x:c r="P2" s="333" t="str">
        <x:v>16.950000</x:v>
      </x:c>
      <x:c r="Q2" s="333" t="str">
        <x:v>16.900000</x:v>
      </x:c>
      <x:c r="R2" s="333" t="str">
        <x:v>16.980000</x:v>
      </x:c>
      <x:c r="S2" s="333" t="str">
        <x:v>16.930000</x:v>
      </x:c>
      <x:c r="T2" s="333" t="str">
        <x:v>16.880000</x:v>
      </x:c>
      <x:c r="U2" s="333" t="str">
        <x:v>16.810000</x:v>
      </x:c>
      <x:c r="V2" s="333" t="str">
        <x:v>287.910000</x:v>
      </x:c>
      <x:c r="W2" s="333" t="str">
        <x:v>287.910000</x:v>
      </x:c>
      <x:c r="X2" s="333" t="str">
        <x:v>0.190000</x:v>
      </x:c>
      <x:c r="Y2" s="333" t="str">
        <x:v>0.130000</x:v>
      </x:c>
      <x:c r="Z2" s="333" t="str">
        <x:v>50.0</x:v>
      </x:c>
      <x:c r="AA2" s="333" t="str">
        <x:v>DISCHARGING</x:v>
      </x:c>
      <x:c r="AB2" s="333" t="str">
        <x:v>3.96</x:v>
      </x:c>
      <x:c r="AC2" s="333" t="str">
        <x:v>79.8</x:v>
      </x:c>
      <x:c r="AD2" s="333" t="str">
        <x:v>79.6</x:v>
      </x:c>
      <x:c r="AE2" s="333" t="str">
        <x:v>79.8</x:v>
      </x:c>
      <x:c r="AF2" s="333" t="str">
        <x:v>225.846915</x:v>
      </x:c>
      <x:c r="AG2" s="333" t="str">
        <x:v>0.153085</x:v>
      </x:c>
      <x:c r="AH2" s="333" t="str">
        <x:v>0.000000</x:v>
      </x:c>
      <x:c r="AI2" s="333" t="str">
        <x:v>MATCHED</x:v>
      </x:c>
      <x:c r="AJ2" s="333" t="str">
        <x:v>PROBABLE</x:v>
      </x:c>
      <x:c r="AK2" s="333" t="str">
        <x:v>0.890</x:v>
      </x:c>
      <x:c r="AL2" s="333" t="str">
        <x:v>frame_0000114.png</x:v>
      </x:c>
    </x:row>
    <x:row r="3" ht="38" customHeight="1">
      <x:c r="A3" s="333" t="str">
        <x:v>230.000</x:v>
      </x:c>
      <x:c r="B3" s="333" t="str">
        <x:v>16</x:v>
      </x:c>
      <x:c r="C3" s="333" t="str">
        <x:v>1</x:v>
      </x:c>
      <x:c r="D3" s="333" t="str">
        <x:v>12</x:v>
      </x:c>
      <x:c r="E3" s="333" t="str">
        <x:v>16.810000</x:v>
      </x:c>
      <x:c r="F3" s="333" t="str">
        <x:v>16.850000</x:v>
      </x:c>
      <x:c r="G3" s="333" t="str">
        <x:v>16.830000</x:v>
      </x:c>
      <x:c r="H3" s="333" t="str">
        <x:v>16.900000</x:v>
      </x:c>
      <x:c r="I3" s="333" t="str">
        <x:v>16.900000</x:v>
      </x:c>
      <x:c r="J3" s="333" t="str">
        <x:v>16.850000</x:v>
      </x:c>
      <x:c r="K3" s="333" t="str">
        <x:v>16.830000</x:v>
      </x:c>
      <x:c r="L3" s="333" t="str">
        <x:v>16.890000</x:v>
      </x:c>
      <x:c r="M3" s="333" t="str">
        <x:v>16.810000</x:v>
      </x:c>
      <x:c r="N3" s="333" t="str">
        <x:v>16.850000</x:v>
      </x:c>
      <x:c r="O3" s="333" t="str">
        <x:v>16.850000</x:v>
      </x:c>
      <x:c r="P3" s="333" t="str">
        <x:v>16.780000</x:v>
      </x:c>
      <x:c r="Q3" s="333" t="str">
        <x:v>16.900000</x:v>
      </x:c>
      <x:c r="R3" s="333" t="str">
        <x:v>16.850000</x:v>
      </x:c>
      <x:c r="S3" s="333" t="str">
        <x:v>16.830000</x:v>
      </x:c>
      <x:c r="T3" s="333" t="str">
        <x:v>16.880000</x:v>
      </x:c>
      <x:c r="U3" s="333" t="str">
        <x:v>16.730000</x:v>
      </x:c>
      <x:c r="V3" s="333" t="str">
        <x:v>286.340000</x:v>
      </x:c>
      <x:c r="W3" s="333" t="str">
        <x:v>286.340000</x:v>
      </x:c>
      <x:c r="X3" s="333" t="str">
        <x:v>0.170000</x:v>
      </x:c>
      <x:c r="Y3" s="333" t="str">
        <x:v>0.110000</x:v>
      </x:c>
      <x:c r="Z3" s="333" t="str">
        <x:v>50.0</x:v>
      </x:c>
      <x:c r="AA3" s="333" t="str">
        <x:v>DISCHARGING</x:v>
      </x:c>
      <x:c r="AB3" s="333" t="str">
        <x:v>4.09</x:v>
      </x:c>
      <x:c r="AC3" s="333" t="str">
        <x:v>79.8</x:v>
      </x:c>
      <x:c r="AD3" s="333" t="str">
        <x:v>79.8</x:v>
      </x:c>
      <x:c r="AE3" s="333" t="str">
        <x:v>79.8</x:v>
      </x:c>
      <x:c r="AF3" s="333" t="str">
        <x:v>230.004119</x:v>
      </x:c>
      <x:c r="AG3" s="333" t="str">
        <x:v>0.004119</x:v>
      </x:c>
      <x:c r="AH3" s="333" t="str">
        <x:v>0.019852</x:v>
      </x:c>
      <x:c r="AI3" s="333" t="str">
        <x:v>MATCHED</x:v>
      </x:c>
      <x:c r="AJ3" s="333" t="str">
        <x:v>PROBABLE</x:v>
      </x:c>
      <x:c r="AK3" s="333" t="str">
        <x:v>0.790</x:v>
      </x:c>
      <x:c r="AL3" s="333" t="str">
        <x:v>frame_0000116.png</x:v>
      </x:c>
    </x:row>
    <x:row r="4" ht="38" customHeight="1">
      <x:c r="A4" s="333" t="str">
        <x:v>232.000</x:v>
      </x:c>
      <x:c r="B4" s="333" t="str">
        <x:v>16</x:v>
      </x:c>
      <x:c r="C4" s="333" t="str">
        <x:v>1</x:v>
      </x:c>
      <x:c r="D4" s="333" t="str">
        <x:v>1</x:v>
      </x:c>
      <x:c r="E4" s="333" t="str">
        <x:v>16.980000</x:v>
      </x:c>
      <x:c r="F4" s="333" t="str">
        <x:v>17.070000</x:v>
      </x:c>
      <x:c r="G4" s="333" t="str">
        <x:v>17.030000</x:v>
      </x:c>
      <x:c r="H4" s="333" t="str">
        <x:v>17.070000</x:v>
      </x:c>
      <x:c r="I4" s="333" t="str">
        <x:v>17.100000</x:v>
      </x:c>
      <x:c r="J4" s="333" t="str">
        <x:v>17.070000</x:v>
      </x:c>
      <x:c r="K4" s="333" t="str">
        <x:v>17.030000</x:v>
      </x:c>
      <x:c r="L4" s="333" t="str">
        <x:v>17.080000</x:v>
      </x:c>
      <x:c r="M4" s="333" t="str">
        <x:v>17.030000</x:v>
      </x:c>
      <x:c r="N4" s="333" t="str">
        <x:v>17.100000</x:v>
      </x:c>
      <x:c r="O4" s="333" t="str">
        <x:v>17.050000</x:v>
      </x:c>
      <x:c r="P4" s="333" t="str">
        <x:v>17.000000</x:v>
      </x:c>
      <x:c r="Q4" s="333" t="str">
        <x:v>17.100000</x:v>
      </x:c>
      <x:c r="R4" s="333" t="str">
        <x:v>17.070000</x:v>
      </x:c>
      <x:c r="S4" s="333" t="str">
        <x:v>17.030000</x:v>
      </x:c>
      <x:c r="T4" s="333" t="str">
        <x:v>17.050000</x:v>
      </x:c>
      <x:c r="U4" s="333" t="str">
        <x:v>16.930000</x:v>
      </x:c>
      <x:c r="V4" s="333" t="str">
        <x:v>289.790000</x:v>
      </x:c>
      <x:c r="W4" s="333" t="str">
        <x:v>289.790000</x:v>
      </x:c>
      <x:c r="X4" s="333" t="str">
        <x:v>0.170000</x:v>
      </x:c>
      <x:c r="Y4" s="333" t="str">
        <x:v>0.120000</x:v>
      </x:c>
      <x:c r="Z4" s="333" t="str">
        <x:v>50.0</x:v>
      </x:c>
      <x:c r="AA4" s="333" t="str">
        <x:v>CHARGING</x:v>
      </x:c>
      <x:c r="AB4" s="333" t="str">
        <x:v>-0.74</x:v>
      </x:c>
      <x:c r="AC4" s="333" t="str">
        <x:v>79.8</x:v>
      </x:c>
      <x:c r="AD4" s="333" t="str">
        <x:v>79.8</x:v>
      </x:c>
      <x:c r="AE4" s="333" t="str">
        <x:v>79.8</x:v>
      </x:c>
      <x:c r="AF4" s="333" t="str">
        <x:v>232.073092</x:v>
      </x:c>
      <x:c r="AG4" s="333" t="str">
        <x:v>0.073092</x:v>
      </x:c>
      <x:c r="AH4" s="333" t="str">
        <x:v>0.000000</x:v>
      </x:c>
      <x:c r="AI4" s="333" t="str">
        <x:v>MATCHED</x:v>
      </x:c>
      <x:c r="AJ4" s="333" t="str">
        <x:v>PROBABLE</x:v>
      </x:c>
      <x:c r="AK4" s="333" t="str">
        <x:v>0.790</x:v>
      </x:c>
      <x:c r="AL4" s="333" t="str">
        <x:v>frame_0000117.png</x:v>
      </x:c>
    </x:row>
    <x:row r="5" ht="38" customHeight="1">
      <x:c r="A5" s="333" t="str">
        <x:v>234.000</x:v>
      </x:c>
      <x:c r="B5" s="333" t="str">
        <x:v>17</x:v>
      </x:c>
      <x:c r="C5" s="333" t="str">
        <x:v>0</x:v>
      </x:c>
      <x:c r="D5" s="333" t="str"/>
      <x:c r="E5" s="333" t="str">
        <x:v>16.780000</x:v>
      </x:c>
      <x:c r="F5" s="333" t="str">
        <x:v>16.830000</x:v>
      </x:c>
      <x:c r="G5" s="333" t="str">
        <x:v>16.830000</x:v>
      </x:c>
      <x:c r="H5" s="333" t="str">
        <x:v>16.880000</x:v>
      </x:c>
      <x:c r="I5" s="333" t="str">
        <x:v>16.810000</x:v>
      </x:c>
      <x:c r="J5" s="333" t="str">
        <x:v>16.880000</x:v>
      </x:c>
      <x:c r="K5" s="333" t="str">
        <x:v>16.830000</x:v>
      </x:c>
      <x:c r="L5" s="333" t="str">
        <x:v>16.820000</x:v>
      </x:c>
      <x:c r="M5" s="333" t="str">
        <x:v>16.850000</x:v>
      </x:c>
      <x:c r="N5" s="333" t="str">
        <x:v>16.830000</x:v>
      </x:c>
      <x:c r="O5" s="333" t="str">
        <x:v>16.830000</x:v>
      </x:c>
      <x:c r="P5" s="333" t="str">
        <x:v>16.830000</x:v>
      </x:c>
      <x:c r="Q5" s="333" t="str">
        <x:v>16.850000</x:v>
      </x:c>
      <x:c r="R5" s="333" t="str">
        <x:v>16.850000</x:v>
      </x:c>
      <x:c r="S5" s="333" t="str">
        <x:v>16.810000</x:v>
      </x:c>
      <x:c r="T5" s="333" t="str">
        <x:v>16.850000</x:v>
      </x:c>
      <x:c r="U5" s="333" t="str">
        <x:v>16.710000</x:v>
      </x:c>
      <x:c r="V5" s="333" t="str">
        <x:v>286.070000</x:v>
      </x:c>
      <x:c r="W5" s="333" t="str">
        <x:v>286.070000</x:v>
      </x:c>
      <x:c r="X5" s="333" t="str">
        <x:v>0.170000</x:v>
      </x:c>
      <x:c r="Y5" s="333" t="str">
        <x:v>0.120000</x:v>
      </x:c>
      <x:c r="Z5" s="333" t="str">
        <x:v>50.0</x:v>
      </x:c>
      <x:c r="AA5" s="333" t="str">
        <x:v>DISCHARGING</x:v>
      </x:c>
      <x:c r="AB5" s="333" t="str">
        <x:v>3.27</x:v>
      </x:c>
      <x:c r="AC5" s="333" t="str">
        <x:v>79.8</x:v>
      </x:c>
      <x:c r="AD5" s="333" t="str">
        <x:v>79.8</x:v>
      </x:c>
      <x:c r="AE5" s="333" t="str">
        <x:v>80.0</x:v>
      </x:c>
      <x:c r="AF5" s="333" t="str">
        <x:v>234.135621</x:v>
      </x:c>
      <x:c r="AG5" s="333" t="str">
        <x:v>0.135621</x:v>
      </x:c>
      <x:c r="AH5" s="333" t="str">
        <x:v>0.000000</x:v>
      </x:c>
      <x:c r="AI5" s="333" t="str">
        <x:v>MATCHED</x:v>
      </x:c>
      <x:c r="AJ5" s="333" t="str">
        <x:v>PROBABLE</x:v>
      </x:c>
      <x:c r="AK5" s="333" t="str">
        <x:v>0.890</x:v>
      </x:c>
      <x:c r="AL5" s="333" t="str">
        <x:v>frame_0000118.png</x:v>
      </x:c>
    </x:row>
    <x:row r="6" ht="38" customHeight="1">
      <x:c r="A6" s="333" t="str">
        <x:v>236.000</x:v>
      </x:c>
      <x:c r="B6" s="333" t="str">
        <x:v>16</x:v>
      </x:c>
      <x:c r="C6" s="333" t="str">
        <x:v>1</x:v>
      </x:c>
      <x:c r="D6" s="333" t="str">
        <x:v>1</x:v>
      </x:c>
      <x:c r="E6" s="333" t="str">
        <x:v>16.730000</x:v>
      </x:c>
      <x:c r="F6" s="333" t="str">
        <x:v>16.830000</x:v>
      </x:c>
      <x:c r="G6" s="333" t="str">
        <x:v>16.780000</x:v>
      </x:c>
      <x:c r="H6" s="333" t="str">
        <x:v>16.850000</x:v>
      </x:c>
      <x:c r="I6" s="333" t="str">
        <x:v>16.810000</x:v>
      </x:c>
      <x:c r="J6" s="333" t="str">
        <x:v>16.850000</x:v>
      </x:c>
      <x:c r="K6" s="333" t="str">
        <x:v>16.810000</x:v>
      </x:c>
      <x:c r="L6" s="333" t="str">
        <x:v>16.780000</x:v>
      </x:c>
      <x:c r="M6" s="333" t="str">
        <x:v>16.830000</x:v>
      </x:c>
      <x:c r="N6" s="333" t="str">
        <x:v>16.810000</x:v>
      </x:c>
      <x:c r="O6" s="333" t="str">
        <x:v>16.780000</x:v>
      </x:c>
      <x:c r="P6" s="333" t="str">
        <x:v>16.810000</x:v>
      </x:c>
      <x:c r="Q6" s="333" t="str">
        <x:v>16.850000</x:v>
      </x:c>
      <x:c r="R6" s="333" t="str">
        <x:v>16.830000</x:v>
      </x:c>
      <x:c r="S6" s="333" t="str">
        <x:v>16.780000</x:v>
      </x:c>
      <x:c r="T6" s="333" t="str">
        <x:v>16.830000</x:v>
      </x:c>
      <x:c r="U6" s="333" t="str">
        <x:v>16.710000</x:v>
      </x:c>
      <x:c r="V6" s="333" t="str">
        <x:v>285.670000</x:v>
      </x:c>
      <x:c r="W6" s="333" t="str">
        <x:v>285.670000</x:v>
      </x:c>
      <x:c r="X6" s="333" t="str">
        <x:v>0.140000</x:v>
      </x:c>
      <x:c r="Y6" s="333" t="str">
        <x:v>0.090000</x:v>
      </x:c>
      <x:c r="Z6" s="333" t="str">
        <x:v>50.0</x:v>
      </x:c>
      <x:c r="AA6" s="333" t="str">
        <x:v>DISCHARGING</x:v>
      </x:c>
      <x:c r="AB6" s="333" t="str">
        <x:v>2.78</x:v>
      </x:c>
      <x:c r="AC6" s="333" t="str">
        <x:v>80.0</x:v>
      </x:c>
      <x:c r="AD6" s="333" t="str">
        <x:v>79.8</x:v>
      </x:c>
      <x:c r="AE6" s="333" t="str">
        <x:v>80.0</x:v>
      </x:c>
      <x:c r="AF6" s="333" t="str">
        <x:v>236.250500</x:v>
      </x:c>
      <x:c r="AG6" s="333" t="str">
        <x:v>0.250500</x:v>
      </x:c>
      <x:c r="AH6" s="333" t="str">
        <x:v>0.000000</x:v>
      </x:c>
      <x:c r="AI6" s="333" t="str">
        <x:v>MATCHED</x:v>
      </x:c>
      <x:c r="AJ6" s="333" t="str">
        <x:v>PROBABLE</x:v>
      </x:c>
      <x:c r="AK6" s="333" t="str">
        <x:v>0.790</x:v>
      </x:c>
      <x:c r="AL6" s="333" t="str">
        <x:v>frame_0000119.png</x:v>
      </x:c>
    </x:row>
    <x:row r="7" ht="38" customHeight="1">
      <x:c r="A7" s="333" t="str">
        <x:v>240.000</x:v>
      </x:c>
      <x:c r="B7" s="333" t="str">
        <x:v>16</x:v>
      </x:c>
      <x:c r="C7" s="333" t="str">
        <x:v>1</x:v>
      </x:c>
      <x:c r="D7" s="333" t="str">
        <x:v>17</x:v>
      </x:c>
      <x:c r="E7" s="333" t="str">
        <x:v>16.630000</x:v>
      </x:c>
      <x:c r="F7" s="333" t="str">
        <x:v>16.810000</x:v>
      </x:c>
      <x:c r="G7" s="333" t="str">
        <x:v>16.780000</x:v>
      </x:c>
      <x:c r="H7" s="333" t="str">
        <x:v>16.760000</x:v>
      </x:c>
      <x:c r="I7" s="333" t="str">
        <x:v>16.810000</x:v>
      </x:c>
      <x:c r="J7" s="333" t="str">
        <x:v>16.780000</x:v>
      </x:c>
      <x:c r="K7" s="333" t="str">
        <x:v>16.760000</x:v>
      </x:c>
      <x:c r="L7" s="333" t="str">
        <x:v>16.810000</x:v>
      </x:c>
      <x:c r="M7" s="333" t="str">
        <x:v>16.810000</x:v>
      </x:c>
      <x:c r="N7" s="333" t="str">
        <x:v>16.760000</x:v>
      </x:c>
      <x:c r="O7" s="333" t="str">
        <x:v>16.760000</x:v>
      </x:c>
      <x:c r="P7" s="333" t="str">
        <x:v>16.760000</x:v>
      </x:c>
      <x:c r="Q7" s="333" t="str">
        <x:v>16.810000</x:v>
      </x:c>
      <x:c r="R7" s="333" t="str">
        <x:v>16.780000</x:v>
      </x:c>
      <x:c r="S7" s="333" t="str">
        <x:v>16.760000</x:v>
      </x:c>
      <x:c r="T7" s="333" t="str">
        <x:v>16.810000</x:v>
      </x:c>
      <x:c r="U7" s="333" t="str">
        <x:v>16.660000</x:v>
      </x:c>
      <x:c r="V7" s="333" t="str">
        <x:v>285.050000</x:v>
      </x:c>
      <x:c r="W7" s="333" t="str">
        <x:v>285.050000</x:v>
      </x:c>
      <x:c r="X7" s="333" t="str">
        <x:v>0.180000</x:v>
      </x:c>
      <x:c r="Y7" s="333" t="str">
        <x:v>0.140000</x:v>
      </x:c>
      <x:c r="Z7" s="333" t="str">
        <x:v>50.0</x:v>
      </x:c>
      <x:c r="AA7" s="333" t="str">
        <x:v>DISCHARGING</x:v>
      </x:c>
      <x:c r="AB7" s="333" t="str">
        <x:v>2.85</x:v>
      </x:c>
      <x:c r="AC7" s="333" t="str">
        <x:v>80.0</x:v>
      </x:c>
      <x:c r="AD7" s="333" t="str">
        <x:v>79.8</x:v>
      </x:c>
      <x:c r="AE7" s="333" t="str">
        <x:v>80.0</x:v>
      </x:c>
      <x:c r="AF7" s="333" t="str">
        <x:v>240.370668</x:v>
      </x:c>
      <x:c r="AG7" s="333" t="str">
        <x:v>0.370668</x:v>
      </x:c>
      <x:c r="AH7" s="333" t="str">
        <x:v>0.000000</x:v>
      </x:c>
      <x:c r="AI7" s="333" t="str">
        <x:v>MATCHED</x:v>
      </x:c>
      <x:c r="AJ7" s="333" t="str">
        <x:v>PROBABLE</x:v>
      </x:c>
      <x:c r="AK7" s="333" t="str">
        <x:v>0.850</x:v>
      </x:c>
      <x:c r="AL7" s="333" t="str">
        <x:v>frame_0000121.png</x:v>
      </x:c>
    </x:row>
    <x:row r="8" ht="38" customHeight="1">
      <x:c r="A8" s="333" t="str">
        <x:v>242.000</x:v>
      </x:c>
      <x:c r="B8" s="333" t="str">
        <x:v>17</x:v>
      </x:c>
      <x:c r="C8" s="333" t="str">
        <x:v>0</x:v>
      </x:c>
      <x:c r="D8" s="333" t="str"/>
      <x:c r="E8" s="333" t="str">
        <x:v>16.610000</x:v>
      </x:c>
      <x:c r="F8" s="333" t="str">
        <x:v>16.780000</x:v>
      </x:c>
      <x:c r="G8" s="333" t="str">
        <x:v>16.760000</x:v>
      </x:c>
      <x:c r="H8" s="333" t="str">
        <x:v>16.760000</x:v>
      </x:c>
      <x:c r="I8" s="333" t="str">
        <x:v>16.810000</x:v>
      </x:c>
      <x:c r="J8" s="333" t="str">
        <x:v>16.780000</x:v>
      </x:c>
      <x:c r="K8" s="333" t="str">
        <x:v>16.730000</x:v>
      </x:c>
      <x:c r="L8" s="333" t="str">
        <x:v>16.780000</x:v>
      </x:c>
      <x:c r="M8" s="333" t="str">
        <x:v>16.780000</x:v>
      </x:c>
      <x:c r="N8" s="333" t="str">
        <x:v>16.760000</x:v>
      </x:c>
      <x:c r="O8" s="333" t="str">
        <x:v>16.730000</x:v>
      </x:c>
      <x:c r="P8" s="333" t="str">
        <x:v>16.730000</x:v>
      </x:c>
      <x:c r="Q8" s="333" t="str">
        <x:v>16.780000</x:v>
      </x:c>
      <x:c r="R8" s="333" t="str">
        <x:v>16.780000</x:v>
      </x:c>
      <x:c r="S8" s="333" t="str">
        <x:v>16.730000</x:v>
      </x:c>
      <x:c r="T8" s="333" t="str">
        <x:v>16.760000</x:v>
      </x:c>
      <x:c r="U8" s="333" t="str">
        <x:v>16.630000</x:v>
      </x:c>
      <x:c r="V8" s="333" t="str">
        <x:v>284.690000</x:v>
      </x:c>
      <x:c r="W8" s="333" t="str">
        <x:v>284.690000</x:v>
      </x:c>
      <x:c r="X8" s="333" t="str">
        <x:v>0.200000</x:v>
      </x:c>
      <x:c r="Y8" s="333" t="str">
        <x:v>0.140000</x:v>
      </x:c>
      <x:c r="Z8" s="333" t="str">
        <x:v>50.0</x:v>
      </x:c>
      <x:c r="AA8" s="333" t="str">
        <x:v>DISCHARGING</x:v>
      </x:c>
      <x:c r="AB8" s="333" t="str">
        <x:v>2.85</x:v>
      </x:c>
      <x:c r="AC8" s="333" t="str">
        <x:v>80.0</x:v>
      </x:c>
      <x:c r="AD8" s="333" t="str">
        <x:v>79.8</x:v>
      </x:c>
      <x:c r="AE8" s="333" t="str">
        <x:v>80.0</x:v>
      </x:c>
      <x:c r="AF8" s="333" t="str">
        <x:v>242.464468</x:v>
      </x:c>
      <x:c r="AG8" s="333" t="str">
        <x:v>0.464468</x:v>
      </x:c>
      <x:c r="AH8" s="333" t="str">
        <x:v>0.000000</x:v>
      </x:c>
      <x:c r="AI8" s="333" t="str">
        <x:v>MATCHED</x:v>
      </x:c>
      <x:c r="AJ8" s="333" t="str">
        <x:v>PROBABLE</x:v>
      </x:c>
      <x:c r="AK8" s="333" t="str">
        <x:v>0.890</x:v>
      </x:c>
      <x:c r="AL8" s="333" t="str">
        <x:v>frame_0000122.png</x:v>
      </x:c>
    </x:row>
    <x:row r="9" ht="38" customHeight="1">
      <x:c r="A9" s="333" t="str">
        <x:v>244.000</x:v>
      </x:c>
      <x:c r="B9" s="333" t="str">
        <x:v>17</x:v>
      </x:c>
      <x:c r="C9" s="333" t="str">
        <x:v>0</x:v>
      </x:c>
      <x:c r="D9" s="333" t="str"/>
      <x:c r="E9" s="333" t="str">
        <x:v>16.610000</x:v>
      </x:c>
      <x:c r="F9" s="333" t="str">
        <x:v>16.780000</x:v>
      </x:c>
      <x:c r="G9" s="333" t="str">
        <x:v>16.770000</x:v>
      </x:c>
      <x:c r="H9" s="333" t="str">
        <x:v>16.710000</x:v>
      </x:c>
      <x:c r="I9" s="333" t="str">
        <x:v>16.780000</x:v>
      </x:c>
      <x:c r="J9" s="333" t="str">
        <x:v>16.760000</x:v>
      </x:c>
      <x:c r="K9" s="333" t="str">
        <x:v>16.770000</x:v>
      </x:c>
      <x:c r="L9" s="333" t="str">
        <x:v>16.760000</x:v>
      </x:c>
      <x:c r="M9" s="333" t="str">
        <x:v>16.760000</x:v>
      </x:c>
      <x:c r="N9" s="333" t="str">
        <x:v>16.730000</x:v>
      </x:c>
      <x:c r="O9" s="333" t="str">
        <x:v>16.770000</x:v>
      </x:c>
      <x:c r="P9" s="333" t="str">
        <x:v>16.730000</x:v>
      </x:c>
      <x:c r="Q9" s="333" t="str">
        <x:v>16.780000</x:v>
      </x:c>
      <x:c r="R9" s="333" t="str">
        <x:v>16.760000</x:v>
      </x:c>
      <x:c r="S9" s="333" t="str">
        <x:v>16.770000</x:v>
      </x:c>
      <x:c r="T9" s="333" t="str">
        <x:v>16.760000</x:v>
      </x:c>
      <x:c r="U9" s="333" t="str">
        <x:v>16.630000</x:v>
      </x:c>
      <x:c r="V9" s="333" t="str">
        <x:v>284.630000</x:v>
      </x:c>
      <x:c r="W9" s="333" t="str">
        <x:v>284.390000</x:v>
      </x:c>
      <x:c r="X9" s="333" t="str">
        <x:v>0.170000</x:v>
      </x:c>
      <x:c r="Y9" s="333" t="str">
        <x:v>0.120000</x:v>
      </x:c>
      <x:c r="Z9" s="333" t="str">
        <x:v>50.0</x:v>
      </x:c>
      <x:c r="AA9" s="333" t="str">
        <x:v>DISCHARGING</x:v>
      </x:c>
      <x:c r="AB9" s="333" t="str">
        <x:v>2.83</x:v>
      </x:c>
      <x:c r="AC9" s="333" t="str">
        <x:v>80.0</x:v>
      </x:c>
      <x:c r="AD9" s="333" t="str">
        <x:v>80.0</x:v>
      </x:c>
      <x:c r="AE9" s="333" t="str">
        <x:v>80.0</x:v>
      </x:c>
      <x:c r="AF9" s="333" t="str">
        <x:v>243.504244</x:v>
      </x:c>
      <x:c r="AG9" s="333" t="str">
        <x:v>0.495756</x:v>
      </x:c>
      <x:c r="AH9" s="333" t="str">
        <x:v>0.021693</x:v>
      </x:c>
      <x:c r="AI9" s="333" t="str">
        <x:v>MATCHED</x:v>
      </x:c>
      <x:c r="AJ9" s="333" t="str">
        <x:v>PROBABLE</x:v>
      </x:c>
      <x:c r="AK9" s="333" t="str">
        <x:v>0.830</x:v>
      </x:c>
      <x:c r="AL9" s="333" t="str">
        <x:v>frame_0000123.png</x:v>
      </x:c>
    </x:row>
    <x:row r="10" ht="38" customHeight="1">
      <x:c r="A10" s="333" t="str">
        <x:v>248.000</x:v>
      </x:c>
      <x:c r="B10" s="333" t="str">
        <x:v>17</x:v>
      </x:c>
      <x:c r="C10" s="333" t="str">
        <x:v>0</x:v>
      </x:c>
      <x:c r="D10" s="333" t="str"/>
      <x:c r="E10" s="333" t="str">
        <x:v>16.680000</x:v>
      </x:c>
      <x:c r="F10" s="333" t="str">
        <x:v>16.630000</x:v>
      </x:c>
      <x:c r="G10" s="333" t="str">
        <x:v>16.700000</x:v>
      </x:c>
      <x:c r="H10" s="333" t="str">
        <x:v>16.680000</x:v>
      </x:c>
      <x:c r="I10" s="333" t="str">
        <x:v>16.760000</x:v>
      </x:c>
      <x:c r="J10" s="333" t="str">
        <x:v>16.710000</x:v>
      </x:c>
      <x:c r="K10" s="333" t="str">
        <x:v>16.670000</x:v>
      </x:c>
      <x:c r="L10" s="333" t="str">
        <x:v>16.730000</x:v>
      </x:c>
      <x:c r="M10" s="333" t="str">
        <x:v>16.750000</x:v>
      </x:c>
      <x:c r="N10" s="333" t="str">
        <x:v>16.680000</x:v>
      </x:c>
      <x:c r="O10" s="333" t="str">
        <x:v>16.680000</x:v>
      </x:c>
      <x:c r="P10" s="333" t="str">
        <x:v>16.680000</x:v>
      </x:c>
      <x:c r="Q10" s="333" t="str">
        <x:v>16.760000</x:v>
      </x:c>
      <x:c r="R10" s="333" t="str">
        <x:v>16.730000</x:v>
      </x:c>
      <x:c r="S10" s="333" t="str">
        <x:v>16.670000</x:v>
      </x:c>
      <x:c r="T10" s="333" t="str">
        <x:v>16.730000</x:v>
      </x:c>
      <x:c r="U10" s="333" t="str">
        <x:v>16.630000</x:v>
      </x:c>
      <x:c r="V10" s="333" t="str">
        <x:v>283.870000</x:v>
      </x:c>
      <x:c r="W10" s="333" t="str">
        <x:v>283.820000</x:v>
      </x:c>
      <x:c r="X10" s="333" t="str">
        <x:v>0.130000</x:v>
      </x:c>
      <x:c r="Y10" s="333" t="str">
        <x:v>0.070000</x:v>
      </x:c>
      <x:c r="Z10" s="333" t="str">
        <x:v>50.0</x:v>
      </x:c>
      <x:c r="AA10" s="333" t="str">
        <x:v>DISCHARGING</x:v>
      </x:c>
      <x:c r="AB10" s="333" t="str">
        <x:v>2.94</x:v>
      </x:c>
      <x:c r="AC10" s="333" t="str">
        <x:v>80.0</x:v>
      </x:c>
      <x:c r="AD10" s="333" t="str">
        <x:v>80.0</x:v>
      </x:c>
      <x:c r="AE10" s="333" t="str">
        <x:v>80.0</x:v>
      </x:c>
      <x:c r="AF10" s="333" t="str">
        <x:v>247.682329</x:v>
      </x:c>
      <x:c r="AG10" s="333" t="str">
        <x:v>0.317671</x:v>
      </x:c>
      <x:c r="AH10" s="333" t="str">
        <x:v>0.004851</x:v>
      </x:c>
      <x:c r="AI10" s="333" t="str">
        <x:v>MATCHED</x:v>
      </x:c>
      <x:c r="AJ10" s="333" t="str">
        <x:v>PROBABLE</x:v>
      </x:c>
      <x:c r="AK10" s="333" t="str">
        <x:v>0.890</x:v>
      </x:c>
      <x:c r="AL10" s="333" t="str">
        <x:v>frame_0000125.png</x:v>
      </x:c>
    </x:row>
    <x:row r="11" ht="38" customHeight="1">
      <x:c r="A11" s="333" t="str">
        <x:v>318.000</x:v>
      </x:c>
      <x:c r="B11" s="333" t="str">
        <x:v>16</x:v>
      </x:c>
      <x:c r="C11" s="333" t="str">
        <x:v>1</x:v>
      </x:c>
      <x:c r="D11" s="333" t="str">
        <x:v>17</x:v>
      </x:c>
      <x:c r="E11" s="333" t="str">
        <x:v>16.270000</x:v>
      </x:c>
      <x:c r="F11" s="333" t="str">
        <x:v>16.390000</x:v>
      </x:c>
      <x:c r="G11" s="333" t="str">
        <x:v>16.370000</x:v>
      </x:c>
      <x:c r="H11" s="333" t="str">
        <x:v>16.370000</x:v>
      </x:c>
      <x:c r="I11" s="333" t="str">
        <x:v>16.410000</x:v>
      </x:c>
      <x:c r="J11" s="333" t="str">
        <x:v>16.370000</x:v>
      </x:c>
      <x:c r="K11" s="333" t="str">
        <x:v>16.340000</x:v>
      </x:c>
      <x:c r="L11" s="333" t="str">
        <x:v>16.400000</x:v>
      </x:c>
      <x:c r="M11" s="333" t="str">
        <x:v>16.370000</x:v>
      </x:c>
      <x:c r="N11" s="333" t="str">
        <x:v>16.350000</x:v>
      </x:c>
      <x:c r="O11" s="333" t="str">
        <x:v>16.340000</x:v>
      </x:c>
      <x:c r="P11" s="333" t="str">
        <x:v>16.340000</x:v>
      </x:c>
      <x:c r="Q11" s="333" t="str">
        <x:v>16.390000</x:v>
      </x:c>
      <x:c r="R11" s="333" t="str">
        <x:v>16.370000</x:v>
      </x:c>
      <x:c r="S11" s="333" t="str">
        <x:v>16.340000</x:v>
      </x:c>
      <x:c r="T11" s="333" t="str">
        <x:v>16.390000</x:v>
      </x:c>
      <x:c r="U11" s="333" t="str">
        <x:v>16.290000</x:v>
      </x:c>
      <x:c r="V11" s="333" t="str">
        <x:v>278.100000</x:v>
      </x:c>
      <x:c r="W11" s="333" t="str">
        <x:v>278.090000</x:v>
      </x:c>
      <x:c r="X11" s="333" t="str">
        <x:v>0.140000</x:v>
      </x:c>
      <x:c r="Y11" s="333" t="str">
        <x:v>0.090000</x:v>
      </x:c>
      <x:c r="Z11" s="333" t="str">
        <x:v>49.5</x:v>
      </x:c>
      <x:c r="AA11" s="333" t="str">
        <x:v>DISCHARGING</x:v>
      </x:c>
      <x:c r="AB11" s="333" t="str">
        <x:v>3.19</x:v>
      </x:c>
      <x:c r="AC11" s="333" t="str">
        <x:v>80.4</x:v>
      </x:c>
      <x:c r="AD11" s="333" t="str">
        <x:v>80.4</x:v>
      </x:c>
      <x:c r="AE11" s="333" t="str">
        <x:v>80.4</x:v>
      </x:c>
      <x:c r="AF11" s="333" t="str">
        <x:v>317.637503</x:v>
      </x:c>
      <x:c r="AG11" s="333" t="str">
        <x:v>0.362497</x:v>
      </x:c>
      <x:c r="AH11" s="333" t="str">
        <x:v>0.011882</x:v>
      </x:c>
      <x:c r="AI11" s="333" t="str">
        <x:v>MATCHED</x:v>
      </x:c>
      <x:c r="AJ11" s="333" t="str">
        <x:v>PROBABLE</x:v>
      </x:c>
      <x:c r="AK11" s="333" t="str">
        <x:v>0.790</x:v>
      </x:c>
      <x:c r="AL11" s="333" t="str">
        <x:v>frame_0000160.png</x:v>
      </x:c>
    </x:row>
    <x:row r="12" ht="38" customHeight="1">
      <x:c r="A12" s="333" t="str">
        <x:v>320.000</x:v>
      </x:c>
      <x:c r="B12" s="333" t="str">
        <x:v>17</x:v>
      </x:c>
      <x:c r="C12" s="333" t="str">
        <x:v>0</x:v>
      </x:c>
      <x:c r="D12" s="333" t="str"/>
      <x:c r="E12" s="333" t="str">
        <x:v>16.370000</x:v>
      </x:c>
      <x:c r="F12" s="333" t="str">
        <x:v>16.290000</x:v>
      </x:c>
      <x:c r="G12" s="333" t="str">
        <x:v>16.370000</x:v>
      </x:c>
      <x:c r="H12" s="333" t="str">
        <x:v>16.340000</x:v>
      </x:c>
      <x:c r="I12" s="333" t="str">
        <x:v>16.410000</x:v>
      </x:c>
      <x:c r="J12" s="333" t="str">
        <x:v>16.340000</x:v>
      </x:c>
      <x:c r="K12" s="333" t="str">
        <x:v>16.340000</x:v>
      </x:c>
      <x:c r="L12" s="333" t="str">
        <x:v>16.400000</x:v>
      </x:c>
      <x:c r="M12" s="333" t="str">
        <x:v>16.390000</x:v>
      </x:c>
      <x:c r="N12" s="333" t="str">
        <x:v>16.340000</x:v>
      </x:c>
      <x:c r="O12" s="333" t="str">
        <x:v>16.340000</x:v>
      </x:c>
      <x:c r="P12" s="333" t="str">
        <x:v>16.340000</x:v>
      </x:c>
      <x:c r="Q12" s="333" t="str">
        <x:v>16.410000</x:v>
      </x:c>
      <x:c r="R12" s="333" t="str">
        <x:v>16.370000</x:v>
      </x:c>
      <x:c r="S12" s="333" t="str">
        <x:v>16.340000</x:v>
      </x:c>
      <x:c r="T12" s="333" t="str">
        <x:v>16.390000</x:v>
      </x:c>
      <x:c r="U12" s="333" t="str">
        <x:v>16.340000</x:v>
      </x:c>
      <x:c r="V12" s="333" t="str">
        <x:v>278.120000</x:v>
      </x:c>
      <x:c r="W12" s="333" t="str">
        <x:v>278.120000</x:v>
      </x:c>
      <x:c r="X12" s="333" t="str">
        <x:v>0.120000</x:v>
      </x:c>
      <x:c r="Y12" s="333" t="str">
        <x:v>0.070000</x:v>
      </x:c>
      <x:c r="Z12" s="333" t="str">
        <x:v>49.5</x:v>
      </x:c>
      <x:c r="AA12" s="333" t="str">
        <x:v>DISCHARGING</x:v>
      </x:c>
      <x:c r="AB12" s="333" t="str">
        <x:v>3.27</x:v>
      </x:c>
      <x:c r="AC12" s="333" t="str">
        <x:v>80.4</x:v>
      </x:c>
      <x:c r="AD12" s="333" t="str">
        <x:v>80.4</x:v>
      </x:c>
      <x:c r="AE12" s="333" t="str">
        <x:v>80.4</x:v>
      </x:c>
      <x:c r="AF12" s="333" t="str">
        <x:v>319.662765</x:v>
      </x:c>
      <x:c r="AG12" s="333" t="str">
        <x:v>0.337235</x:v>
      </x:c>
      <x:c r="AH12" s="333" t="str">
        <x:v>0.000000</x:v>
      </x:c>
      <x:c r="AI12" s="333" t="str">
        <x:v>MATCHED</x:v>
      </x:c>
      <x:c r="AJ12" s="333" t="str">
        <x:v>PROBABLE</x:v>
      </x:c>
      <x:c r="AK12" s="333" t="str">
        <x:v>0.890</x:v>
      </x:c>
      <x:c r="AL12" s="333" t="str">
        <x:v>frame_0000161.png</x:v>
      </x:c>
    </x:row>
    <x:row r="13" ht="38" customHeight="1">
      <x:c r="A13" s="333" t="str">
        <x:v>322.000</x:v>
      </x:c>
      <x:c r="B13" s="333" t="str">
        <x:v>16</x:v>
      </x:c>
      <x:c r="C13" s="333" t="str">
        <x:v>1</x:v>
      </x:c>
      <x:c r="D13" s="333" t="str">
        <x:v>17</x:v>
      </x:c>
      <x:c r="E13" s="333" t="str">
        <x:v>16.340000</x:v>
      </x:c>
      <x:c r="F13" s="333" t="str">
        <x:v>16.270000</x:v>
      </x:c>
      <x:c r="G13" s="333" t="str">
        <x:v>16.340000</x:v>
      </x:c>
      <x:c r="H13" s="333" t="str">
        <x:v>16.340000</x:v>
      </x:c>
      <x:c r="I13" s="333" t="str">
        <x:v>16.410000</x:v>
      </x:c>
      <x:c r="J13" s="333" t="str">
        <x:v>16.340000</x:v>
      </x:c>
      <x:c r="K13" s="333" t="str">
        <x:v>16.340000</x:v>
      </x:c>
      <x:c r="L13" s="333" t="str">
        <x:v>16.380000</x:v>
      </x:c>
      <x:c r="M13" s="333" t="str">
        <x:v>16.370000</x:v>
      </x:c>
      <x:c r="N13" s="333" t="str">
        <x:v>16.320000</x:v>
      </x:c>
      <x:c r="O13" s="333" t="str">
        <x:v>16.340000</x:v>
      </x:c>
      <x:c r="P13" s="333" t="str">
        <x:v>16.340000</x:v>
      </x:c>
      <x:c r="Q13" s="333" t="str">
        <x:v>16.390000</x:v>
      </x:c>
      <x:c r="R13" s="333" t="str">
        <x:v>16.340000</x:v>
      </x:c>
      <x:c r="S13" s="333" t="str">
        <x:v>16.340000</x:v>
      </x:c>
      <x:c r="T13" s="333" t="str">
        <x:v>16.390000</x:v>
      </x:c>
      <x:c r="U13" s="333" t="str">
        <x:v>16.290000</x:v>
      </x:c>
      <x:c r="V13" s="333" t="str">
        <x:v>277.880000</x:v>
      </x:c>
      <x:c r="W13" s="333" t="str">
        <x:v>277.820000</x:v>
      </x:c>
      <x:c r="X13" s="333" t="str">
        <x:v>0.140000</x:v>
      </x:c>
      <x:c r="Y13" s="333" t="str">
        <x:v>0.070000</x:v>
      </x:c>
      <x:c r="Z13" s="333" t="str">
        <x:v>49.5</x:v>
      </x:c>
      <x:c r="AA13" s="333" t="str">
        <x:v>DISCHARGING</x:v>
      </x:c>
      <x:c r="AB13" s="333" t="str">
        <x:v>3.27</x:v>
      </x:c>
      <x:c r="AC13" s="333" t="str">
        <x:v>80.4</x:v>
      </x:c>
      <x:c r="AD13" s="333" t="str">
        <x:v>80.4</x:v>
      </x:c>
      <x:c r="AE13" s="333" t="str">
        <x:v>80.6</x:v>
      </x:c>
      <x:c r="AF13" s="333" t="str">
        <x:v>321.744908</x:v>
      </x:c>
      <x:c r="AG13" s="333" t="str">
        <x:v>0.255092</x:v>
      </x:c>
      <x:c r="AH13" s="333" t="str">
        <x:v>0.000000</x:v>
      </x:c>
      <x:c r="AI13" s="333" t="str">
        <x:v>MATCHED</x:v>
      </x:c>
      <x:c r="AJ13" s="333" t="str">
        <x:v>PROBABLE</x:v>
      </x:c>
      <x:c r="AK13" s="333" t="str">
        <x:v>0.790</x:v>
      </x:c>
      <x:c r="AL13" s="333" t="str">
        <x:v>frame_0000162.png</x:v>
      </x:c>
    </x:row>
    <x:row r="14" ht="38" customHeight="1">
      <x:c r="A14" s="333" t="str">
        <x:v>324.000</x:v>
      </x:c>
      <x:c r="B14" s="333" t="str">
        <x:v>17</x:v>
      </x:c>
      <x:c r="C14" s="333" t="str">
        <x:v>0</x:v>
      </x:c>
      <x:c r="D14" s="333" t="str"/>
      <x:c r="E14" s="333" t="str">
        <x:v>16.290000</x:v>
      </x:c>
      <x:c r="F14" s="333" t="str">
        <x:v>16.340000</x:v>
      </x:c>
      <x:c r="G14" s="333" t="str">
        <x:v>16.340000</x:v>
      </x:c>
      <x:c r="H14" s="333" t="str">
        <x:v>16.370000</x:v>
      </x:c>
      <x:c r="I14" s="333" t="str">
        <x:v>16.390000</x:v>
      </x:c>
      <x:c r="J14" s="333" t="str">
        <x:v>16.370000</x:v>
      </x:c>
      <x:c r="K14" s="333" t="str">
        <x:v>16.340000</x:v>
      </x:c>
      <x:c r="L14" s="333" t="str">
        <x:v>16.380000</x:v>
      </x:c>
      <x:c r="M14" s="333" t="str">
        <x:v>16.370000</x:v>
      </x:c>
      <x:c r="N14" s="333" t="str">
        <x:v>16.320000</x:v>
      </x:c>
      <x:c r="O14" s="333" t="str">
        <x:v>16.340000</x:v>
      </x:c>
      <x:c r="P14" s="333" t="str">
        <x:v>16.340000</x:v>
      </x:c>
      <x:c r="Q14" s="333" t="str">
        <x:v>16.320000</x:v>
      </x:c>
      <x:c r="R14" s="333" t="str">
        <x:v>16.390000</x:v>
      </x:c>
      <x:c r="S14" s="333" t="str">
        <x:v>16.340000</x:v>
      </x:c>
      <x:c r="T14" s="333" t="str">
        <x:v>16.320000</x:v>
      </x:c>
      <x:c r="U14" s="333" t="str">
        <x:v>16.240000</x:v>
      </x:c>
      <x:c r="V14" s="333" t="str">
        <x:v>277.800000</x:v>
      </x:c>
      <x:c r="W14" s="333" t="str">
        <x:v>277.800000</x:v>
      </x:c>
      <x:c r="X14" s="333" t="str">
        <x:v>0.150000</x:v>
      </x:c>
      <x:c r="Y14" s="333" t="str">
        <x:v>0.100000</x:v>
      </x:c>
      <x:c r="Z14" s="333" t="str">
        <x:v>49.5</x:v>
      </x:c>
      <x:c r="AA14" s="333" t="str">
        <x:v>DISCHARGING</x:v>
      </x:c>
      <x:c r="AB14" s="333" t="str">
        <x:v>3.27</x:v>
      </x:c>
      <x:c r="AC14" s="333" t="str">
        <x:v>80.4</x:v>
      </x:c>
      <x:c r="AD14" s="333" t="str">
        <x:v>80.4</x:v>
      </x:c>
      <x:c r="AE14" s="333" t="str">
        <x:v>80.4</x:v>
      </x:c>
      <x:c r="AF14" s="333" t="str">
        <x:v>323.795469</x:v>
      </x:c>
      <x:c r="AG14" s="333" t="str">
        <x:v>0.204531</x:v>
      </x:c>
      <x:c r="AH14" s="333" t="str">
        <x:v>0.000000</x:v>
      </x:c>
      <x:c r="AI14" s="333" t="str">
        <x:v>MATCHED</x:v>
      </x:c>
      <x:c r="AJ14" s="333" t="str">
        <x:v>PROBABLE</x:v>
      </x:c>
      <x:c r="AK14" s="333" t="str">
        <x:v>0.890</x:v>
      </x:c>
      <x:c r="AL14" s="333" t="str">
        <x:v>frame_0000163.png</x:v>
      </x:c>
    </x:row>
    <x:row r="15" ht="38" customHeight="1">
      <x:c r="A15" s="333" t="str">
        <x:v>326.000</x:v>
      </x:c>
      <x:c r="B15" s="333" t="str">
        <x:v>17</x:v>
      </x:c>
      <x:c r="C15" s="333" t="str">
        <x:v>0</x:v>
      </x:c>
      <x:c r="D15" s="333" t="str"/>
      <x:c r="E15" s="333" t="str">
        <x:v>16.290000</x:v>
      </x:c>
      <x:c r="F15" s="333" t="str">
        <x:v>16.340000</x:v>
      </x:c>
      <x:c r="G15" s="333" t="str">
        <x:v>16.320000</x:v>
      </x:c>
      <x:c r="H15" s="333" t="str">
        <x:v>16.340000</x:v>
      </x:c>
      <x:c r="I15" s="333" t="str">
        <x:v>16.390000</x:v>
      </x:c>
      <x:c r="J15" s="333" t="str">
        <x:v>16.340000</x:v>
      </x:c>
      <x:c r="K15" s="333" t="str">
        <x:v>16.320000</x:v>
      </x:c>
      <x:c r="L15" s="333" t="str">
        <x:v>16.370000</x:v>
      </x:c>
      <x:c r="M15" s="333" t="str">
        <x:v>16.370000</x:v>
      </x:c>
      <x:c r="N15" s="333" t="str">
        <x:v>16.290000</x:v>
      </x:c>
      <x:c r="O15" s="333" t="str">
        <x:v>16.320000</x:v>
      </x:c>
      <x:c r="P15" s="333" t="str">
        <x:v>16.320000</x:v>
      </x:c>
      <x:c r="Q15" s="333" t="str">
        <x:v>16.320000</x:v>
      </x:c>
      <x:c r="R15" s="333" t="str">
        <x:v>16.370000</x:v>
      </x:c>
      <x:c r="S15" s="333" t="str">
        <x:v>16.340000</x:v>
      </x:c>
      <x:c r="T15" s="333" t="str">
        <x:v>16.290000</x:v>
      </x:c>
      <x:c r="U15" s="333" t="str">
        <x:v>16.240000</x:v>
      </x:c>
      <x:c r="V15" s="333" t="str">
        <x:v>277.570000</x:v>
      </x:c>
      <x:c r="W15" s="333" t="str">
        <x:v>277.570000</x:v>
      </x:c>
      <x:c r="X15" s="333" t="str">
        <x:v>0.150000</x:v>
      </x:c>
      <x:c r="Y15" s="333" t="str">
        <x:v>0.090000</x:v>
      </x:c>
      <x:c r="Z15" s="333" t="str">
        <x:v>49.5</x:v>
      </x:c>
      <x:c r="AA15" s="333" t="str">
        <x:v>DISCHARGING</x:v>
      </x:c>
      <x:c r="AB15" s="333" t="str">
        <x:v>3.06</x:v>
      </x:c>
      <x:c r="AC15" s="333" t="str">
        <x:v>80.4</x:v>
      </x:c>
      <x:c r="AD15" s="333" t="str">
        <x:v>80.4</x:v>
      </x:c>
      <x:c r="AE15" s="333" t="str">
        <x:v>80.4</x:v>
      </x:c>
      <x:c r="AF15" s="333" t="str">
        <x:v>325.885357</x:v>
      </x:c>
      <x:c r="AG15" s="333" t="str">
        <x:v>0.114643</x:v>
      </x:c>
      <x:c r="AH15" s="333" t="str">
        <x:v>0.000000</x:v>
      </x:c>
      <x:c r="AI15" s="333" t="str">
        <x:v>MATCHED</x:v>
      </x:c>
      <x:c r="AJ15" s="333" t="str">
        <x:v>PROBABLE</x:v>
      </x:c>
      <x:c r="AK15" s="333" t="str">
        <x:v>0.890</x:v>
      </x:c>
      <x:c r="AL15" s="333" t="str">
        <x:v>frame_0000164.png</x:v>
      </x:c>
    </x:row>
    <x:row r="16" ht="38" customHeight="1">
      <x:c r="A16" s="333" t="str">
        <x:v>328.000</x:v>
      </x:c>
      <x:c r="B16" s="333" t="str">
        <x:v>16</x:v>
      </x:c>
      <x:c r="C16" s="333" t="str">
        <x:v>1</x:v>
      </x:c>
      <x:c r="D16" s="333" t="str">
        <x:v>12</x:v>
      </x:c>
      <x:c r="E16" s="333" t="str">
        <x:v>16.290000</x:v>
      </x:c>
      <x:c r="F16" s="333" t="str">
        <x:v>16.320000</x:v>
      </x:c>
      <x:c r="G16" s="333" t="str">
        <x:v>16.320000</x:v>
      </x:c>
      <x:c r="H16" s="333" t="str">
        <x:v>16.340000</x:v>
      </x:c>
      <x:c r="I16" s="333" t="str">
        <x:v>16.390000</x:v>
      </x:c>
      <x:c r="J16" s="333" t="str">
        <x:v>16.320000</x:v>
      </x:c>
      <x:c r="K16" s="333" t="str">
        <x:v>16.320000</x:v>
      </x:c>
      <x:c r="L16" s="333" t="str">
        <x:v>16.350000</x:v>
      </x:c>
      <x:c r="M16" s="333" t="str">
        <x:v>16.290000</x:v>
      </x:c>
      <x:c r="N16" s="333" t="str">
        <x:v>16.320000</x:v>
      </x:c>
      <x:c r="O16" s="333" t="str">
        <x:v>16.340000</x:v>
      </x:c>
      <x:c r="P16" s="333" t="str">
        <x:v>16.270000</x:v>
      </x:c>
      <x:c r="Q16" s="333" t="str">
        <x:v>16.370000</x:v>
      </x:c>
      <x:c r="R16" s="333" t="str">
        <x:v>16.340000</x:v>
      </x:c>
      <x:c r="S16" s="333" t="str">
        <x:v>16.320000</x:v>
      </x:c>
      <x:c r="T16" s="333" t="str">
        <x:v>16.340000</x:v>
      </x:c>
      <x:c r="U16" s="333" t="str">
        <x:v>16.240000</x:v>
      </x:c>
      <x:c r="V16" s="333" t="str">
        <x:v>277.480000</x:v>
      </x:c>
      <x:c r="W16" s="333" t="str">
        <x:v>277.480000</x:v>
      </x:c>
      <x:c r="X16" s="333" t="str">
        <x:v>0.150000</x:v>
      </x:c>
      <x:c r="Y16" s="333" t="str">
        <x:v>0.080000</x:v>
      </x:c>
      <x:c r="Z16" s="333" t="str">
        <x:v>49.5</x:v>
      </x:c>
      <x:c r="AA16" s="333" t="str">
        <x:v>DISCHARGING</x:v>
      </x:c>
      <x:c r="AB16" s="333" t="str">
        <x:v>3.27</x:v>
      </x:c>
      <x:c r="AC16" s="333" t="str">
        <x:v>80.4</x:v>
      </x:c>
      <x:c r="AD16" s="333" t="str">
        <x:v>80.4</x:v>
      </x:c>
      <x:c r="AE16" s="333" t="str">
        <x:v>80.4</x:v>
      </x:c>
      <x:c r="AF16" s="333" t="str">
        <x:v>327.977398</x:v>
      </x:c>
      <x:c r="AG16" s="333" t="str">
        <x:v>0.022602</x:v>
      </x:c>
      <x:c r="AH16" s="333" t="str">
        <x:v>0.000000</x:v>
      </x:c>
      <x:c r="AI16" s="333" t="str">
        <x:v>MATCHED</x:v>
      </x:c>
      <x:c r="AJ16" s="333" t="str">
        <x:v>PROBABLE</x:v>
      </x:c>
      <x:c r="AK16" s="333" t="str">
        <x:v>0.790</x:v>
      </x:c>
      <x:c r="AL16" s="333" t="str">
        <x:v>frame_0000165.png</x:v>
      </x:c>
    </x:row>
    <x:row r="17" ht="38" customHeight="1">
      <x:c r="A17" s="333" t="str">
        <x:v>330.000</x:v>
      </x:c>
      <x:c r="B17" s="333" t="str">
        <x:v>15</x:v>
      </x:c>
      <x:c r="C17" s="333" t="str">
        <x:v>2</x:v>
      </x:c>
      <x:c r="D17" s="333" t="str">
        <x:v>1;9</x:v>
      </x:c>
      <x:c r="E17" s="333" t="str">
        <x:v>16.270000</x:v>
      </x:c>
      <x:c r="F17" s="333" t="str">
        <x:v>16.340000</x:v>
      </x:c>
      <x:c r="G17" s="333" t="str">
        <x:v>16.290000</x:v>
      </x:c>
      <x:c r="H17" s="333" t="str">
        <x:v>16.340000</x:v>
      </x:c>
      <x:c r="I17" s="333" t="str">
        <x:v>16.370000</x:v>
      </x:c>
      <x:c r="J17" s="333" t="str">
        <x:v>16.340000</x:v>
      </x:c>
      <x:c r="K17" s="333" t="str">
        <x:v>16.290000</x:v>
      </x:c>
      <x:c r="L17" s="333" t="str">
        <x:v>16.380000</x:v>
      </x:c>
      <x:c r="M17" s="333" t="str">
        <x:v>16.270000</x:v>
      </x:c>
      <x:c r="N17" s="333" t="str">
        <x:v>16.320000</x:v>
      </x:c>
      <x:c r="O17" s="333" t="str">
        <x:v>16.340000</x:v>
      </x:c>
      <x:c r="P17" s="333" t="str">
        <x:v>16.240000</x:v>
      </x:c>
      <x:c r="Q17" s="333" t="str">
        <x:v>16.370000</x:v>
      </x:c>
      <x:c r="R17" s="333" t="str">
        <x:v>16.340000</x:v>
      </x:c>
      <x:c r="S17" s="333" t="str">
        <x:v>16.320000</x:v>
      </x:c>
      <x:c r="T17" s="333" t="str">
        <x:v>16.370000</x:v>
      </x:c>
      <x:c r="U17" s="333" t="str">
        <x:v>16.240000</x:v>
      </x:c>
      <x:c r="V17" s="333" t="str">
        <x:v>277.430000</x:v>
      </x:c>
      <x:c r="W17" s="333" t="str">
        <x:v>277.430000</x:v>
      </x:c>
      <x:c r="X17" s="333" t="str">
        <x:v>0.140000</x:v>
      </x:c>
      <x:c r="Y17" s="333" t="str">
        <x:v>0.080000</x:v>
      </x:c>
      <x:c r="Z17" s="333" t="str">
        <x:v>49.5</x:v>
      </x:c>
      <x:c r="AA17" s="333" t="str">
        <x:v>DISCHARGING</x:v>
      </x:c>
      <x:c r="AB17" s="333" t="str">
        <x:v>3.27</x:v>
      </x:c>
      <x:c r="AC17" s="333" t="str">
        <x:v>80.4</x:v>
      </x:c>
      <x:c r="AD17" s="333" t="str">
        <x:v>80.4</x:v>
      </x:c>
      <x:c r="AE17" s="333" t="str">
        <x:v>80.4</x:v>
      </x:c>
      <x:c r="AF17" s="333" t="str">
        <x:v>330.064976</x:v>
      </x:c>
      <x:c r="AG17" s="333" t="str">
        <x:v>0.064976</x:v>
      </x:c>
      <x:c r="AH17" s="333" t="str">
        <x:v>0.000000</x:v>
      </x:c>
      <x:c r="AI17" s="333" t="str">
        <x:v>MATCHED</x:v>
      </x:c>
      <x:c r="AJ17" s="333" t="str">
        <x:v>PROBABLE</x:v>
      </x:c>
      <x:c r="AK17" s="333" t="str">
        <x:v>0.790</x:v>
      </x:c>
      <x:c r="AL17" s="333" t="str">
        <x:v>frame_0000166.png</x:v>
      </x:c>
    </x:row>
    <x:row r="18" ht="38" customHeight="1">
      <x:c r="A18" s="333" t="str">
        <x:v>332.000</x:v>
      </x:c>
      <x:c r="B18" s="333" t="str">
        <x:v>15</x:v>
      </x:c>
      <x:c r="C18" s="333" t="str">
        <x:v>2</x:v>
      </x:c>
      <x:c r="D18" s="333" t="str">
        <x:v>1;9</x:v>
      </x:c>
      <x:c r="E18" s="333" t="str">
        <x:v>16.270000</x:v>
      </x:c>
      <x:c r="F18" s="333" t="str">
        <x:v>16.320000</x:v>
      </x:c>
      <x:c r="G18" s="333" t="str">
        <x:v>16.290000</x:v>
      </x:c>
      <x:c r="H18" s="333" t="str">
        <x:v>16.340000</x:v>
      </x:c>
      <x:c r="I18" s="333" t="str">
        <x:v>16.370000</x:v>
      </x:c>
      <x:c r="J18" s="333" t="str">
        <x:v>16.320000</x:v>
      </x:c>
      <x:c r="K18" s="333" t="str">
        <x:v>16.290000</x:v>
      </x:c>
      <x:c r="L18" s="333" t="str">
        <x:v>16.350000</x:v>
      </x:c>
      <x:c r="M18" s="333" t="str">
        <x:v>16.270000</x:v>
      </x:c>
      <x:c r="N18" s="333" t="str">
        <x:v>16.290000</x:v>
      </x:c>
      <x:c r="O18" s="333" t="str">
        <x:v>16.320000</x:v>
      </x:c>
      <x:c r="P18" s="333" t="str">
        <x:v>16.240000</x:v>
      </x:c>
      <x:c r="Q18" s="333" t="str">
        <x:v>16.340000</x:v>
      </x:c>
      <x:c r="R18" s="333" t="str">
        <x:v>16.320000</x:v>
      </x:c>
      <x:c r="S18" s="333" t="str">
        <x:v>16.290000</x:v>
      </x:c>
      <x:c r="T18" s="333" t="str">
        <x:v>16.340000</x:v>
      </x:c>
      <x:c r="U18" s="333" t="str">
        <x:v>16.240000</x:v>
      </x:c>
      <x:c r="V18" s="333" t="str">
        <x:v>277.200000</x:v>
      </x:c>
      <x:c r="W18" s="333" t="str">
        <x:v>277.200000</x:v>
      </x:c>
      <x:c r="X18" s="333" t="str">
        <x:v>0.130000</x:v>
      </x:c>
      <x:c r="Y18" s="333" t="str">
        <x:v>0.070000</x:v>
      </x:c>
      <x:c r="Z18" s="333" t="str">
        <x:v>49.5</x:v>
      </x:c>
      <x:c r="AA18" s="333" t="str">
        <x:v>DISCHARGING</x:v>
      </x:c>
      <x:c r="AB18" s="333" t="str">
        <x:v>3.17</x:v>
      </x:c>
      <x:c r="AC18" s="333" t="str">
        <x:v>80.4</x:v>
      </x:c>
      <x:c r="AD18" s="333" t="str">
        <x:v>80.4</x:v>
      </x:c>
      <x:c r="AE18" s="333" t="str">
        <x:v>80.4</x:v>
      </x:c>
      <x:c r="AF18" s="333" t="str">
        <x:v>332.163792</x:v>
      </x:c>
      <x:c r="AG18" s="333" t="str">
        <x:v>0.163792</x:v>
      </x:c>
      <x:c r="AH18" s="333" t="str">
        <x:v>0.000000</x:v>
      </x:c>
      <x:c r="AI18" s="333" t="str">
        <x:v>MATCHED</x:v>
      </x:c>
      <x:c r="AJ18" s="333" t="str">
        <x:v>PROBABLE</x:v>
      </x:c>
      <x:c r="AK18" s="333" t="str">
        <x:v>0.790</x:v>
      </x:c>
      <x:c r="AL18" s="333" t="str">
        <x:v>frame_0000167.png</x:v>
      </x:c>
    </x:row>
    <x:row r="19" ht="38" customHeight="1">
      <x:c r="A19" s="333" t="str">
        <x:v>334.000</x:v>
      </x:c>
      <x:c r="B19" s="333" t="str">
        <x:v>17</x:v>
      </x:c>
      <x:c r="C19" s="333" t="str">
        <x:v>0</x:v>
      </x:c>
      <x:c r="D19" s="333" t="str"/>
      <x:c r="E19" s="333" t="str">
        <x:v>16.270000</x:v>
      </x:c>
      <x:c r="F19" s="333" t="str">
        <x:v>16.320000</x:v>
      </x:c>
      <x:c r="G19" s="333" t="str">
        <x:v>16.290000</x:v>
      </x:c>
      <x:c r="H19" s="333" t="str">
        <x:v>16.340000</x:v>
      </x:c>
      <x:c r="I19" s="333" t="str">
        <x:v>16.370000</x:v>
      </x:c>
      <x:c r="J19" s="333" t="str">
        <x:v>16.320000</x:v>
      </x:c>
      <x:c r="K19" s="333" t="str">
        <x:v>16.290000</x:v>
      </x:c>
      <x:c r="L19" s="333" t="str">
        <x:v>16.330000</x:v>
      </x:c>
      <x:c r="M19" s="333" t="str">
        <x:v>16.270000</x:v>
      </x:c>
      <x:c r="N19" s="333" t="str">
        <x:v>16.290000</x:v>
      </x:c>
      <x:c r="O19" s="333" t="str">
        <x:v>16.320000</x:v>
      </x:c>
      <x:c r="P19" s="333" t="str">
        <x:v>16.220000</x:v>
      </x:c>
      <x:c r="Q19" s="333" t="str">
        <x:v>16.340000</x:v>
      </x:c>
      <x:c r="R19" s="333" t="str">
        <x:v>16.320000</x:v>
      </x:c>
      <x:c r="S19" s="333" t="str">
        <x:v>16.290000</x:v>
      </x:c>
      <x:c r="T19" s="333" t="str">
        <x:v>16.340000</x:v>
      </x:c>
      <x:c r="U19" s="333" t="str">
        <x:v>16.220000</x:v>
      </x:c>
      <x:c r="V19" s="333" t="str">
        <x:v>277.140000</x:v>
      </x:c>
      <x:c r="W19" s="333" t="str">
        <x:v>277.140000</x:v>
      </x:c>
      <x:c r="X19" s="333" t="str">
        <x:v>0.150000</x:v>
      </x:c>
      <x:c r="Y19" s="333" t="str">
        <x:v>0.080000</x:v>
      </x:c>
      <x:c r="Z19" s="333" t="str">
        <x:v>49.5</x:v>
      </x:c>
      <x:c r="AA19" s="333" t="str">
        <x:v>DISCHARGING</x:v>
      </x:c>
      <x:c r="AB19" s="333" t="str">
        <x:v>3.15</x:v>
      </x:c>
      <x:c r="AC19" s="333" t="str">
        <x:v>80.4</x:v>
      </x:c>
      <x:c r="AD19" s="333" t="str">
        <x:v>80.4</x:v>
      </x:c>
      <x:c r="AE19" s="333" t="str">
        <x:v>80.4</x:v>
      </x:c>
      <x:c r="AF19" s="333" t="str">
        <x:v>334.247864</x:v>
      </x:c>
      <x:c r="AG19" s="333" t="str">
        <x:v>0.247864</x:v>
      </x:c>
      <x:c r="AH19" s="333" t="str">
        <x:v>0.000000</x:v>
      </x:c>
      <x:c r="AI19" s="333" t="str">
        <x:v>MATCHED</x:v>
      </x:c>
      <x:c r="AJ19" s="333" t="str">
        <x:v>PROBABLE</x:v>
      </x:c>
      <x:c r="AK19" s="333" t="str">
        <x:v>0.890</x:v>
      </x:c>
      <x:c r="AL19" s="333" t="str">
        <x:v>frame_0000168.png</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48" hidden="0" customWidth="1"/>
    <x:col min="2" max="2" width="25" hidden="0" customWidth="1"/>
    <x:col min="3" max="3" width="15" hidden="0" customWidth="1"/>
    <x:col min="4" max="4" width="15" hidden="0" customWidth="1"/>
    <x:col min="5" max="5" width="15" hidden="0" customWidth="1"/>
    <x:col min="6" max="6" width="27" hidden="0" customWidth="1"/>
    <x:col min="7" max="7" width="28" hidden="0" customWidth="1"/>
    <x:col min="8" max="8" width="28" hidden="0" customWidth="1"/>
    <x:col min="9" max="9" width="31" hidden="0" customWidth="1"/>
    <x:col min="10" max="10" width="31" hidden="0" customWidth="1"/>
    <x:col min="11" max="11" width="14" hidden="0" customWidth="1"/>
    <x:col min="12" max="12" width="58" hidden="0" customWidth="1"/>
    <x:col min="13" max="13" width="78" hidden="0" customWidth="1"/>
  </x:cols>
  <x:sheetData>
    <x:row r="1" ht="34" customHeight="1">
      <x:c r="A1" s="336" t="str">
        <x:v>Key</x:v>
      </x:c>
      <x:c r="B1" s="336" t="str">
        <x:v>Profile</x:v>
      </x:c>
      <x:c r="C1" s="336" t="str">
        <x:v>Request ID</x:v>
      </x:c>
      <x:c r="D1" s="336" t="str">
        <x:v>Response ID</x:v>
      </x:c>
      <x:c r="E1" s="336" t="str">
        <x:v>Service/PID</x:v>
      </x:c>
      <x:c r="F1" s="336" t="str">
        <x:v>Decoder</x:v>
      </x:c>
      <x:c r="G1" s="336" t="str">
        <x:v>Repeat / Layout</x:v>
      </x:c>
      <x:c r="H1" s="336" t="str">
        <x:v>Bounds</x:v>
      </x:c>
      <x:c r="I1" s="336" t="str">
        <x:v>Safety Class</x:v>
      </x:c>
      <x:c r="J1" s="336" t="str">
        <x:v>Evidence Grade</x:v>
      </x:c>
      <x:c r="K1" s="336" t="str">
        <x:v>Transport</x:v>
      </x:c>
      <x:c r="L1" s="336" t="str">
        <x:v>Source</x:v>
      </x:c>
      <x:c r="M1" s="336" t="str">
        <x:v>Validation / Notes</x:v>
      </x:c>
    </x:row>
    <x:row r="2" ht="64" customHeight="1">
      <x:c r="A2" s="333" t="str">
        <x:v>AHV40_HYBRID_ECU_21CE_BLOCK_VOLTAGES</x:v>
      </x:c>
      <x:c r="B2" s="333" t="str">
        <x:v>CAMRY_HYBRID_GEN1</x:v>
      </x:c>
      <x:c r="C2" s="333" t="str">
        <x:v>7E2h</x:v>
      </x:c>
      <x:c r="D2" s="333" t="str">
        <x:v>7EAh</x:v>
      </x:c>
      <x:c r="E2" s="333" t="str">
        <x:v>21CEh</x:v>
      </x:c>
      <x:c r="F2" s="333" t="str">
        <x:v>block_array</x:v>
      </x:c>
      <x:c r="G2" s="333" t="str">
        <x:v>17 × 2 byte big; (raw -32768) × 0.01 V</x:v>
      </x:c>
      <x:c r="H2" s="333" t="str">
        <x:v>5 to 25</x:v>
      </x:c>
      <x:c r="I2" s="333" t="str">
        <x:v>READ_ONLY_DIAGNOSTIC</x:v>
      </x:c>
      <x:c r="J2" s="333" t="str">
        <x:v>PROBABLE</x:v>
      </x:c>
      <x:c r="K2" s="333" t="str">
        <x:v>ISO-TP</x:v>
      </x:c>
      <x:c r="L2" s="333" t="str">
        <x:v>S0010 and S0012 2007 Camry Hybrid; Hybrid Assistant Battery Check screen; CYD logger v2.4.2</x:v>
      </x:c>
      <x:c r="M2" s="333" t="str">
        <x:v>S0010 video near 200 s reproduced the displayed graph (average 15.316 V, difference 0.120 V, pack sum 260.38 V); S0012 independently reconstructed 351 complete 17-block samples. Promote after an independent vehicle capture or Techstream/AP200 corroboration.</x:v>
      </x:c>
    </x:row>
    <x:row r="3" ht="64" customHeight="1">
      <x:c r="A3" s="333" t="str">
        <x:v>AHV40_BATTERY_ECU_2101_SOC_CURRENT_VOLTAGE</x:v>
      </x:c>
      <x:c r="B3" s="333" t="str">
        <x:v>CAMRY_HYBRID_GEN1</x:v>
      </x:c>
      <x:c r="C3" s="333" t="str">
        <x:v>7E3h</x:v>
      </x:c>
      <x:c r="D3" s="333" t="str">
        <x:v>7EBh</x:v>
      </x:c>
      <x:c r="E3" s="333" t="str">
        <x:v>2101h</x:v>
      </x:c>
      <x:c r="F3" s="333" t="str">
        <x:v>catalog_candidate</x:v>
      </x:c>
      <x:c r="G3" s="333" t="str">
        <x:v>See notes</x:v>
      </x:c>
      <x:c r="H3" s="333" t="str">
        <x:v>Unvalidated</x:v>
      </x:c>
      <x:c r="I3" s="333" t="str">
        <x:v>READ_ONLY_DIAGNOSTIC</x:v>
      </x:c>
      <x:c r="J3" s="333" t="str">
        <x:v>CANDIDATE</x:v>
      </x:c>
      <x:c r="K3" s="333" t="str">
        <x:v>ISO-TP</x:v>
      </x:c>
      <x:c r="L3" s="333" t="str">
        <x:v>2007-2011 camry hybrid PID table - Google Search.pdf</x:v>
      </x:c>
      <x:c r="M3" s="333" t="str">
        <x:v>Candidate fields: SoC A/2; signed current ((B*256)+C)/100; voltage ((D*256)+E)/10. Not observed in S0010.</x:v>
      </x:c>
    </x:row>
    <x:row r="4" ht="64" customHeight="1">
      <x:c r="A4" s="333" t="str">
        <x:v>AHV40_BATTERY_ECU_2102_TEMPERATURES</x:v>
      </x:c>
      <x:c r="B4" s="333" t="str">
        <x:v>CAMRY_HYBRID_GEN1</x:v>
      </x:c>
      <x:c r="C4" s="333" t="str">
        <x:v>7E3h</x:v>
      </x:c>
      <x:c r="D4" s="333" t="str">
        <x:v>7EBh</x:v>
      </x:c>
      <x:c r="E4" s="333" t="str">
        <x:v>2102h</x:v>
      </x:c>
      <x:c r="F4" s="333" t="str">
        <x:v>catalog_candidate</x:v>
      </x:c>
      <x:c r="G4" s="333" t="str">
        <x:v>See notes</x:v>
      </x:c>
      <x:c r="H4" s="333" t="str">
        <x:v>Unvalidated</x:v>
      </x:c>
      <x:c r="I4" s="333" t="str">
        <x:v>READ_ONLY_DIAGNOSTIC</x:v>
      </x:c>
      <x:c r="J4" s="333" t="str">
        <x:v>CANDIDATE</x:v>
      </x:c>
      <x:c r="K4" s="333" t="str">
        <x:v>ISO-TP</x:v>
      </x:c>
      <x:c r="L4" s="333" t="str">
        <x:v>2007-2011 camry hybrid PID table - Google Search.pdf</x:v>
      </x:c>
      <x:c r="M4" s="333" t="str">
        <x:v>Candidate temperatures A-40, B-40, C-40 deg C. Not observed in S0010.</x:v>
      </x:c>
    </x:row>
    <x:row r="5" ht="64" customHeight="1">
      <x:c r="A5" s="333" t="str">
        <x:v>AHV40_HYBRID_ECU_2122_MG_STATOR_TEMPERATURES</x:v>
      </x:c>
      <x:c r="B5" s="333" t="str">
        <x:v>CAMRY_HYBRID_GEN1</x:v>
      </x:c>
      <x:c r="C5" s="333" t="str">
        <x:v>7E2h</x:v>
      </x:c>
      <x:c r="D5" s="333" t="str">
        <x:v>7EAh</x:v>
      </x:c>
      <x:c r="E5" s="333" t="str">
        <x:v>2122h</x:v>
      </x:c>
      <x:c r="F5" s="333" t="str">
        <x:v>catalog_candidate</x:v>
      </x:c>
      <x:c r="G5" s="333" t="str">
        <x:v>See notes</x:v>
      </x:c>
      <x:c r="H5" s="333" t="str">
        <x:v>Unvalidated</x:v>
      </x:c>
      <x:c r="I5" s="333" t="str">
        <x:v>READ_ONLY_DIAGNOSTIC</x:v>
      </x:c>
      <x:c r="J5" s="333" t="str">
        <x:v>CANDIDATE</x:v>
      </x:c>
      <x:c r="K5" s="333" t="str">
        <x:v>ISO-TP</x:v>
      </x:c>
      <x:c r="L5" s="333" t="str">
        <x:v>2007-2011 camry hybrid PID table - Google Search.pdf</x:v>
      </x:c>
      <x:c r="M5" s="333" t="str">
        <x:v>Candidate MG1/MG2 stator temperatures; not observed in S0010.</x:v>
      </x:c>
    </x:row>
    <x:row r="6" ht="64" customHeight="1">
      <x:c r="A6" s="333" t="str">
        <x:v>AHV40_HYBRID_ECU_212B_INVERTER_TEMPERATURES</x:v>
      </x:c>
      <x:c r="B6" s="333" t="str">
        <x:v>CAMRY_HYBRID_GEN1</x:v>
      </x:c>
      <x:c r="C6" s="333" t="str">
        <x:v>7E2h</x:v>
      </x:c>
      <x:c r="D6" s="333" t="str">
        <x:v>7EAh</x:v>
      </x:c>
      <x:c r="E6" s="333" t="str">
        <x:v>212Bh</x:v>
      </x:c>
      <x:c r="F6" s="333" t="str">
        <x:v>catalog_candidate</x:v>
      </x:c>
      <x:c r="G6" s="333" t="str">
        <x:v>See notes</x:v>
      </x:c>
      <x:c r="H6" s="333" t="str">
        <x:v>Unvalidated</x:v>
      </x:c>
      <x:c r="I6" s="333" t="str">
        <x:v>READ_ONLY_DIAGNOSTIC</x:v>
      </x:c>
      <x:c r="J6" s="333" t="str">
        <x:v>CANDIDATE</x:v>
      </x:c>
      <x:c r="K6" s="333" t="str">
        <x:v>ISO-TP</x:v>
      </x:c>
      <x:c r="L6" s="333" t="str">
        <x:v>2007-2011 camry hybrid PID table - Google Search.pdf</x:v>
      </x:c>
      <x:c r="M6" s="333" t="str">
        <x:v>Candidate MG1/MG2 inverter temperatures; not observed in S0010.</x:v>
      </x:c>
    </x:row>
    <x:row r="7" ht="64" customHeight="1">
      <x:c r="A7" s="333" t="str">
        <x:v>AHV40_BATTERY_ECU_2141_2144_BLOCK_VOLTAGES</x:v>
      </x:c>
      <x:c r="B7" s="333" t="str">
        <x:v>CAMRY_HYBRID_GEN1</x:v>
      </x:c>
      <x:c r="C7" s="333" t="str">
        <x:v>7E3h</x:v>
      </x:c>
      <x:c r="D7" s="333" t="str">
        <x:v>7EBh</x:v>
      </x:c>
      <x:c r="E7" s="333" t="str">
        <x:v>2141h (41-44h)</x:v>
      </x:c>
      <x:c r="F7" s="333" t="str">
        <x:v>catalog_candidate</x:v>
      </x:c>
      <x:c r="G7" s="333" t="str">
        <x:v>See notes</x:v>
      </x:c>
      <x:c r="H7" s="333" t="str">
        <x:v>Unvalidated</x:v>
      </x:c>
      <x:c r="I7" s="333" t="str">
        <x:v>READ_ONLY_DIAGNOSTIC</x:v>
      </x:c>
      <x:c r="J7" s="333" t="str">
        <x:v>CANDIDATE</x:v>
      </x:c>
      <x:c r="K7" s="333" t="str">
        <x:v>ISO-TP</x:v>
      </x:c>
      <x:c r="L7" s="333" t="str">
        <x:v>2007-2011 camry hybrid PID table - Google Search.pdf</x:v>
      </x:c>
      <x:c r="M7" s="333" t="str">
        <x:v>Seventeen block-voltage catalog candidates across 2141-2144; not requested by Hybrid Assistant in S0010 and not interchangeable with observed 7E2/21CE.</x:v>
      </x:c>
    </x:row>
    <x:row r="8" ht="64" customHeight="1">
      <x:c r="A8" s="333" t="str">
        <x:v>AHV40_BATTERY_ECU_2145_2148_INTERNAL_RESISTANCE</x:v>
      </x:c>
      <x:c r="B8" s="333" t="str">
        <x:v>CAMRY_HYBRID_GEN1</x:v>
      </x:c>
      <x:c r="C8" s="333" t="str">
        <x:v>7E3h</x:v>
      </x:c>
      <x:c r="D8" s="333" t="str">
        <x:v>7EBh</x:v>
      </x:c>
      <x:c r="E8" s="333" t="str">
        <x:v>2145h (45-48h)</x:v>
      </x:c>
      <x:c r="F8" s="333" t="str">
        <x:v>catalog_candidate</x:v>
      </x:c>
      <x:c r="G8" s="333" t="str">
        <x:v>See notes</x:v>
      </x:c>
      <x:c r="H8" s="333" t="str">
        <x:v>Unvalidated</x:v>
      </x:c>
      <x:c r="I8" s="333" t="str">
        <x:v>READ_ONLY_DIAGNOSTIC</x:v>
      </x:c>
      <x:c r="J8" s="333" t="str">
        <x:v>CANDIDATE</x:v>
      </x:c>
      <x:c r="K8" s="333" t="str">
        <x:v>ISO-TP</x:v>
      </x:c>
      <x:c r="L8" s="333" t="str">
        <x:v>2007-2011 camry hybrid PID table - Google Search.pdf</x:v>
      </x:c>
      <x:c r="M8" s="333" t="str">
        <x:v>Seventeen internal-resistance catalog candidates across 2145-2148; unobserved and unvalidated.</x:v>
      </x:c>
    </x:row>
    <x:row r="9" ht="64" customHeight="1">
      <x:c r="A9" s="333" t="str">
        <x:v>AHV40_HYBRID_ECU_13B0_READ_DTC_BY_STATUS</x:v>
      </x:c>
      <x:c r="B9" s="333" t="str">
        <x:v>CAMRY_HYBRID_GEN1</x:v>
      </x:c>
      <x:c r="C9" s="333" t="str">
        <x:v>7E2h</x:v>
      </x:c>
      <x:c r="D9" s="333" t="str">
        <x:v>7EAh</x:v>
      </x:c>
      <x:c r="E9" s="333" t="str">
        <x:v>13B0h</x:v>
      </x:c>
      <x:c r="F9" s="333" t="str">
        <x:v>dtc_status_response</x:v>
      </x:c>
      <x:c r="G9" s="333" t="str">
        <x:v>See notes</x:v>
      </x:c>
      <x:c r="H9" s="333" t="str">
        <x:v>Unvalidated</x:v>
      </x:c>
      <x:c r="I9" s="333" t="str">
        <x:v>READ_ONLY_DIAGNOSTIC</x:v>
      </x:c>
      <x:c r="J9" s="333" t="str">
        <x:v>PROBABLE</x:v>
      </x:c>
      <x:c r="K9" s="333" t="str">
        <x:v>ISO-TP</x:v>
      </x:c>
      <x:c r="L9" s="333" t="str">
        <x:v>S0012 2007 Camry Hybrid; Dr. Prius Special Features at video 291.135-294.192 s; CYD logger v2.4.2</x:v>
      </x:c>
      <x:c r="M9" s="333" t="str">
        <x:v>Observed twice with 53 00 responses while the battery-code read operation was performed; response indicates no DTC was present. Repeat with a known stored DTC is required to validate code-byte layout.</x:v>
      </x:c>
    </x:row>
    <x:row r="10" ht="64" customHeight="1">
      <x:c r="A10" s="333" t="str">
        <x:v>AHV40_HYBRID_ECU_1380_READ_DTC_BY_STATUS</x:v>
      </x:c>
      <x:c r="B10" s="333" t="str">
        <x:v>CAMRY_HYBRID_GEN1</x:v>
      </x:c>
      <x:c r="C10" s="333" t="str">
        <x:v>7E2h</x:v>
      </x:c>
      <x:c r="D10" s="333" t="str">
        <x:v>7EAh</x:v>
      </x:c>
      <x:c r="E10" s="333" t="str">
        <x:v>1380h</x:v>
      </x:c>
      <x:c r="F10" s="333" t="str">
        <x:v>dtc_status_response</x:v>
      </x:c>
      <x:c r="G10" s="333" t="str">
        <x:v>See notes</x:v>
      </x:c>
      <x:c r="H10" s="333" t="str">
        <x:v>Unvalidated</x:v>
      </x:c>
      <x:c r="I10" s="333" t="str">
        <x:v>READ_ONLY_DIAGNOSTIC</x:v>
      </x:c>
      <x:c r="J10" s="333" t="str">
        <x:v>PROBABLE</x:v>
      </x:c>
      <x:c r="K10" s="333" t="str">
        <x:v>ISO-TP</x:v>
      </x:c>
      <x:c r="L10" s="333" t="str">
        <x:v>S0012 2007 Camry Hybrid; Dr. Prius Special Features at video 291.293-294.360 s; CYD logger v2.4.2</x:v>
      </x:c>
      <x:c r="M10" s="333" t="str">
        <x:v>Observed twice with 53 00 responses during the battery-code read operation; treat B0 and 80 as separate status masks.</x:v>
      </x:c>
    </x:row>
    <x:row r="11" ht="64" customHeight="1">
      <x:c r="A11" s="333" t="str">
        <x:v>AHV40_ENGINE_ECU_13B0_READ_DTC_BY_STATUS</x:v>
      </x:c>
      <x:c r="B11" s="333" t="str">
        <x:v>CAMRY_HYBRID_GEN1</x:v>
      </x:c>
      <x:c r="C11" s="333" t="str">
        <x:v>7E0h</x:v>
      </x:c>
      <x:c r="D11" s="333" t="str">
        <x:v>7E8h</x:v>
      </x:c>
      <x:c r="E11" s="333" t="str">
        <x:v>13B0h</x:v>
      </x:c>
      <x:c r="F11" s="333" t="str">
        <x:v>dtc_status_response</x:v>
      </x:c>
      <x:c r="G11" s="333" t="str">
        <x:v>See notes</x:v>
      </x:c>
      <x:c r="H11" s="333" t="str">
        <x:v>Unvalidated</x:v>
      </x:c>
      <x:c r="I11" s="333" t="str">
        <x:v>READ_ONLY_DIAGNOSTIC</x:v>
      </x:c>
      <x:c r="J11" s="333" t="str">
        <x:v>PROBABLE</x:v>
      </x:c>
      <x:c r="K11" s="333" t="str">
        <x:v>ISO-TP</x:v>
      </x:c>
      <x:c r="L11" s="333" t="str">
        <x:v>S0012 2007 Camry Hybrid; Dr. Prius Special Features at video 299.926-305.853 s; CYD logger v2.4.2</x:v>
      </x:c>
      <x:c r="M11" s="333" t="str">
        <x:v>Observed three times with 53 00 responses while the engine-code read operation was performed; response indicates no DTC was present.</x:v>
      </x:c>
    </x:row>
    <x:row r="12" ht="64" customHeight="1">
      <x:c r="A12" s="333" t="str">
        <x:v>AHV40_HYBRID_ECU_04_CLEAR_DTC_QUARANTINED</x:v>
      </x:c>
      <x:c r="B12" s="333" t="str">
        <x:v>CAMRY_HYBRID_GEN1</x:v>
      </x:c>
      <x:c r="C12" s="333" t="str">
        <x:v>7E2h</x:v>
      </x:c>
      <x:c r="D12" s="333" t="str">
        <x:v>7EAh</x:v>
      </x:c>
      <x:c r="E12" s="333" t="str">
        <x:v>04h</x:v>
      </x:c>
      <x:c r="F12" s="333" t="str">
        <x:v>clear_dtc_acknowledgement</x:v>
      </x:c>
      <x:c r="G12" s="333" t="str">
        <x:v>See notes</x:v>
      </x:c>
      <x:c r="H12" s="333" t="str">
        <x:v>Unvalidated</x:v>
      </x:c>
      <x:c r="I12" s="333" t="str">
        <x:v>CONTROL_WRITE_QUARANTINED</x:v>
      </x:c>
      <x:c r="J12" s="333" t="str">
        <x:v>PROBABLE</x:v>
      </x:c>
      <x:c r="K12" s="333" t="str">
        <x:v>ISO-TP</x:v>
      </x:c>
      <x:c r="L12" s="333" t="str">
        <x:v>S0012 2007 Camry Hybrid; Dr. Prius Special Features at video 276.915-285.526 s; CYD logger v2.4.2</x:v>
      </x:c>
      <x:c r="M12" s="333" t="str">
        <x:v>Four passively observed requests received 44 acknowledgements during the battery-code clear operation. Never add to an automatic transmit workflow.</x:v>
      </x:c>
    </x:row>
    <x:row r="13" ht="64" customHeight="1">
      <x:c r="A13" s="333" t="str">
        <x:v>AHV40_ENGINE_ECU_04_CLEAR_DTC_QUARANTINED</x:v>
      </x:c>
      <x:c r="B13" s="333" t="str">
        <x:v>CAMRY_HYBRID_GEN1</x:v>
      </x:c>
      <x:c r="C13" s="333" t="str">
        <x:v>7E0h</x:v>
      </x:c>
      <x:c r="D13" s="333" t="str">
        <x:v>7E8h</x:v>
      </x:c>
      <x:c r="E13" s="333" t="str">
        <x:v>04h</x:v>
      </x:c>
      <x:c r="F13" s="333" t="str">
        <x:v>clear_dtc_acknowledgement</x:v>
      </x:c>
      <x:c r="G13" s="333" t="str">
        <x:v>See notes</x:v>
      </x:c>
      <x:c r="H13" s="333" t="str">
        <x:v>Unvalidated</x:v>
      </x:c>
      <x:c r="I13" s="333" t="str">
        <x:v>CONTROL_WRITE_QUARANTINED</x:v>
      </x:c>
      <x:c r="J13" s="333" t="str">
        <x:v>PROBABLE</x:v>
      </x:c>
      <x:c r="K13" s="333" t="str">
        <x:v>ISO-TP</x:v>
      </x:c>
      <x:c r="L13" s="333" t="str">
        <x:v>S0012 2007 Camry Hybrid; Dr. Prius Special Features at video 311.444-314.525 s; CYD logger v2.4.2</x:v>
      </x:c>
      <x:c r="M13" s="333" t="str">
        <x:v>Three passively observed requests received 44 acknowledgements during the engine-code clear operation. Never add to an automatic transmit workflow.</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1" hidden="0" customWidth="1"/>
    <x:col min="4" max="4" width="34" hidden="0" customWidth="1"/>
    <x:col min="5" max="5" width="84" hidden="0" customWidth="1"/>
  </x:cols>
  <x:sheetData>
    <x:row r="1" ht="27" customHeight="1">
      <x:c r="A1" s="348" t="str">
        <x:v>Record</x:v>
      </x:c>
      <x:c r="B1" s="348" t="str">
        <x:v>Type</x:v>
      </x:c>
      <x:c r="C1" s="348" t="str">
        <x:v>Source / Profile</x:v>
      </x:c>
      <x:c r="D1" s="348" t="str">
        <x:v>Evidence / Safety</x:v>
      </x:c>
      <x:c r="E1" s="348" t="str">
        <x:v>Details</x:v>
      </x:c>
    </x:row>
    <x:row r="2" ht="42" customHeight="1">
      <x:c r="A2" s="352" t="str">
        <x:v>v0.5.4</x:v>
      </x:c>
      <x:c r="B2" s="352" t="str">
        <x:v>Version</x:v>
      </x:c>
      <x:c r="C2" s="352" t="str">
        <x:v>Database</x:v>
      </x:c>
      <x:c r="D2" s="352" t="str">
        <x:v>Validated checkpoint</x:v>
      </x:c>
      <x:c r="E2" s="352" t="str">
        <x:v>2026-08-31; schema 1.0.0; preserves v0.5.3 as rollback</x:v>
      </x:c>
    </x:row>
    <x:row r="3" ht="42" customHeight="1">
      <x:c r="A3" s="352" t="str">
        <x:v>S0016</x:v>
      </x:c>
      <x:c r="B3" s="352" t="str">
        <x:v>Autel correlation</x:v>
      </x:c>
      <x:c r="C3" s="352" t="str">
        <x:v>2004 Prius Gen 2 / NHW20</x:v>
      </x:c>
      <x:c r="D3" s="352" t="str">
        <x:v>CONFIRMED / READ_ONLY_DIAGNOSTIC</x:v>
      </x:c>
      <x:c r="E3" s="352" t="str">
        <x:v>21CE SoC/current/14 block voltages and 21D0 14 resistance values reproduced from AP200 labels</x:v>
      </x:c>
    </x:row>
    <x:row r="4" ht="42" customHeight="1">
      <x:c r="A4" s="352" t="str">
        <x:v>S0017</x:v>
      </x:c>
      <x:c r="B4" s="352" t="str">
        <x:v>Autel correlation</x:v>
      </x:c>
      <x:c r="C4" s="352" t="str">
        <x:v>2007 Camry Hybrid / AHV40L</x:v>
      </x:c>
      <x:c r="D4" s="352" t="str">
        <x:v>CONFIRMED / READ_ONLY_DIAGNOSTIC</x:v>
      </x:c>
      <x:c r="E4" s="352" t="str">
        <x:v>21CE SoC/current/17 block voltages and 21D0 extrema/index/17 resistance values reproduced from AP200 labels</x:v>
      </x:c>
    </x:row>
    <x:row r="5" ht="42" customHeight="1">
      <x:c r="A5" s="352" t="str">
        <x:v>S0015</x:v>
      </x:c>
      <x:c r="B5" s="352" t="str">
        <x:v>Capture validation</x:v>
      </x:c>
      <x:c r="C5" s="352" t="str">
        <x:v>2014 Prius PHV / ZVW35</x:v>
      </x:c>
      <x:c r="D5" s="352" t="str">
        <x:v>PROBABLE + CANDIDATE</x:v>
      </x:c>
      <x:c r="E5" s="352" t="str">
        <x:v>Adds profile-isolated read-only definitions and multi-PID bundles; logger's original Camry 95% label remains preserved as evidence</x:v>
      </x:c>
    </x:row>
    <x:row r="6" ht="42" customHeight="1">
      <x:c r="A6" s="352" t="str">
        <x:v>PHV 2181</x:v>
      </x:c>
      <x:c r="B6" s="352" t="str">
        <x:v>Topology</x:v>
      </x:c>
      <x:c r="C6" s="352" t="str">
        <x:v>ZVW35 lithium-ion</x:v>
      </x:c>
      <x:c r="D6" s="352" t="str">
        <x:v>PROBABLE / READ_ONLY_DIAGNOSTIC</x:v>
      </x:c>
      <x:c r="E6" s="352" t="str">
        <x:v>Eight seven-cell aggregate block voltages; 56 cells total; no individual 56-cell decoder claimed</x:v>
      </x:c>
    </x:row>
    <x:row r="7" ht="42" customHeight="1">
      <x:c r="A7" s="352" t="str">
        <x:v>Camry 21CE</x:v>
      </x:c>
      <x:c r="B7" s="352" t="str">
        <x:v>Evidence gate</x:v>
      </x:c>
      <x:c r="C7" s="352" t="str">
        <x:v>AHV40</x:v>
      </x:c>
      <x:c r="D7" s="352" t="str">
        <x:v>CONFIRMED</x:v>
      </x:c>
      <x:c r="E7" s="352" t="str">
        <x:v>S0017: 34 AP200-correlated transactions; 77/79 OCR block labels exact; median best-nearby RMSE 0.000 V</x:v>
      </x:c>
    </x:row>
    <x:row r="8" ht="42" customHeight="1">
      <x:c r="A8" s="352" t="str">
        <x:v>Camry 21D0</x:v>
      </x:c>
      <x:c r="B8" s="352" t="str">
        <x:v>Evidence gate</x:v>
      </x:c>
      <x:c r="C8" s="352" t="str">
        <x:v>AHV40</x:v>
      </x:c>
      <x:c r="D8" s="352" t="str">
        <x:v>CONFIRMED</x:v>
      </x:c>
      <x:c r="E8" s="352" t="str">
        <x:v>S0017: block count, min/max voltages and one-based indexes, plus all 17 internal resistance values matched AP200</x:v>
      </x:c>
    </x:row>
    <x:row r="9" ht="42" customHeight="1">
      <x:c r="A9" s="352" t="str">
        <x:v>Camry 21C3/21CF</x:v>
      </x:c>
      <x:c r="B9" s="352" t="str">
        <x:v>Confirmed field subsets</x:v>
      </x:c>
      <x:c r="C9" s="352" t="str">
        <x:v>AHV40</x:v>
      </x:c>
      <x:c r="D9" s="352" t="str">
        <x:v>CONFIRMED (selected fields)</x:v>
      </x:c>
      <x:c r="E9" s="352" t="str">
        <x:v>Four motor/inverter and five battery/intake temperature fields confirmed; all unlisted bytes remain candidate/unknown</x:v>
      </x:c>
    </x:row>
    <x:row r="10" ht="34" customHeight="1">
      <x:c r="A10" s="20" t="str">
        <x:v>Mode 04</x:v>
      </x:c>
      <x:c r="B10" s="20" t="str">
        <x:v>Safety</x:v>
      </x:c>
      <x:c r="C10" s="20" t="str">
        <x:v>Inherited AHV40 records</x:v>
      </x:c>
      <x:c r="D10" s="20" t="str">
        <x:v>CONTROL_WRITE_QUARANTINED</x:v>
      </x:c>
      <x:c r="E10" s="20" t="str">
        <x:v>No new write command added; clear-DTC evidence remains excluded from automatic transmit workflows</x:v>
      </x:c>
    </x:row>
    <x:row r="11" ht="34" customHeight="1">
      <x:c r="A11" s="20" t="str">
        <x:v>Evidence Builder</x:v>
      </x:c>
      <x:c r="B11" s="20" t="str">
        <x:v>Compatibility</x:v>
      </x:c>
      <x:c r="C11" s="20" t="str">
        <x:v>v1.0.2</x:v>
      </x:c>
      <x:c r="D11" s="20" t="str">
        <x:v>Schema compatible</x:v>
      </x:c>
      <x:c r="E11" s="20" t="str">
        <x:v>Loads v0.5.4 JSON; full field_map, block_health_array, resistance_array, signatures, and AP200 structured extraction require a later processor update</x:v>
      </x:c>
    </x:row>
  </x:sheetData>
  <x:conditionalFormatting sqref="D2:D9">
    <x:cfRule type="containsText" dxfId="1" priority="1" operator="containsText" text="CONFIRMED"/>
    <x:cfRule type="containsText" dxfId="2" priority="2" operator="containsText" text="PROBABLE"/>
    <x:cfRule type="containsText" dxfId="3" priority="3" operator="containsText" text="CANDIDATE"/>
  </x:conditionalFormatting>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10" hidden="0" customWidth="1"/>
    <x:col min="4" max="4" width="10" hidden="0" customWidth="1"/>
    <x:col min="5" max="5" width="14" hidden="0" customWidth="1"/>
    <x:col min="6" max="6" width="18" hidden="0" customWidth="1"/>
    <x:col min="7" max="7" width="24" hidden="0" customWidth="1"/>
    <x:col min="8" max="8" width="80" hidden="0" customWidth="1"/>
  </x:cols>
  <x:sheetData>
    <x:row r="1" ht="27" customHeight="1">
      <x:c r="A1" s="348" t="str">
        <x:v>Profile</x:v>
      </x:c>
      <x:c r="B1" s="348" t="str">
        <x:v>Platform</x:v>
      </x:c>
      <x:c r="C1" s="348" t="str">
        <x:v>Blocks</x:v>
      </x:c>
      <x:c r="D1" s="348" t="str">
        <x:v>Cells</x:v>
      </x:c>
      <x:c r="E1" s="348" t="str">
        <x:v>Cells / Block</x:v>
      </x:c>
      <x:c r="F1" s="348" t="str">
        <x:v>Chemistry</x:v>
      </x:c>
      <x:c r="G1" s="348" t="str">
        <x:v>Individual Cells Decoded</x:v>
      </x:c>
      <x:c r="H1" s="348" t="str">
        <x:v>Notes</x:v>
      </x:c>
    </x:row>
    <x:row r="2" ht="44" customHeight="1">
      <x:c r="A2" s="352" t="str">
        <x:v>PRIUS_GEN1</x:v>
      </x:c>
      <x:c r="B2" s="352" t="str">
        <x:v>NHW11</x:v>
      </x:c>
      <x:c r="C2" s="352" t="str">
        <x:v>Unknown</x:v>
      </x:c>
      <x:c r="D2" s="352" t="str">
        <x:v>Unknown</x:v>
      </x:c>
      <x:c r="E2" s="352" t="str">
        <x:v>Unknown</x:v>
      </x:c>
      <x:c r="F2" s="352" t="str">
        <x:v>Unknown</x:v>
      </x:c>
      <x:c r="G2" s="352" t="str">
        <x:v>Not specified</x:v>
      </x:c>
      <x:c r="H2" s="352" t="str"/>
    </x:row>
    <x:row r="3" ht="44" customHeight="1">
      <x:c r="A3" s="352" t="str">
        <x:v>PRIUS_GEN2</x:v>
      </x:c>
      <x:c r="B3" s="352" t="str">
        <x:v>NHW20</x:v>
      </x:c>
      <x:c r="C3" s="352" t="n">
        <x:v>14</x:v>
      </x:c>
      <x:c r="D3" s="352" t="n">
        <x:v>168</x:v>
      </x:c>
      <x:c r="E3" s="352" t="n">
        <x:v>12</x:v>
      </x:c>
      <x:c r="F3" s="352" t="str">
        <x:v>NiMH</x:v>
      </x:c>
      <x:c r="G3" s="352" t="str">
        <x:v>Not specified</x:v>
      </x:c>
      <x:c r="H3" s="352" t="str"/>
    </x:row>
    <x:row r="4" ht="44" customHeight="1">
      <x:c r="A4" s="352" t="str">
        <x:v>PRIUS_GEN3</x:v>
      </x:c>
      <x:c r="B4" s="352" t="str">
        <x:v>ZVW30</x:v>
      </x:c>
      <x:c r="C4" s="352" t="n">
        <x:v>14</x:v>
      </x:c>
      <x:c r="D4" s="352" t="str">
        <x:v>Unknown</x:v>
      </x:c>
      <x:c r="E4" s="352" t="str">
        <x:v>Unknown</x:v>
      </x:c>
      <x:c r="F4" s="352" t="str">
        <x:v>Unknown</x:v>
      </x:c>
      <x:c r="G4" s="352" t="str">
        <x:v>Not specified</x:v>
      </x:c>
      <x:c r="H4" s="352" t="str"/>
    </x:row>
    <x:row r="5" ht="44" customHeight="1">
      <x:c r="A5" s="352" t="str">
        <x:v>PRIUS_PHV_GEN1</x:v>
      </x:c>
      <x:c r="B5" s="352" t="str">
        <x:v>ZVW35</x:v>
      </x:c>
      <x:c r="C5" s="352" t="n">
        <x:v>8</x:v>
      </x:c>
      <x:c r="D5" s="352" t="n">
        <x:v>56</x:v>
      </x:c>
      <x:c r="E5" s="352" t="n">
        <x:v>7</x:v>
      </x:c>
      <x:c r="F5" s="352" t="str">
        <x:v>Lithium-ion NMC</x:v>
      </x:c>
      <x:c r="G5" s="352" t="str">
        <x:v>NO</x:v>
      </x:c>
      <x:c r="H5" s="352" t="str">
        <x:v>Observed 2181 values are eight seven-cell aggregate block voltages; no validated 56-cell decoder is present.</x:v>
      </x:c>
    </x:row>
    <x:row r="6" ht="44" customHeight="1">
      <x:c r="A6" s="352" t="str">
        <x:v>CAMRY_HYBRID_GEN1</x:v>
      </x:c>
      <x:c r="B6" s="352" t="str">
        <x:v>AHV40</x:v>
      </x:c>
      <x:c r="C6" s="352" t="n">
        <x:v>17</x:v>
      </x:c>
      <x:c r="D6" s="352" t="n">
        <x:v>204</x:v>
      </x:c>
      <x:c r="E6" s="352" t="n">
        <x:v>12</x:v>
      </x:c>
      <x:c r="F6" s="352" t="str">
        <x:v>NiMH</x:v>
      </x:c>
      <x:c r="G6" s="352" t="str">
        <x:v>Not specified</x:v>
      </x:c>
      <x:c r="H6" s="352" t="str"/>
    </x:row>
  </x:sheetData>
  <x:conditionalFormatting sqref="G2:G6">
    <x:cfRule type="containsText" dxfId="4" priority="1" operator="containsText" text="NO"/>
  </x:conditionalFormatting>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2" hidden="0" customWidth="1"/>
    <x:col min="4" max="4" width="14" hidden="0" customWidth="1"/>
    <x:col min="5" max="5" width="12" hidden="0" customWidth="1"/>
    <x:col min="6" max="6" width="23" hidden="0" customWidth="1"/>
    <x:col min="7" max="7" width="75" hidden="0" customWidth="1"/>
    <x:col min="8" max="8" width="75" hidden="0" customWidth="1"/>
  </x:cols>
  <x:sheetData>
    <x:row r="1" ht="27" customHeight="1">
      <x:c r="A1" s="348" t="str">
        <x:v>Session</x:v>
      </x:c>
      <x:c r="B1" s="348" t="str">
        <x:v>Vehicle</x:v>
      </x:c>
      <x:c r="C1" s="348" t="str">
        <x:v>Logger</x:v>
      </x:c>
      <x:c r="D1" s="348" t="str">
        <x:v>Raw Frames</x:v>
      </x:c>
      <x:c r="E1" s="348" t="str">
        <x:v>Session TX</x:v>
      </x:c>
      <x:c r="F1" s="348" t="str">
        <x:v>Diagnostic Transactions</x:v>
      </x:c>
      <x:c r="G1" s="348" t="str">
        <x:v>Primary Correlation</x:v>
      </x:c>
      <x:c r="H1" s="348" t="str">
        <x:v>Decision / Limitation</x:v>
      </x:c>
    </x:row>
    <x:row r="2" ht="58" customHeight="1">
      <x:c r="A2" s="352" t="str">
        <x:v>S0013</x:v>
      </x:c>
      <x:c r="B2" s="352" t="str">
        <x:v>2007 Camry Hybrid AHV40</x:v>
      </x:c>
      <x:c r="C2" s="352" t="str">
        <x:v>v2.4.2</x:v>
      </x:c>
      <x:c r="D2" s="354" t="n">
        <x:v>505243</x:v>
      </x:c>
      <x:c r="E2" s="354" t="n">
        <x:v>0</x:v>
      </x:c>
      <x:c r="F2" s="354" t="n">
        <x:v>1981</x:v>
      </x:c>
      <x:c r="G2" s="352" t="str">
        <x:v>237 decodable 21CE segments; 84 aligned graph rows; median block RMSE 0.021144 V</x:v>
      </x:c>
      <x:c r="H2" s="352" t="str">
        <x:v>Same physical vehicle likely as S0010/S0012; retained as supporting evidence</x:v>
      </x:c>
    </x:row>
    <x:row r="3" ht="58" customHeight="1">
      <x:c r="A3" s="352" t="str">
        <x:v>S0015</x:v>
      </x:c>
      <x:c r="B3" s="352" t="str">
        <x:v>2014 Prius PHV ZVW35</x:v>
      </x:c>
      <x:c r="C3" s="352" t="str">
        <x:v>v2.4.2</x:v>
      </x:c>
      <x:c r="D3" s="354" t="n">
        <x:v>573133</x:v>
      </x:c>
      <x:c r="E3" s="354" t="n">
        <x:v>0</x:v>
      </x:c>
      <x:c r="F3" s="354" t="n">
        <x:v>2861</x:v>
      </x:c>
      <x:c r="G3" s="352" t="str">
        <x:v>2181 eight-block average median absolute error 0.003007 V; difference 0.000105 V; 2198 current error 0.05 A</x:v>
      </x:c>
      <x:c r="H3" s="352" t="str">
        <x:v>Original logger label Camry 95% is evidence of detector false-positive; eight blocks are not 56 individual cells</x:v>
      </x:c>
    </x:row>
    <x:row r="4" ht="58" customHeight="1">
      <x:c r="A4" s="352" t="str">
        <x:v>S0016</x:v>
      </x:c>
      <x:c r="B4" s="352" t="str">
        <x:v>2004 Prius Gen 2 NHW20</x:v>
      </x:c>
      <x:c r="C4" s="352" t="str">
        <x:v>v2.4.2</x:v>
      </x:c>
      <x:c r="D4" s="354" t="str">
        <x:v>See capture</x:v>
      </x:c>
      <x:c r="E4" s="354" t="n">
        <x:v>0</x:v>
      </x:c>
      <x:c r="F4" s="354" t="str">
        <x:v>See capture</x:v>
      </x:c>
      <x:c r="G4" s="352" t="str">
        <x:v>61 successful 21CE and 73 successful 21D0 transactions with exact AP200 labels</x:v>
      </x:c>
      <x:c r="H4" s="352" t="str">
        <x:v>Promotes NHW20 21CE/21D0 to CONFIRMED</x:v>
      </x:c>
    </x:row>
    <x:row r="5" ht="42" customHeight="1">
      <x:c r="A5" s="20" t="str">
        <x:v>S0017</x:v>
      </x:c>
      <x:c r="B5" s="20" t="str">
        <x:v>2007 Camry Hybrid AHV40L</x:v>
      </x:c>
      <x:c r="C5" s="20" t="str">
        <x:v>v2.4.2</x:v>
      </x:c>
      <x:c r="D5" s="20" t="n">
        <x:v>880701</x:v>
      </x:c>
      <x:c r="E5" s="20" t="n">
        <x:v>0</x:v>
      </x:c>
      <x:c r="F5" s="20" t="n">
        <x:v>954</x:v>
      </x:c>
      <x:c r="G5" s="20" t="str">
        <x:v>34 successful 21CE; 59 successful 21D0; 77/79 block labels exact; 5.87 ms BLE-alignment RMS</x:v>
      </x:c>
      <x:c r="H5" s="20" t="str">
        <x:v>Promotes AHV40 21CE/21D0 and selected 21C3/21CF fields to CONFIRMED; source video was resized but remained OCR-readable. AP200 has no graph rows; graph extraction applies only to Hybrid Assistant/Dr. Prius layouts.</x:v>
      </x:c>
    </x:row>
  </x:sheetData>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RowHeight="15"/>
  <x:cols>
    <x:col min="1" max="1" width="44" hidden="0" customWidth="1"/>
    <x:col min="2" max="2" width="25" hidden="0" customWidth="1"/>
    <x:col min="3" max="3" width="13" hidden="0" customWidth="1"/>
    <x:col min="4" max="4" width="13" hidden="0" customWidth="1"/>
    <x:col min="5" max="5" width="13" hidden="0" customWidth="1"/>
    <x:col min="6" max="6" width="24" hidden="0" customWidth="1"/>
    <x:col min="7" max="7" width="48" hidden="0" customWidth="1"/>
    <x:col min="8" max="8" width="22" hidden="0" customWidth="1"/>
    <x:col min="9" max="9" width="28" hidden="0" customWidth="1"/>
    <x:col min="10" max="10" width="28" hidden="0" customWidth="1"/>
    <x:col min="11" max="11" width="12" hidden="0" customWidth="1"/>
    <x:col min="12" max="12" width="58" hidden="0" customWidth="1"/>
    <x:col min="13" max="13" width="76" hidden="0" customWidth="1"/>
  </x:cols>
  <x:sheetData>
    <x:row r="1" ht="27" customHeight="1">
      <x:c r="A1" s="348" t="str">
        <x:v>Key</x:v>
      </x:c>
      <x:c r="B1" s="348" t="str">
        <x:v>Profile</x:v>
      </x:c>
      <x:c r="C1" s="348" t="str">
        <x:v>Request ID</x:v>
      </x:c>
      <x:c r="D1" s="348" t="str">
        <x:v>Response ID</x:v>
      </x:c>
      <x:c r="E1" s="348" t="str">
        <x:v>Service/PID</x:v>
      </x:c>
      <x:c r="F1" s="348" t="str">
        <x:v>Decoder</x:v>
      </x:c>
      <x:c r="G1" s="348" t="str">
        <x:v>Repeat / Layout</x:v>
      </x:c>
      <x:c r="H1" s="348" t="str">
        <x:v>Bounds</x:v>
      </x:c>
      <x:c r="I1" s="348" t="str">
        <x:v>Safety Class</x:v>
      </x:c>
      <x:c r="J1" s="348" t="str">
        <x:v>Evidence Grade</x:v>
      </x:c>
      <x:c r="K1" s="348" t="str">
        <x:v>Transport</x:v>
      </x:c>
      <x:c r="L1" s="348" t="str">
        <x:v>Source</x:v>
      </x:c>
      <x:c r="M1" s="348" t="str">
        <x:v>Validation / Notes</x:v>
      </x:c>
    </x:row>
    <x:row r="2" ht="55" customHeight="1">
      <x:c r="A2" s="352" t="str">
        <x:v>AHV40_HYBRID_ECU_21CE_BLOCK_VOLTAGES</x:v>
      </x:c>
      <x:c r="B2" s="352" t="str">
        <x:v>CAMRY_HYBRID_GEN1</x:v>
      </x:c>
      <x:c r="C2" s="352" t="str">
        <x:v>7E2h</x:v>
      </x:c>
      <x:c r="D2" s="352" t="str">
        <x:v>7EAh</x:v>
      </x:c>
      <x:c r="E2" s="352" t="str">
        <x:v>21CEh</x:v>
      </x:c>
      <x:c r="F2" s="352" t="str">
        <x:v>block_array</x:v>
      </x:c>
      <x:c r="G2" s="352" t="str">
        <x:v>17 × 2 byte; raw -32768; scale 0.01 V</x:v>
      </x:c>
      <x:c r="H2" s="352" t="str">
        <x:v>5 to 25 V</x:v>
      </x:c>
      <x:c r="I2" s="352" t="str">
        <x:v>READ_ONLY_DIAGNOSTIC</x:v>
      </x:c>
      <x:c r="J2" s="352" t="str">
        <x:v>CONFIRMED</x:v>
      </x:c>
      <x:c r="K2" s="352" t="str">
        <x:v>ISO-TP</x:v>
      </x:c>
      <x:c r="L2" s="352" t="str">
        <x:v>S0010, S0012, S0013, and S0017 2007 Camry Hybrid; Hybrid Assistant, Dr. Prius, and Autel MAXIAP200; CYD logger v2.4.2</x:v>
      </x:c>
      <x:c r="M2" s="352" t="str">
        <x:v>Three sessions reconstructed the 17-block array. S0013 contained 237 decodable 21CE segments and 84 time-aligned graph rows; median all-row CAN-to-OCR block RMSE was 0.021144 V. Independent S0017 Autel MAXIAP200 correlation supplied 34 successful transactions; 77 of 79 OCR block labels matched exactly, median best-nearby RMSE was 0.000 V, and displayed SoC/current examples matched exactly.</x:v>
      </x:c>
    </x:row>
    <x:row r="3" ht="55" customHeight="1">
      <x:c r="A3" s="352" t="str">
        <x:v>AHV40_BATTERY_ECU_2101_SOC_CURRENT_VOLTAGE</x:v>
      </x:c>
      <x:c r="B3" s="352" t="str">
        <x:v>CAMRY_HYBRID_GEN1</x:v>
      </x:c>
      <x:c r="C3" s="352" t="str">
        <x:v>7E3h</x:v>
      </x:c>
      <x:c r="D3" s="352" t="str">
        <x:v>7EBh</x:v>
      </x:c>
      <x:c r="E3" s="352" t="str">
        <x:v>2101h</x:v>
      </x:c>
      <x:c r="F3" s="352" t="str">
        <x:v>catalog_candidate</x:v>
      </x:c>
      <x:c r="G3" s="352" t="str">
        <x:v>See notes</x:v>
      </x:c>
      <x:c r="H3" s="352" t="str">
        <x:v>Unvalidated / field-specific</x:v>
      </x:c>
      <x:c r="I3" s="352" t="str">
        <x:v>READ_ONLY_DIAGNOSTIC</x:v>
      </x:c>
      <x:c r="J3" s="352" t="str">
        <x:v>CANDIDATE</x:v>
      </x:c>
      <x:c r="K3" s="352" t="str"/>
      <x:c r="L3" s="352" t="str">
        <x:v>2007-2011 camry hybrid PID table - Google Search.pdf</x:v>
      </x:c>
      <x:c r="M3" s="352" t="str">
        <x:v>Candidate fields: SoC A/2; signed current ((B*256)+C)/100; voltage ((D*256)+E)/10. Not observed in S0010.</x:v>
      </x:c>
    </x:row>
    <x:row r="4" ht="55" customHeight="1">
      <x:c r="A4" s="352" t="str">
        <x:v>AHV40_BATTERY_ECU_2102_TEMPERATURES</x:v>
      </x:c>
      <x:c r="B4" s="352" t="str">
        <x:v>CAMRY_HYBRID_GEN1</x:v>
      </x:c>
      <x:c r="C4" s="352" t="str">
        <x:v>7E3h</x:v>
      </x:c>
      <x:c r="D4" s="352" t="str">
        <x:v>7EBh</x:v>
      </x:c>
      <x:c r="E4" s="352" t="str">
        <x:v>2102h</x:v>
      </x:c>
      <x:c r="F4" s="352" t="str">
        <x:v>catalog_candidate</x:v>
      </x:c>
      <x:c r="G4" s="352" t="str">
        <x:v>See notes</x:v>
      </x:c>
      <x:c r="H4" s="352" t="str">
        <x:v>Unvalidated / field-specific</x:v>
      </x:c>
      <x:c r="I4" s="352" t="str">
        <x:v>READ_ONLY_DIAGNOSTIC</x:v>
      </x:c>
      <x:c r="J4" s="352" t="str">
        <x:v>CANDIDATE</x:v>
      </x:c>
      <x:c r="K4" s="352" t="str"/>
      <x:c r="L4" s="352" t="str">
        <x:v>2007-2011 camry hybrid PID table - Google Search.pdf</x:v>
      </x:c>
      <x:c r="M4" s="352" t="str">
        <x:v>Candidate temperatures A-40, B-40, C-40 deg C. Not observed in S0010.</x:v>
      </x:c>
    </x:row>
    <x:row r="5" ht="55" customHeight="1">
      <x:c r="A5" s="352" t="str">
        <x:v>AHV40_HYBRID_ECU_2122_MG_STATOR_TEMPERATURES</x:v>
      </x:c>
      <x:c r="B5" s="352" t="str">
        <x:v>CAMRY_HYBRID_GEN1</x:v>
      </x:c>
      <x:c r="C5" s="352" t="str">
        <x:v>7E2h</x:v>
      </x:c>
      <x:c r="D5" s="352" t="str">
        <x:v>7EAh</x:v>
      </x:c>
      <x:c r="E5" s="352" t="str">
        <x:v>2122h</x:v>
      </x:c>
      <x:c r="F5" s="352" t="str">
        <x:v>catalog_candidate</x:v>
      </x:c>
      <x:c r="G5" s="352" t="str">
        <x:v>See notes</x:v>
      </x:c>
      <x:c r="H5" s="352" t="str">
        <x:v>Unvalidated / field-specific</x:v>
      </x:c>
      <x:c r="I5" s="352" t="str">
        <x:v>READ_ONLY_DIAGNOSTIC</x:v>
      </x:c>
      <x:c r="J5" s="352" t="str">
        <x:v>CANDIDATE</x:v>
      </x:c>
      <x:c r="K5" s="352" t="str"/>
      <x:c r="L5" s="352" t="str">
        <x:v>2007-2011 camry hybrid PID table - Google Search.pdf</x:v>
      </x:c>
      <x:c r="M5" s="352" t="str">
        <x:v>Candidate MG1/MG2 stator temperatures; not observed in S0010.</x:v>
      </x:c>
    </x:row>
    <x:row r="6" ht="55" customHeight="1">
      <x:c r="A6" s="352" t="str">
        <x:v>AHV40_HYBRID_ECU_212B_INVERTER_TEMPERATURES</x:v>
      </x:c>
      <x:c r="B6" s="352" t="str">
        <x:v>CAMRY_HYBRID_GEN1</x:v>
      </x:c>
      <x:c r="C6" s="352" t="str">
        <x:v>7E2h</x:v>
      </x:c>
      <x:c r="D6" s="352" t="str">
        <x:v>7EAh</x:v>
      </x:c>
      <x:c r="E6" s="352" t="str">
        <x:v>212Bh</x:v>
      </x:c>
      <x:c r="F6" s="352" t="str">
        <x:v>catalog_candidate</x:v>
      </x:c>
      <x:c r="G6" s="352" t="str">
        <x:v>See notes</x:v>
      </x:c>
      <x:c r="H6" s="352" t="str">
        <x:v>Unvalidated / field-specific</x:v>
      </x:c>
      <x:c r="I6" s="352" t="str">
        <x:v>READ_ONLY_DIAGNOSTIC</x:v>
      </x:c>
      <x:c r="J6" s="352" t="str">
        <x:v>CANDIDATE</x:v>
      </x:c>
      <x:c r="K6" s="352" t="str"/>
      <x:c r="L6" s="352" t="str">
        <x:v>2007-2011 camry hybrid PID table - Google Search.pdf</x:v>
      </x:c>
      <x:c r="M6" s="352" t="str">
        <x:v>Candidate MG1/MG2 inverter temperatures; not observed in S0010.</x:v>
      </x:c>
    </x:row>
    <x:row r="7" ht="55" customHeight="1">
      <x:c r="A7" s="352" t="str">
        <x:v>AHV40_BATTERY_ECU_2141_2144_BLOCK_VOLTAGES</x:v>
      </x:c>
      <x:c r="B7" s="352" t="str">
        <x:v>CAMRY_HYBRID_GEN1</x:v>
      </x:c>
      <x:c r="C7" s="352" t="str">
        <x:v>7E3h</x:v>
      </x:c>
      <x:c r="D7" s="352" t="str">
        <x:v>7EBh</x:v>
      </x:c>
      <x:c r="E7" s="352" t="str">
        <x:v>2141h</x:v>
      </x:c>
      <x:c r="F7" s="352" t="str">
        <x:v>catalog_candidate</x:v>
      </x:c>
      <x:c r="G7" s="352" t="str">
        <x:v>See notes</x:v>
      </x:c>
      <x:c r="H7" s="352" t="str">
        <x:v>Unvalidated / field-specific</x:v>
      </x:c>
      <x:c r="I7" s="352" t="str">
        <x:v>READ_ONLY_DIAGNOSTIC</x:v>
      </x:c>
      <x:c r="J7" s="352" t="str">
        <x:v>CANDIDATE</x:v>
      </x:c>
      <x:c r="K7" s="352" t="str"/>
      <x:c r="L7" s="352" t="str">
        <x:v>2007-2011 camry hybrid PID table - Google Search.pdf</x:v>
      </x:c>
      <x:c r="M7" s="352" t="str">
        <x:v>Seventeen block-voltage catalog candidates across 2141-2144; not requested by Hybrid Assistant in S0010 and not interchangeable with observed 7E2/21CE.</x:v>
      </x:c>
    </x:row>
    <x:row r="8" ht="55" customHeight="1">
      <x:c r="A8" s="352" t="str">
        <x:v>AHV40_BATTERY_ECU_2145_2148_INTERNAL_RESISTANCE</x:v>
      </x:c>
      <x:c r="B8" s="352" t="str">
        <x:v>CAMRY_HYBRID_GEN1</x:v>
      </x:c>
      <x:c r="C8" s="352" t="str">
        <x:v>7E3h</x:v>
      </x:c>
      <x:c r="D8" s="352" t="str">
        <x:v>7EBh</x:v>
      </x:c>
      <x:c r="E8" s="352" t="str">
        <x:v>2145h</x:v>
      </x:c>
      <x:c r="F8" s="352" t="str">
        <x:v>catalog_candidate</x:v>
      </x:c>
      <x:c r="G8" s="352" t="str">
        <x:v>See notes</x:v>
      </x:c>
      <x:c r="H8" s="352" t="str">
        <x:v>Unvalidated / field-specific</x:v>
      </x:c>
      <x:c r="I8" s="352" t="str">
        <x:v>READ_ONLY_DIAGNOSTIC</x:v>
      </x:c>
      <x:c r="J8" s="352" t="str">
        <x:v>CANDIDATE</x:v>
      </x:c>
      <x:c r="K8" s="352" t="str"/>
      <x:c r="L8" s="352" t="str">
        <x:v>2007-2011 camry hybrid PID table - Google Search.pdf</x:v>
      </x:c>
      <x:c r="M8" s="352" t="str">
        <x:v>Seventeen internal-resistance catalog candidates across 2145-2148; unobserved and unvalidated.</x:v>
      </x:c>
    </x:row>
    <x:row r="9" ht="55" customHeight="1">
      <x:c r="A9" s="352" t="str">
        <x:v>AHV40_HYBRID_ECU_13B0_READ_DTC_BY_STATUS</x:v>
      </x:c>
      <x:c r="B9" s="352" t="str">
        <x:v>CAMRY_HYBRID_GEN1</x:v>
      </x:c>
      <x:c r="C9" s="352" t="str">
        <x:v>7E2h</x:v>
      </x:c>
      <x:c r="D9" s="352" t="str">
        <x:v>7EAh</x:v>
      </x:c>
      <x:c r="E9" s="352" t="str">
        <x:v>13B0h</x:v>
      </x:c>
      <x:c r="F9" s="352" t="str">
        <x:v>dtc_status_response</x:v>
      </x:c>
      <x:c r="G9" s="352" t="str">
        <x:v>See notes</x:v>
      </x:c>
      <x:c r="H9" s="352" t="str">
        <x:v>Unvalidated / field-specific</x:v>
      </x:c>
      <x:c r="I9" s="352" t="str">
        <x:v>READ_ONLY_DIAGNOSTIC</x:v>
      </x:c>
      <x:c r="J9" s="352" t="str">
        <x:v>PROBABLE</x:v>
      </x:c>
      <x:c r="K9" s="352" t="str"/>
      <x:c r="L9" s="352" t="str">
        <x:v>S0012 2007 Camry Hybrid; Dr. Prius Special Features at video 291.135-294.192 s; CYD logger v2.4.2</x:v>
      </x:c>
      <x:c r="M9" s="352" t="str">
        <x:v>Observed twice with 53 00 responses while the battery-code read operation was performed; response indicates no DTC was present. Repeat with a known stored DTC is required to validate code-byte layout.</x:v>
      </x:c>
    </x:row>
    <x:row r="10" ht="55" customHeight="1">
      <x:c r="A10" s="352" t="str">
        <x:v>AHV40_HYBRID_ECU_1380_READ_DTC_BY_STATUS</x:v>
      </x:c>
      <x:c r="B10" s="352" t="str">
        <x:v>CAMRY_HYBRID_GEN1</x:v>
      </x:c>
      <x:c r="C10" s="352" t="str">
        <x:v>7E2h</x:v>
      </x:c>
      <x:c r="D10" s="352" t="str">
        <x:v>7EAh</x:v>
      </x:c>
      <x:c r="E10" s="352" t="str">
        <x:v>1380h</x:v>
      </x:c>
      <x:c r="F10" s="352" t="str">
        <x:v>dtc_status_response</x:v>
      </x:c>
      <x:c r="G10" s="352" t="str">
        <x:v>See notes</x:v>
      </x:c>
      <x:c r="H10" s="352" t="str">
        <x:v>Unvalidated / field-specific</x:v>
      </x:c>
      <x:c r="I10" s="352" t="str">
        <x:v>READ_ONLY_DIAGNOSTIC</x:v>
      </x:c>
      <x:c r="J10" s="352" t="str">
        <x:v>PROBABLE</x:v>
      </x:c>
      <x:c r="K10" s="352" t="str"/>
      <x:c r="L10" s="352" t="str">
        <x:v>S0012 2007 Camry Hybrid; Dr. Prius Special Features at video 291.293-294.360 s; CYD logger v2.4.2</x:v>
      </x:c>
      <x:c r="M10" s="352" t="str">
        <x:v>Observed twice with 53 00 responses during the battery-code read operation; treat B0 and 80 as separate status masks.</x:v>
      </x:c>
    </x:row>
    <x:row r="11" ht="55" customHeight="1">
      <x:c r="A11" s="352" t="str">
        <x:v>AHV40_ENGINE_ECU_13B0_READ_DTC_BY_STATUS</x:v>
      </x:c>
      <x:c r="B11" s="352" t="str">
        <x:v>CAMRY_HYBRID_GEN1</x:v>
      </x:c>
      <x:c r="C11" s="352" t="str">
        <x:v>7E0h</x:v>
      </x:c>
      <x:c r="D11" s="352" t="str">
        <x:v>7E8h</x:v>
      </x:c>
      <x:c r="E11" s="352" t="str">
        <x:v>13B0h</x:v>
      </x:c>
      <x:c r="F11" s="352" t="str">
        <x:v>dtc_status_response</x:v>
      </x:c>
      <x:c r="G11" s="352" t="str">
        <x:v>See notes</x:v>
      </x:c>
      <x:c r="H11" s="352" t="str">
        <x:v>Unvalidated / field-specific</x:v>
      </x:c>
      <x:c r="I11" s="352" t="str">
        <x:v>READ_ONLY_DIAGNOSTIC</x:v>
      </x:c>
      <x:c r="J11" s="352" t="str">
        <x:v>PROBABLE</x:v>
      </x:c>
      <x:c r="K11" s="352" t="str"/>
      <x:c r="L11" s="352" t="str">
        <x:v>S0012 2007 Camry Hybrid; Dr. Prius Special Features at video 299.926-305.853 s; CYD logger v2.4.2</x:v>
      </x:c>
      <x:c r="M11" s="352" t="str">
        <x:v>Observed three times with 53 00 responses while the engine-code read operation was performed; response indicates no DTC was present.</x:v>
      </x:c>
    </x:row>
    <x:row r="12" ht="55" customHeight="1">
      <x:c r="A12" s="352" t="str">
        <x:v>AHV40_HYBRID_ECU_04_CLEAR_DTC_QUARANTINED</x:v>
      </x:c>
      <x:c r="B12" s="352" t="str">
        <x:v>CAMRY_HYBRID_GEN1</x:v>
      </x:c>
      <x:c r="C12" s="352" t="str">
        <x:v>7E2h</x:v>
      </x:c>
      <x:c r="D12" s="352" t="str">
        <x:v>7EAh</x:v>
      </x:c>
      <x:c r="E12" s="352" t="str">
        <x:v>04h</x:v>
      </x:c>
      <x:c r="F12" s="352" t="str">
        <x:v>clear_dtc_acknowledgement</x:v>
      </x:c>
      <x:c r="G12" s="352" t="str">
        <x:v>See notes</x:v>
      </x:c>
      <x:c r="H12" s="352" t="str">
        <x:v>Unvalidated / field-specific</x:v>
      </x:c>
      <x:c r="I12" s="352" t="str">
        <x:v>CONTROL_WRITE_QUARANTINED</x:v>
      </x:c>
      <x:c r="J12" s="352" t="str">
        <x:v>PROBABLE</x:v>
      </x:c>
      <x:c r="K12" s="352" t="str"/>
      <x:c r="L12" s="352" t="str">
        <x:v>S0012 2007 Camry Hybrid; Dr. Prius Special Features at video 276.915-285.526 s; CYD logger v2.4.2</x:v>
      </x:c>
      <x:c r="M12" s="352" t="str">
        <x:v>Four passively observed requests received 44 acknowledgements during the battery-code clear operation. Never add to an automatic transmit workflow.</x:v>
      </x:c>
    </x:row>
    <x:row r="13" ht="55" customHeight="1">
      <x:c r="A13" s="352" t="str">
        <x:v>AHV40_ENGINE_ECU_04_CLEAR_DTC_QUARANTINED</x:v>
      </x:c>
      <x:c r="B13" s="352" t="str">
        <x:v>CAMRY_HYBRID_GEN1</x:v>
      </x:c>
      <x:c r="C13" s="352" t="str">
        <x:v>7E0h</x:v>
      </x:c>
      <x:c r="D13" s="352" t="str">
        <x:v>7E8h</x:v>
      </x:c>
      <x:c r="E13" s="352" t="str">
        <x:v>04h</x:v>
      </x:c>
      <x:c r="F13" s="352" t="str">
        <x:v>clear_dtc_acknowledgement</x:v>
      </x:c>
      <x:c r="G13" s="352" t="str">
        <x:v>See notes</x:v>
      </x:c>
      <x:c r="H13" s="352" t="str">
        <x:v>Unvalidated / field-specific</x:v>
      </x:c>
      <x:c r="I13" s="352" t="str">
        <x:v>CONTROL_WRITE_QUARANTINED</x:v>
      </x:c>
      <x:c r="J13" s="352" t="str">
        <x:v>PROBABLE</x:v>
      </x:c>
      <x:c r="K13" s="352" t="str"/>
      <x:c r="L13" s="352" t="str">
        <x:v>S0012 2007 Camry Hybrid; Dr. Prius Special Features at video 311.444-314.525 s; CYD logger v2.4.2</x:v>
      </x:c>
      <x:c r="M13" s="352" t="str">
        <x:v>Three passively observed requests received 44 acknowledgements during the engine-code clear operation. Never add to an automatic transmit workflow.</x:v>
      </x:c>
    </x:row>
    <x:row r="14" ht="55" customHeight="1">
      <x:c r="A14" s="352" t="str">
        <x:v>NHW20_BATTERY_ECU_21CE_SOC_CURRENT_BLOCK_VOLTAGES</x:v>
      </x:c>
      <x:c r="B14" s="352" t="str">
        <x:v>PRIUS_GEN2</x:v>
      </x:c>
      <x:c r="C14" s="352" t="str">
        <x:v>7E3h</x:v>
      </x:c>
      <x:c r="D14" s="352" t="str">
        <x:v>7EBh</x:v>
      </x:c>
      <x:c r="E14" s="352" t="str">
        <x:v>21CEh</x:v>
      </x:c>
      <x:c r="F14" s="352" t="str">
        <x:v>block_array</x:v>
      </x:c>
      <x:c r="G14" s="352" t="str">
        <x:v>14 × 2 byte; raw -32768; scale 0.01 V</x:v>
      </x:c>
      <x:c r="H14" s="352" t="str">
        <x:v>10 to 20 V</x:v>
      </x:c>
      <x:c r="I14" s="352" t="str">
        <x:v>READ_ONLY_DIAGNOSTIC</x:v>
      </x:c>
      <x:c r="J14" s="352" t="str">
        <x:v>CONFIRMED</x:v>
      </x:c>
      <x:c r="K14" s="352" t="str">
        <x:v>ISO-TP</x:v>
      </x:c>
      <x:c r="L14" s="352" t="str">
        <x:v>S0016 2004 Prius Gen 2; Autel MAXIAP200 OCR/CAN correlation; CYD logger v2.4.2</x:v>
      </x:c>
      <x:c r="M14" s="352" t="str">
        <x:v>AP200-displayed SoC, current, and all 14 block voltages were reproduced from the same diagnostic responses.</x:v>
      </x:c>
    </x:row>
    <x:row r="15" ht="55" customHeight="1">
      <x:c r="A15" s="352" t="str">
        <x:v>NHW20_BATTERY_ECU_21D0_BLOCK_HEALTH</x:v>
      </x:c>
      <x:c r="B15" s="352" t="str">
        <x:v>PRIUS_GEN2</x:v>
      </x:c>
      <x:c r="C15" s="352" t="str">
        <x:v>7E3h</x:v>
      </x:c>
      <x:c r="D15" s="352" t="str">
        <x:v>7EBh</x:v>
      </x:c>
      <x:c r="E15" s="352" t="str">
        <x:v>21D0h</x:v>
      </x:c>
      <x:c r="F15" s="352" t="str">
        <x:v>block_health_array</x:v>
      </x:c>
      <x:c r="G15" s="352" t="str">
        <x:v>14 × 1 byte; raw 15; scale 0.001 ohm</x:v>
      </x:c>
      <x:c r="H15" s="352" t="str">
        <x:v>Unvalidated / field-specific</x:v>
      </x:c>
      <x:c r="I15" s="352" t="str">
        <x:v>READ_ONLY_DIAGNOSTIC</x:v>
      </x:c>
      <x:c r="J15" s="352" t="str">
        <x:v>CONFIRMED</x:v>
      </x:c>
      <x:c r="K15" s="352" t="str">
        <x:v>ISO-TP</x:v>
      </x:c>
      <x:c r="L15" s="352" t="str">
        <x:v>S0016 2004 Prius Gen 2; Autel MAXIAP200 OCR/CAN correlation; CYD logger v2.4.2</x:v>
      </x:c>
      <x:c r="M15" s="352" t="str">
        <x:v>Fourteen resistance values and displayed block-health values matched AP200. Extrema/index labels remain explicitly candidate semantics.</x:v>
      </x:c>
    </x:row>
    <x:row r="16" ht="55" customHeight="1">
      <x:c r="A16" s="352" t="str">
        <x:v>AHV40_ENGINE_ECU_21C1_MODEL_SIGNATURE</x:v>
      </x:c>
      <x:c r="B16" s="352" t="str">
        <x:v>CAMRY_HYBRID_GEN1</x:v>
      </x:c>
      <x:c r="C16" s="352" t="str">
        <x:v>7E0h</x:v>
      </x:c>
      <x:c r="D16" s="352" t="str">
        <x:v>7E8h</x:v>
      </x:c>
      <x:c r="E16" s="352" t="str">
        <x:v>21C1h</x:v>
      </x:c>
      <x:c r="F16" s="352" t="str">
        <x:v>ascii_model_signature</x:v>
      </x:c>
      <x:c r="G16" s="352" t="str">
        <x:v>Signature: {"ascii_contains":"AHV40L","minimum_response_bytes":18}</x:v>
      </x:c>
      <x:c r="H16" s="352" t="str">
        <x:v>Unvalidated / field-specific</x:v>
      </x:c>
      <x:c r="I16" s="352" t="str">
        <x:v>READ_ONLY_DIAGNOSTIC</x:v>
      </x:c>
      <x:c r="J16" s="352" t="str">
        <x:v>CONFIRMED</x:v>
      </x:c>
      <x:c r="K16" s="352" t="str">
        <x:v>ISO-TP</x:v>
      </x:c>
      <x:c r="L16" s="352" t="str">
        <x:v>S0012, S0013, and S0017 2007 Camry Hybrid; passive diagnostic observation with Hybrid Assistant, Dr. Prius, and Autel MAXIAP200; CYD logger v2.4.2</x:v>
      </x:c>
      <x:c r="M16" s="352" t="str">
        <x:v>The 7E0/21C1 AHV40L model signature was observed in S0012/S0013 and twenty times during the S0017 AP200 scan.</x:v>
      </x:c>
    </x:row>
    <x:row r="17" ht="55" customHeight="1">
      <x:c r="A17" s="352" t="str">
        <x:v>AHV40_HYBRID_ECU_21C1_MODEL_SIGNATURE</x:v>
      </x:c>
      <x:c r="B17" s="352" t="str">
        <x:v>CAMRY_HYBRID_GEN1</x:v>
      </x:c>
      <x:c r="C17" s="352" t="str">
        <x:v>7E2h</x:v>
      </x:c>
      <x:c r="D17" s="352" t="str">
        <x:v>7EAh</x:v>
      </x:c>
      <x:c r="E17" s="352" t="str">
        <x:v>21C1h</x:v>
      </x:c>
      <x:c r="F17" s="352" t="str">
        <x:v>ascii_model_signature</x:v>
      </x:c>
      <x:c r="G17" s="352" t="str">
        <x:v>Signature: {"ascii_contains":"AHV40L","minimum_response_bytes":18}</x:v>
      </x:c>
      <x:c r="H17" s="352" t="str">
        <x:v>Unvalidated / field-specific</x:v>
      </x:c>
      <x:c r="I17" s="352" t="str">
        <x:v>READ_ONLY_DIAGNOSTIC</x:v>
      </x:c>
      <x:c r="J17" s="352" t="str">
        <x:v>CONFIRMED</x:v>
      </x:c>
      <x:c r="K17" s="352" t="str">
        <x:v>ISO-TP</x:v>
      </x:c>
      <x:c r="L17" s="352" t="str">
        <x:v>S0012, S0013, and S0017 2007 Camry Hybrid; passive diagnostic observation with Hybrid Assistant, Dr. Prius, and Autel MAXIAP200; CYD logger v2.4.2</x:v>
      </x:c>
      <x:c r="M17" s="352" t="str">
        <x:v>Ten S0017 7E2/21C1 responses contained AHV40L 2AZFXE and matched the AP200 Model code AHV40L display.</x:v>
      </x:c>
    </x:row>
    <x:row r="18" ht="55" customHeight="1">
      <x:c r="A18" s="352" t="str">
        <x:v>AHV40_HYBRID_ECU_21D0_BLOCK_HEALTH</x:v>
      </x:c>
      <x:c r="B18" s="352" t="str">
        <x:v>CAMRY_HYBRID_GEN1</x:v>
      </x:c>
      <x:c r="C18" s="352" t="str">
        <x:v>7E2h</x:v>
      </x:c>
      <x:c r="D18" s="352" t="str">
        <x:v>7EAh</x:v>
      </x:c>
      <x:c r="E18" s="352" t="str">
        <x:v>21D0h</x:v>
      </x:c>
      <x:c r="F18" s="352" t="str">
        <x:v>block_health_array</x:v>
      </x:c>
      <x:c r="G18" s="352" t="str">
        <x:v>17 × 1 byte; raw 15; scale 0.001 ohm</x:v>
      </x:c>
      <x:c r="H18" s="352" t="str">
        <x:v>Unvalidated / field-specific</x:v>
      </x:c>
      <x:c r="I18" s="352" t="str">
        <x:v>READ_ONLY_DIAGNOSTIC</x:v>
      </x:c>
      <x:c r="J18" s="352" t="str">
        <x:v>CONFIRMED</x:v>
      </x:c>
      <x:c r="K18" s="352" t="str">
        <x:v>ISO-TP</x:v>
      </x:c>
      <x:c r="L18" s="352" t="str">
        <x:v>S0012, S0013, and S0017 2007 Camry Hybrid; passive diagnostic observation with Hybrid Assistant, Dr. Prius, and Autel MAXIAP200; CYD logger v2.4.2</x:v>
      </x:c>
      <x:c r="M18" s="352" t="str">
        <x:v>S0017 AP200 labels confirmed block count, minimum/maximum voltages, one-based block numbers, and all 17 resistance values; raw 0x13 displayed as 0.019 ohm.</x:v>
      </x:c>
    </x:row>
    <x:row r="19" ht="55" customHeight="1">
      <x:c r="A19" s="352" t="str">
        <x:v>AHV40_HYBRID_ECU_21C3_MG_TEMPERATURES</x:v>
      </x:c>
      <x:c r="B19" s="352" t="str">
        <x:v>CAMRY_HYBRID_GEN1</x:v>
      </x:c>
      <x:c r="C19" s="352" t="str">
        <x:v>7E2h</x:v>
      </x:c>
      <x:c r="D19" s="352" t="str">
        <x:v>7EAh</x:v>
      </x:c>
      <x:c r="E19" s="352" t="str">
        <x:v>21C3h</x:v>
      </x:c>
      <x:c r="F19" s="352" t="str">
        <x:v>field_map</x:v>
      </x:c>
      <x:c r="G19" s="352" t="str">
        <x:v>4 fields; see JSON field map</x:v>
      </x:c>
      <x:c r="H19" s="352" t="str">
        <x:v>Unvalidated / field-specific</x:v>
      </x:c>
      <x:c r="I19" s="352" t="str">
        <x:v>READ_ONLY_DIAGNOSTIC</x:v>
      </x:c>
      <x:c r="J19" s="352" t="str">
        <x:v>CONFIRMED</x:v>
      </x:c>
      <x:c r="K19" s="352" t="str">
        <x:v>ISO-TP</x:v>
      </x:c>
      <x:c r="L19" s="352" t="str">
        <x:v>S0012, S0013, and S0017 2007 Camry Hybrid; passive diagnostic observation with Hybrid Assistant, Dr. Prius, and Autel MAXIAP200; CYD logger v2.4.2</x:v>
      </x:c>
      <x:c r="M19" s="352" t="str">
        <x:v>S0017 AP200 labels exactly matched inverter temperatures 27/27 degC and motor temperatures 26/25 or 27/25 degC.</x:v>
      </x:c>
    </x:row>
    <x:row r="20" ht="55" customHeight="1">
      <x:c r="A20" s="352" t="str">
        <x:v>AHV40_HYBRID_ECU_21C4_SIGNATURE</x:v>
      </x:c>
      <x:c r="B20" s="352" t="str">
        <x:v>CAMRY_HYBRID_GEN1</x:v>
      </x:c>
      <x:c r="C20" s="352" t="str">
        <x:v>7E2h</x:v>
      </x:c>
      <x:c r="D20" s="352" t="str">
        <x:v>7EAh</x:v>
      </x:c>
      <x:c r="E20" s="352" t="str">
        <x:v>21C4h</x:v>
      </x:c>
      <x:c r="F20" s="352" t="str">
        <x:v>response_signature</x:v>
      </x:c>
      <x:c r="G20" s="352" t="str">
        <x:v>Signature: {"response_length_bytes":17}</x:v>
      </x:c>
      <x:c r="H20" s="352" t="str">
        <x:v>Unvalidated / field-specific</x:v>
      </x:c>
      <x:c r="I20" s="352" t="str">
        <x:v>READ_ONLY_DIAGNOSTIC</x:v>
      </x:c>
      <x:c r="J20" s="352" t="str">
        <x:v>CANDIDATE</x:v>
      </x:c>
      <x:c r="K20" s="352" t="str">
        <x:v>ISO-TP</x:v>
      </x:c>
      <x:c r="L20" s="352" t="str">
        <x:v>S0012, S0013, and S0017 2007 Camry Hybrid; passive diagnostic observation with Hybrid Assistant, Dr. Prius, and Autel MAXIAP200; CYD logger v2.4.2</x:v>
      </x:c>
      <x:c r="M20" s="352" t="str">
        <x:v>Useful as a profile fingerprint only; field meanings are not inferred.</x:v>
      </x:c>
    </x:row>
    <x:row r="21" ht="55" customHeight="1">
      <x:c r="A21" s="352" t="str">
        <x:v>AHV40_HYBRID_ECU_21CF_BATTERY_TEMPERATURES</x:v>
      </x:c>
      <x:c r="B21" s="352" t="str">
        <x:v>CAMRY_HYBRID_GEN1</x:v>
      </x:c>
      <x:c r="C21" s="352" t="str">
        <x:v>7E2h</x:v>
      </x:c>
      <x:c r="D21" s="352" t="str">
        <x:v>7EAh</x:v>
      </x:c>
      <x:c r="E21" s="352" t="str">
        <x:v>21CFh</x:v>
      </x:c>
      <x:c r="F21" s="352" t="str">
        <x:v>field_map</x:v>
      </x:c>
      <x:c r="G21" s="352" t="str">
        <x:v>5 fields; see JSON field map</x:v>
      </x:c>
      <x:c r="H21" s="352" t="str">
        <x:v>Unvalidated / field-specific</x:v>
      </x:c>
      <x:c r="I21" s="352" t="str">
        <x:v>READ_ONLY_DIAGNOSTIC</x:v>
      </x:c>
      <x:c r="J21" s="352" t="str">
        <x:v>CONFIRMED</x:v>
      </x:c>
      <x:c r="K21" s="352" t="str">
        <x:v>ISO-TP</x:v>
      </x:c>
      <x:c r="L21" s="352" t="str">
        <x:v>S0012, S0013, and S0017 2007 Camry Hybrid; passive diagnostic observation with Hybrid Assistant, Dr. Prius, and Autel MAXIAP200; CYD logger v2.4.2</x:v>
      </x:c>
      <x:c r="M21" s="352" t="str">
        <x:v>S0017 AP200 labels matched battery intake and temperatures 1-4, including 27.49, 27.95, 28.07, and 27.37 degC examples.</x:v>
      </x:c>
    </x:row>
    <x:row r="22" ht="55" customHeight="1">
      <x:c r="A22" s="352" t="str">
        <x:v>AHV40_HYBRID_ECU_2105_ENGINE_COOLANT_TEMPERATURE</x:v>
      </x:c>
      <x:c r="B22" s="352" t="str">
        <x:v>CAMRY_HYBRID_GEN1</x:v>
      </x:c>
      <x:c r="C22" s="352" t="str">
        <x:v>7E2h</x:v>
      </x:c>
      <x:c r="D22" s="352" t="str">
        <x:v>7EAh</x:v>
      </x:c>
      <x:c r="E22" s="352" t="str">
        <x:v>2105h</x:v>
      </x:c>
      <x:c r="F22" s="352" t="str">
        <x:v>field_map</x:v>
      </x:c>
      <x:c r="G22" s="352" t="str">
        <x:v>1 fields; see JSON field map</x:v>
      </x:c>
      <x:c r="H22" s="352" t="str">
        <x:v>Unvalidated / field-specific</x:v>
      </x:c>
      <x:c r="I22" s="352" t="str">
        <x:v>READ_ONLY_DIAGNOSTIC</x:v>
      </x:c>
      <x:c r="J22" s="352" t="str">
        <x:v>CONFIRMED</x:v>
      </x:c>
      <x:c r="K22" s="352" t="str">
        <x:v>ISO-TP</x:v>
      </x:c>
      <x:c r="L22" s="352" t="str">
        <x:v>S0012, S0013, and S0017 2007 Camry Hybrid; passive diagnostic observation with Hybrid Assistant, Dr. Prius, and Autel MAXIAP200; CYD logger v2.4.2</x:v>
      </x:c>
      <x:c r="M22" s="352" t="str">
        <x:v>S0017 byte 0x53 decoded to 43 degC and matched the AP200 label.</x:v>
      </x:c>
    </x:row>
    <x:row r="23" ht="55" customHeight="1">
      <x:c r="A23" s="352" t="str">
        <x:v>AHV40_HYBRID_ECU_210F_INTAKE_AIR_TEMPERATURE</x:v>
      </x:c>
      <x:c r="B23" s="352" t="str">
        <x:v>CAMRY_HYBRID_GEN1</x:v>
      </x:c>
      <x:c r="C23" s="352" t="str">
        <x:v>7E2h</x:v>
      </x:c>
      <x:c r="D23" s="352" t="str">
        <x:v>7EAh</x:v>
      </x:c>
      <x:c r="E23" s="352" t="str">
        <x:v>210Fh</x:v>
      </x:c>
      <x:c r="F23" s="352" t="str">
        <x:v>field_map</x:v>
      </x:c>
      <x:c r="G23" s="352" t="str">
        <x:v>1 fields; see JSON field map</x:v>
      </x:c>
      <x:c r="H23" s="352" t="str">
        <x:v>Unvalidated / field-specific</x:v>
      </x:c>
      <x:c r="I23" s="352" t="str">
        <x:v>READ_ONLY_DIAGNOSTIC</x:v>
      </x:c>
      <x:c r="J23" s="352" t="str">
        <x:v>CONFIRMED</x:v>
      </x:c>
      <x:c r="K23" s="352" t="str">
        <x:v>ISO-TP</x:v>
      </x:c>
      <x:c r="L23" s="352" t="str">
        <x:v>S0012, S0013, and S0017 2007 Camry Hybrid; passive diagnostic observation with Hybrid Assistant, Dr. Prius, and Autel MAXIAP200; CYD logger v2.4.2</x:v>
      </x:c>
      <x:c r="M23" s="352" t="str">
        <x:v>S0017 byte 0x4C decoded to 36 degC and matched the AP200 label.</x:v>
      </x:c>
    </x:row>
    <x:row r="24" ht="55" customHeight="1">
      <x:c r="A24" s="352" t="str">
        <x:v>AHV40_HYBRID_ECU_210C_ENGINE_SPEED</x:v>
      </x:c>
      <x:c r="B24" s="352" t="str">
        <x:v>CAMRY_HYBRID_GEN1</x:v>
      </x:c>
      <x:c r="C24" s="352" t="str">
        <x:v>7E2h</x:v>
      </x:c>
      <x:c r="D24" s="352" t="str">
        <x:v>7EAh</x:v>
      </x:c>
      <x:c r="E24" s="352" t="str">
        <x:v>210Ch</x:v>
      </x:c>
      <x:c r="F24" s="352" t="str">
        <x:v>field_map</x:v>
      </x:c>
      <x:c r="G24" s="352" t="str">
        <x:v>1 fields; see JSON field map</x:v>
      </x:c>
      <x:c r="H24" s="352" t="str">
        <x:v>Unvalidated / field-specific</x:v>
      </x:c>
      <x:c r="I24" s="352" t="str">
        <x:v>READ_ONLY_DIAGNOSTIC</x:v>
      </x:c>
      <x:c r="J24" s="352" t="str">
        <x:v>CONFIRMED</x:v>
      </x:c>
      <x:c r="K24" s="352" t="str">
        <x:v>ISO-TP</x:v>
      </x:c>
      <x:c r="L24" s="352" t="str">
        <x:v>S0012, S0013, and S0017 2007 Camry Hybrid; passive diagnostic observation with Hybrid Assistant, Dr. Prius, and Autel MAXIAP200; CYD logger v2.4.2</x:v>
      </x:c>
      <x:c r="M24" s="352" t="str">
        <x:v>S0017 0x0000 decoded to 0 rpm and matched the stationary AP200 label.</x:v>
      </x:c>
    </x:row>
    <x:row r="25" ht="55" customHeight="1">
      <x:c r="A25" s="352" t="str">
        <x:v>AHV40_HYBRID_ECU_211F_ENGINE_RUN_TIME</x:v>
      </x:c>
      <x:c r="B25" s="352" t="str">
        <x:v>CAMRY_HYBRID_GEN1</x:v>
      </x:c>
      <x:c r="C25" s="352" t="str">
        <x:v>7E2h</x:v>
      </x:c>
      <x:c r="D25" s="352" t="str">
        <x:v>7EAh</x:v>
      </x:c>
      <x:c r="E25" s="352" t="str">
        <x:v>211Fh</x:v>
      </x:c>
      <x:c r="F25" s="352" t="str">
        <x:v>field_map</x:v>
      </x:c>
      <x:c r="G25" s="352" t="str">
        <x:v>1 fields; see JSON field map</x:v>
      </x:c>
      <x:c r="H25" s="352" t="str">
        <x:v>Unvalidated / field-specific</x:v>
      </x:c>
      <x:c r="I25" s="352" t="str">
        <x:v>READ_ONLY_DIAGNOSTIC</x:v>
      </x:c>
      <x:c r="J25" s="352" t="str">
        <x:v>CONFIRMED</x:v>
      </x:c>
      <x:c r="K25" s="352" t="str">
        <x:v>ISO-TP</x:v>
      </x:c>
      <x:c r="L25" s="352" t="str">
        <x:v>S0012, S0013, and S0017 2007 Camry Hybrid; passive diagnostic observation with Hybrid Assistant, Dr. Prius, and Autel MAXIAP200; CYD logger v2.4.2</x:v>
      </x:c>
      <x:c r="M25" s="352" t="str">
        <x:v>S0017 0x0053 decoded to 83 seconds and matched the AP200 label.</x:v>
      </x:c>
    </x:row>
    <x:row r="26" ht="55" customHeight="1">
      <x:c r="A26" s="352" t="str">
        <x:v>ZVW35_HYBRID_ECU_2101_ENGINE_AND_SOC</x:v>
      </x:c>
      <x:c r="B26" s="352" t="str">
        <x:v>PRIUS_PHV_GEN1</x:v>
      </x:c>
      <x:c r="C26" s="352" t="str">
        <x:v>7E2h</x:v>
      </x:c>
      <x:c r="D26" s="352" t="str">
        <x:v>7EAh</x:v>
      </x:c>
      <x:c r="E26" s="352" t="str">
        <x:v>2101h</x:v>
      </x:c>
      <x:c r="F26" s="352" t="str">
        <x:v>field_map</x:v>
      </x:c>
      <x:c r="G26" s="352" t="str">
        <x:v>13 fields; see JSON field map</x:v>
      </x:c>
      <x:c r="H26" s="352" t="str">
        <x:v>Unvalidated / field-specific</x:v>
      </x:c>
      <x:c r="I26" s="352" t="str">
        <x:v>READ_ONLY_DIAGNOSTIC</x:v>
      </x:c>
      <x:c r="J26" s="352" t="str">
        <x:v>PROBABLE</x:v>
      </x:c>
      <x:c r="K26" s="352" t="str">
        <x:v>ISO-TP</x:v>
      </x:c>
      <x:c r="L26" s="352" t="str">
        <x:v>S0015 2014 Prius PHV Gen 1; Hybrid Assistant/Dr. Prius OCR/CAN correlation; CYD logger v2.4.2</x:v>
      </x:c>
      <x:c r="M26" s="352" t="str">
        <x:v>Actual SoC was time-aligned to app data. Other fields retain source-table formulas and require broader dynamic validation.</x:v>
      </x:c>
    </x:row>
    <x:row r="27" ht="55" customHeight="1">
      <x:c r="A27" s="352" t="str">
        <x:v>ZVW35_HYBRID_ECU_2161_MG1_STATUS</x:v>
      </x:c>
      <x:c r="B27" s="352" t="str">
        <x:v>PRIUS_PHV_GEN1</x:v>
      </x:c>
      <x:c r="C27" s="352" t="str">
        <x:v>7E2h</x:v>
      </x:c>
      <x:c r="D27" s="352" t="str">
        <x:v>7EAh</x:v>
      </x:c>
      <x:c r="E27" s="352" t="str">
        <x:v>2161h</x:v>
      </x:c>
      <x:c r="F27" s="352" t="str">
        <x:v>field_map</x:v>
      </x:c>
      <x:c r="G27" s="352" t="str">
        <x:v>4 fields; see JSON field map</x:v>
      </x:c>
      <x:c r="H27" s="352" t="str">
        <x:v>Unvalidated / field-specific</x:v>
      </x:c>
      <x:c r="I27" s="352" t="str">
        <x:v>READ_ONLY_DIAGNOSTIC</x:v>
      </x:c>
      <x:c r="J27" s="352" t="str">
        <x:v>PROBABLE</x:v>
      </x:c>
      <x:c r="K27" s="352" t="str">
        <x:v>ISO-TP</x:v>
      </x:c>
      <x:c r="L27" s="352" t="str">
        <x:v>S0015 2014 Prius PHV Gen 1; Hybrid Assistant/Dr. Prius OCR/CAN correlation; CYD logger v2.4.2</x:v>
      </x:c>
      <x:c r="M27" s="352" t="str">
        <x:v>MG1 temperature near 78.8 degF agreed with the displayed app value; historical/max labels remain candidate.</x:v>
      </x:c>
    </x:row>
    <x:row r="28" ht="55" customHeight="1">
      <x:c r="A28" s="352" t="str">
        <x:v>ZVW35_HYBRID_ECU_2162_MG2_STATUS</x:v>
      </x:c>
      <x:c r="B28" s="352" t="str">
        <x:v>PRIUS_PHV_GEN1</x:v>
      </x:c>
      <x:c r="C28" s="352" t="str">
        <x:v>7E2h</x:v>
      </x:c>
      <x:c r="D28" s="352" t="str">
        <x:v>7EAh</x:v>
      </x:c>
      <x:c r="E28" s="352" t="str">
        <x:v>2162h</x:v>
      </x:c>
      <x:c r="F28" s="352" t="str">
        <x:v>field_map</x:v>
      </x:c>
      <x:c r="G28" s="352" t="str">
        <x:v>4 fields; see JSON field map</x:v>
      </x:c>
      <x:c r="H28" s="352" t="str">
        <x:v>Unvalidated / field-specific</x:v>
      </x:c>
      <x:c r="I28" s="352" t="str">
        <x:v>READ_ONLY_DIAGNOSTIC</x:v>
      </x:c>
      <x:c r="J28" s="352" t="str">
        <x:v>CANDIDATE</x:v>
      </x:c>
      <x:c r="K28" s="352" t="str">
        <x:v>ISO-TP</x:v>
      </x:c>
      <x:c r="L28" s="352" t="str">
        <x:v>S0015 2014 Prius PHV Gen 1; Hybrid Assistant/Dr. Prius OCR/CAN correlation; CYD logger v2.4.2</x:v>
      </x:c>
      <x:c r="M28" s="352" t="str">
        <x:v>Observed repeatedly but not independently label-correlated in S0015.</x:v>
      </x:c>
    </x:row>
    <x:row r="29" ht="55" customHeight="1">
      <x:c r="A29" s="352" t="str">
        <x:v>ZVW35_HYBRID_ECU_2167_MG1_TORQUE</x:v>
      </x:c>
      <x:c r="B29" s="352" t="str">
        <x:v>PRIUS_PHV_GEN1</x:v>
      </x:c>
      <x:c r="C29" s="352" t="str">
        <x:v>7E2h</x:v>
      </x:c>
      <x:c r="D29" s="352" t="str">
        <x:v>7EAh</x:v>
      </x:c>
      <x:c r="E29" s="352" t="str">
        <x:v>2167h</x:v>
      </x:c>
      <x:c r="F29" s="352" t="str">
        <x:v>field_map</x:v>
      </x:c>
      <x:c r="G29" s="352" t="str">
        <x:v>3 fields; see JSON field map</x:v>
      </x:c>
      <x:c r="H29" s="352" t="str">
        <x:v>Unvalidated / field-specific</x:v>
      </x:c>
      <x:c r="I29" s="352" t="str">
        <x:v>READ_ONLY_DIAGNOSTIC</x:v>
      </x:c>
      <x:c r="J29" s="352" t="str">
        <x:v>CANDIDATE</x:v>
      </x:c>
      <x:c r="K29" s="352" t="str">
        <x:v>ISO-TP</x:v>
      </x:c>
      <x:c r="L29" s="352" t="str">
        <x:v>S0015 2014 Prius PHV Gen 1; Hybrid Assistant/Dr. Prius OCR/CAN correlation; CYD logger v2.4.2</x:v>
      </x:c>
      <x:c r="M29" s="352" t="str">
        <x:v>Formula is source-derived; S0015 was parked and did not provide a sufficient dynamic torque range.</x:v>
      </x:c>
    </x:row>
    <x:row r="30" ht="55" customHeight="1">
      <x:c r="A30" s="352" t="str">
        <x:v>ZVW35_HYBRID_ECU_2168_MG2_TORQUE</x:v>
      </x:c>
      <x:c r="B30" s="352" t="str">
        <x:v>PRIUS_PHV_GEN1</x:v>
      </x:c>
      <x:c r="C30" s="352" t="str">
        <x:v>7E2h</x:v>
      </x:c>
      <x:c r="D30" s="352" t="str">
        <x:v>7EAh</x:v>
      </x:c>
      <x:c r="E30" s="352" t="str">
        <x:v>2168h</x:v>
      </x:c>
      <x:c r="F30" s="352" t="str">
        <x:v>field_map</x:v>
      </x:c>
      <x:c r="G30" s="352" t="str">
        <x:v>3 fields; see JSON field map</x:v>
      </x:c>
      <x:c r="H30" s="352" t="str">
        <x:v>Unvalidated / field-specific</x:v>
      </x:c>
      <x:c r="I30" s="352" t="str">
        <x:v>READ_ONLY_DIAGNOSTIC</x:v>
      </x:c>
      <x:c r="J30" s="352" t="str">
        <x:v>CANDIDATE</x:v>
      </x:c>
      <x:c r="K30" s="352" t="str">
        <x:v>ISO-TP</x:v>
      </x:c>
      <x:c r="L30" s="352" t="str">
        <x:v>S0015 2014 Prius PHV Gen 1; Hybrid Assistant/Dr. Prius OCR/CAN correlation; CYD logger v2.4.2</x:v>
      </x:c>
      <x:c r="M30" s="352" t="str">
        <x:v>Formula is source-derived; S0015 was parked and did not provide a sufficient dynamic torque range.</x:v>
      </x:c>
    </x:row>
    <x:row r="31" ht="55" customHeight="1">
      <x:c r="A31" s="352" t="str">
        <x:v>ZVW35_HYBRID_ECU_2170_MG1_INVERTER_TEMPERATURE</x:v>
      </x:c>
      <x:c r="B31" s="352" t="str">
        <x:v>PRIUS_PHV_GEN1</x:v>
      </x:c>
      <x:c r="C31" s="352" t="str">
        <x:v>7E2h</x:v>
      </x:c>
      <x:c r="D31" s="352" t="str">
        <x:v>7EAh</x:v>
      </x:c>
      <x:c r="E31" s="352" t="str">
        <x:v>2170h</x:v>
      </x:c>
      <x:c r="F31" s="352" t="str">
        <x:v>field_map</x:v>
      </x:c>
      <x:c r="G31" s="352" t="str">
        <x:v>4 fields; see JSON field map</x:v>
      </x:c>
      <x:c r="H31" s="352" t="str">
        <x:v>Unvalidated / field-specific</x:v>
      </x:c>
      <x:c r="I31" s="352" t="str">
        <x:v>READ_ONLY_DIAGNOSTIC</x:v>
      </x:c>
      <x:c r="J31" s="352" t="str">
        <x:v>PROBABLE</x:v>
      </x:c>
      <x:c r="K31" s="352" t="str">
        <x:v>ISO-TP</x:v>
      </x:c>
      <x:c r="L31" s="352" t="str">
        <x:v>S0015 2014 Prius PHV Gen 1; Hybrid Assistant/Dr. Prius OCR/CAN correlation; CYD logger v2.4.2</x:v>
      </x:c>
      <x:c r="M31" s="352" t="str">
        <x:v>Current MG1 inverter temperature near 80.6 degF agreed with app display; history/max/gate labels remain candidate.</x:v>
      </x:c>
    </x:row>
    <x:row r="32" ht="55" customHeight="1">
      <x:c r="A32" s="352" t="str">
        <x:v>ZVW35_HYBRID_ECU_2171_MG2_INVERTER_TEMPERATURE</x:v>
      </x:c>
      <x:c r="B32" s="352" t="str">
        <x:v>PRIUS_PHV_GEN1</x:v>
      </x:c>
      <x:c r="C32" s="352" t="str">
        <x:v>7E2h</x:v>
      </x:c>
      <x:c r="D32" s="352" t="str">
        <x:v>7EAh</x:v>
      </x:c>
      <x:c r="E32" s="352" t="str">
        <x:v>2171h</x:v>
      </x:c>
      <x:c r="F32" s="352" t="str">
        <x:v>field_map</x:v>
      </x:c>
      <x:c r="G32" s="352" t="str">
        <x:v>3 fields; see JSON field map</x:v>
      </x:c>
      <x:c r="H32" s="352" t="str">
        <x:v>Unvalidated / field-specific</x:v>
      </x:c>
      <x:c r="I32" s="352" t="str">
        <x:v>READ_ONLY_DIAGNOSTIC</x:v>
      </x:c>
      <x:c r="J32" s="352" t="str">
        <x:v>CANDIDATE</x:v>
      </x:c>
      <x:c r="K32" s="352" t="str">
        <x:v>ISO-TP</x:v>
      </x:c>
      <x:c r="L32" s="352" t="str">
        <x:v>S0015 2014 Prius PHV Gen 1; Hybrid Assistant/Dr. Prius OCR/CAN correlation; CYD logger v2.4.2</x:v>
      </x:c>
      <x:c r="M32" s="352" t="str">
        <x:v>Observed but not independently label-correlated in S0015.</x:v>
      </x:c>
    </x:row>
    <x:row r="33" ht="55" customHeight="1">
      <x:c r="A33" s="352" t="str">
        <x:v>ZVW35_HYBRID_ECU_2174_BOOST_CONVERTER_TEMPERATURES</x:v>
      </x:c>
      <x:c r="B33" s="352" t="str">
        <x:v>PRIUS_PHV_GEN1</x:v>
      </x:c>
      <x:c r="C33" s="352" t="str">
        <x:v>7E2h</x:v>
      </x:c>
      <x:c r="D33" s="352" t="str">
        <x:v>7EAh</x:v>
      </x:c>
      <x:c r="E33" s="352" t="str">
        <x:v>2174h</x:v>
      </x:c>
      <x:c r="F33" s="352" t="str">
        <x:v>field_map</x:v>
      </x:c>
      <x:c r="G33" s="352" t="str">
        <x:v>5 fields; see JSON field map</x:v>
      </x:c>
      <x:c r="H33" s="352" t="str">
        <x:v>Unvalidated / field-specific</x:v>
      </x:c>
      <x:c r="I33" s="352" t="str">
        <x:v>READ_ONLY_DIAGNOSTIC</x:v>
      </x:c>
      <x:c r="J33" s="352" t="str">
        <x:v>CANDIDATE</x:v>
      </x:c>
      <x:c r="K33" s="352" t="str">
        <x:v>ISO-TP</x:v>
      </x:c>
      <x:c r="L33" s="352" t="str">
        <x:v>S0015 2014 Prius PHV Gen 1; Hybrid Assistant/Dr. Prius OCR/CAN correlation; CYD logger v2.4.2</x:v>
      </x:c>
      <x:c r="M33" s="352" t="str">
        <x:v>Voltage fields intentionally omitted: captured byte order did not support the source-table VL/VH formula.</x:v>
      </x:c>
    </x:row>
    <x:row r="34" ht="55" customHeight="1">
      <x:c r="A34" s="352" t="str">
        <x:v>ZVW35_HYBRID_ECU_2181_EIGHT_BLOCK_VOLTAGES</x:v>
      </x:c>
      <x:c r="B34" s="352" t="str">
        <x:v>PRIUS_PHV_GEN1</x:v>
      </x:c>
      <x:c r="C34" s="352" t="str">
        <x:v>7E2h</x:v>
      </x:c>
      <x:c r="D34" s="352" t="str">
        <x:v>7EAh</x:v>
      </x:c>
      <x:c r="E34" s="352" t="str">
        <x:v>2181h</x:v>
      </x:c>
      <x:c r="F34" s="352" t="str">
        <x:v>block_array</x:v>
      </x:c>
      <x:c r="G34" s="352" t="str">
        <x:v>8 × 2 byte; uint16*79.99/65535 V</x:v>
      </x:c>
      <x:c r="H34" s="352" t="str">
        <x:v>15 to 35 V</x:v>
      </x:c>
      <x:c r="I34" s="352" t="str">
        <x:v>READ_ONLY_DIAGNOSTIC</x:v>
      </x:c>
      <x:c r="J34" s="352" t="str">
        <x:v>PROBABLE</x:v>
      </x:c>
      <x:c r="K34" s="352" t="str">
        <x:v>ISO-TP</x:v>
      </x:c>
      <x:c r="L34" s="352" t="str">
        <x:v>S0015 2014 Prius PHV Gen 1; Hybrid Assistant/Dr. Prius OCR/CAN correlation; CYD logger v2.4.2</x:v>
      </x:c>
      <x:c r="M34" s="352" t="str">
        <x:v>At 94 s all eight decoded seven-cell blocks matched Hybrid Assistant with approximately 0.0005 V RMSE. Values are block aggregates, not individual cells.</x:v>
      </x:c>
    </x:row>
    <x:row r="35" ht="34" customHeight="1">
      <x:c r="A35" s="20" t="str">
        <x:v>ZVW35_HYBRID_ECU_2187_BATTERY_TEMPERATURES</x:v>
      </x:c>
      <x:c r="B35" s="20" t="str">
        <x:v>PRIUS_PHV_GEN1</x:v>
      </x:c>
      <x:c r="C35" s="20" t="str">
        <x:v>7E2h</x:v>
      </x:c>
      <x:c r="D35" s="20" t="str">
        <x:v>7EAh</x:v>
      </x:c>
      <x:c r="E35" s="20" t="str">
        <x:v>2187h</x:v>
      </x:c>
      <x:c r="F35" s="20" t="str">
        <x:v>field_map</x:v>
      </x:c>
      <x:c r="G35" s="20" t="str">
        <x:v>4 fields; see JSON field map</x:v>
      </x:c>
      <x:c r="H35" s="20" t="str">
        <x:v>Unvalidated / field-specific</x:v>
      </x:c>
      <x:c r="I35" s="20" t="str">
        <x:v>READ_ONLY_DIAGNOSTIC</x:v>
      </x:c>
      <x:c r="J35" s="20" t="str">
        <x:v>PROBABLE</x:v>
      </x:c>
      <x:c r="K35" s="20" t="str">
        <x:v>ISO-TP</x:v>
      </x:c>
      <x:c r="L35" s="20" t="str">
        <x:v>S0015 2014 Prius PHV Gen 1; Hybrid Assistant/Dr. Prius OCR/CAN correlation; CYD logger v2.4.2</x:v>
      </x:c>
      <x:c r="M35" s="20" t="str">
        <x:v>Temperature topology agreed with the PHV source table and app display. Unlabeled trailing bytes remain raw.</x:v>
      </x:c>
    </x:row>
    <x:row r="36" ht="34" customHeight="1">
      <x:c r="A36" s="20" t="str">
        <x:v>ZVW35_HYBRID_ECU_2195_BLOCK_INTERNAL_RESISTANCE</x:v>
      </x:c>
      <x:c r="B36" s="20" t="str">
        <x:v>PRIUS_PHV_GEN1</x:v>
      </x:c>
      <x:c r="C36" s="20" t="str">
        <x:v>7E2h</x:v>
      </x:c>
      <x:c r="D36" s="20" t="str">
        <x:v>7EAh</x:v>
      </x:c>
      <x:c r="E36" s="20" t="str">
        <x:v>2195h</x:v>
      </x:c>
      <x:c r="F36" s="20" t="str">
        <x:v>resistance_array</x:v>
      </x:c>
      <x:c r="G36" s="20" t="str">
        <x:v>8 × 1 byte; raw 0; scale 0.001 ohm</x:v>
      </x:c>
      <x:c r="H36" s="20" t="str">
        <x:v>Unvalidated / field-specific</x:v>
      </x:c>
      <x:c r="I36" s="20" t="str">
        <x:v>READ_ONLY_DIAGNOSTIC</x:v>
      </x:c>
      <x:c r="J36" s="20" t="str">
        <x:v>CANDIDATE</x:v>
      </x:c>
      <x:c r="K36" s="20" t="str">
        <x:v>ISO-TP</x:v>
      </x:c>
      <x:c r="L36" s="20" t="str">
        <x:v>S0015 2014 Prius PHV Gen 1; Hybrid Assistant/Dr. Prius OCR/CAN correlation; CYD logger v2.4.2</x:v>
      </x:c>
      <x:c r="M36" s="20" t="str">
        <x:v>Eight values fit the PHV block topology but no independently labeled resistance display was available.</x:v>
      </x:c>
    </x:row>
    <x:row r="37" ht="34" customHeight="1">
      <x:c r="A37" s="20" t="str">
        <x:v>ZVW35_HYBRID_ECU_2198_BATTERY_CURRENT_AND_SOC</x:v>
      </x:c>
      <x:c r="B37" s="20" t="str">
        <x:v>PRIUS_PHV_GEN1</x:v>
      </x:c>
      <x:c r="C37" s="20" t="str">
        <x:v>7E2h</x:v>
      </x:c>
      <x:c r="D37" s="20" t="str">
        <x:v>7EAh</x:v>
      </x:c>
      <x:c r="E37" s="20" t="str">
        <x:v>2198h</x:v>
      </x:c>
      <x:c r="F37" s="20" t="str">
        <x:v>field_map</x:v>
      </x:c>
      <x:c r="G37" s="20" t="str">
        <x:v>7 fields; see JSON field map</x:v>
      </x:c>
      <x:c r="H37" s="20" t="str">
        <x:v>Unvalidated / field-specific</x:v>
      </x:c>
      <x:c r="I37" s="20" t="str">
        <x:v>READ_ONLY_DIAGNOSTIC</x:v>
      </x:c>
      <x:c r="J37" s="20" t="str">
        <x:v>PROBABLE</x:v>
      </x:c>
      <x:c r="K37" s="20" t="str">
        <x:v>ISO-TP</x:v>
      </x:c>
      <x:c r="L37" s="20" t="str">
        <x:v>S0015 2014 Prius PHV Gen 1; Hybrid Assistant/Dr. Prius OCR/CAN correlation; CYD logger v2.4.2</x:v>
      </x:c>
      <x:c r="M37" s="20" t="str">
        <x:v>Battery current was time-aligned to the app with 0.05 A median absolute error; SoC/control fields retain source-table semantics.</x:v>
      </x:c>
    </x:row>
    <x:row r="38" ht="34" customHeight="1">
      <x:c r="A38" s="20" t="str">
        <x:v>ZVW35_HYBRID_ECU_219B_BATTERY_FAN_STATUS</x:v>
      </x:c>
      <x:c r="B38" s="20" t="str">
        <x:v>PRIUS_PHV_GEN1</x:v>
      </x:c>
      <x:c r="C38" s="20" t="str">
        <x:v>7E2h</x:v>
      </x:c>
      <x:c r="D38" s="20" t="str">
        <x:v>7EAh</x:v>
      </x:c>
      <x:c r="E38" s="20" t="str">
        <x:v>219Bh</x:v>
      </x:c>
      <x:c r="F38" s="20" t="str">
        <x:v>field_map</x:v>
      </x:c>
      <x:c r="G38" s="20" t="str">
        <x:v>4 fields; see JSON field map</x:v>
      </x:c>
      <x:c r="H38" s="20" t="str">
        <x:v>Unvalidated / field-specific</x:v>
      </x:c>
      <x:c r="I38" s="20" t="str">
        <x:v>READ_ONLY_DIAGNOSTIC</x:v>
      </x:c>
      <x:c r="J38" s="20" t="str">
        <x:v>CANDIDATE</x:v>
      </x:c>
      <x:c r="K38" s="20" t="str">
        <x:v>ISO-TP</x:v>
      </x:c>
      <x:c r="L38" s="20" t="str">
        <x:v>S0015 2014 Prius PHV Gen 1; Hybrid Assistant/Dr. Prius OCR/CAN correlation; CYD logger v2.4.2</x:v>
      </x:c>
      <x:c r="M38" s="20" t="str">
        <x:v>Observed during HVAC narration but not sufficiently time-aligned to promote individual labels.</x:v>
      </x:c>
    </x:row>
    <x:row r="39" ht="34" customHeight="1">
      <x:c r="A39" s="20" t="str">
        <x:v>ZVW35_HYBRID_ECU_2146_SIGNATURE</x:v>
      </x:c>
      <x:c r="B39" s="20" t="str">
        <x:v>PRIUS_PHV_GEN1</x:v>
      </x:c>
      <x:c r="C39" s="20" t="str">
        <x:v>7E2h</x:v>
      </x:c>
      <x:c r="D39" s="20" t="str">
        <x:v>7EAh</x:v>
      </x:c>
      <x:c r="E39" s="20" t="str">
        <x:v>2146h</x:v>
      </x:c>
      <x:c r="F39" s="20" t="str">
        <x:v>response_signature</x:v>
      </x:c>
      <x:c r="G39" s="20" t="str">
        <x:v>See notes</x:v>
      </x:c>
      <x:c r="H39" s="20" t="str">
        <x:v>Unvalidated / field-specific</x:v>
      </x:c>
      <x:c r="I39" s="20" t="str">
        <x:v>READ_ONLY_DIAGNOSTIC</x:v>
      </x:c>
      <x:c r="J39" s="20" t="str">
        <x:v>CANDIDATE</x:v>
      </x:c>
      <x:c r="K39" s="20" t="str">
        <x:v>ISO-TP</x:v>
      </x:c>
      <x:c r="L39" s="20" t="str">
        <x:v>S0015 2014 Prius PHV Gen 1; Hybrid Assistant/Dr. Prius OCR/CAN correlation; CYD logger v2.4.2</x:v>
      </x:c>
      <x:c r="M39" s="20" t="str">
        <x:v>Repeated PHV diagnostic response retained for fingerprinting; no trusted field formula is assigned.</x:v>
      </x:c>
    </x:row>
  </x:sheetData>
  <x:conditionalFormatting sqref="J2:J34">
    <x:cfRule type="containsText" dxfId="5" priority="1" operator="containsText" text="CONFIRMED"/>
    <x:cfRule type="containsText" dxfId="6" priority="2" operator="containsText" text="PROBABLE"/>
    <x:cfRule type="containsText" dxfId="7" priority="3" operator="containsText" text="CANDIDATE"/>
  </x:conditionalFormatting>
  <x:conditionalFormatting sqref="I2:I34">
    <x:cfRule type="containsText" dxfId="8" priority="4" operator="containsText" text="QUARANTINED"/>
  </x:conditionalFormatting>
  <x:pageMargins left="0.7" right="0.7" top="0.75" bottom="0.75" header="0.3" footer="0.3"/>
</x:worksheet>
</file>